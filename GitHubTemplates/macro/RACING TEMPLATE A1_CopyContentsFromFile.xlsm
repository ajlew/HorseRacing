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Gear\Kingston\Gaming\Templates\GitHubTemplates\macro\"/>
    </mc:Choice>
  </mc:AlternateContent>
  <xr:revisionPtr revIDLastSave="0" documentId="13_ncr:1_{11E62CA3-EDDF-4528-9542-A9963342D318}" xr6:coauthVersionLast="45" xr6:coauthVersionMax="45" xr10:uidLastSave="{00000000-0000-0000-0000-000000000000}"/>
  <bookViews>
    <workbookView xWindow="-108" yWindow="-108" windowWidth="23256" windowHeight="12576" tabRatio="602" xr2:uid="{00000000-000D-0000-FFFF-FFFF00000000}"/>
  </bookViews>
  <sheets>
    <sheet name="SPORTSBET FIXED ODDS FOR PARLAY" sheetId="17" r:id="rId1"/>
    <sheet name="S31.ODDS" sheetId="16" r:id="rId2"/>
    <sheet name="A1. PICKS" sheetId="13" r:id="rId3"/>
    <sheet name="Dashboard " sheetId="15" r:id="rId4"/>
    <sheet name="Raw Data" sheetId="9" r:id="rId5"/>
    <sheet name="Results" sheetId="24" r:id="rId6"/>
    <sheet name="LastStart" sheetId="23" r:id="rId7"/>
    <sheet name="machina" sheetId="18" r:id="rId8"/>
    <sheet name="cluster" sheetId="21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'SPORTSBET FIXED ODDS FOR PARLAY'!$A$6:$WYA$30</definedName>
    <definedName name="BOX" localSheetId="2">OFFSET('[1]SYD 08'!$B1048530:XEQ$12,0,COUNTA('[1]SYD 08'!$B:$B)-1)</definedName>
    <definedName name="BOX" localSheetId="3">OFFSET('[2]SYD 08'!$A$12:XEQ1048530,0,COUNTA('[2]SYD 08'!$A$1:$A$65536)-1)</definedName>
    <definedName name="BOX" localSheetId="1">OFFSET('[1]SYD 08'!$B1048530:XEQ$12,0,COUNTA('[1]SYD 08'!$B:$B)-1)</definedName>
    <definedName name="BOX" localSheetId="0">OFFSET('[1]SYD 08'!$B1048530:XEQ$12,0,COUNTA('[1]SYD 08'!$B:$B)-1)</definedName>
    <definedName name="BOX">OFFSET('[3]SYD 08'!$A$12:XEQ1048530,0,COUNTA('[3]SYD 08'!$A$1:$A$65536)-1)</definedName>
    <definedName name="george" localSheetId="2">OFFSET('[4]SYD 08'!$D$3:$D$12,0,COUNTC('[4]SYD 08'!$D$1:$D$65536)-1)</definedName>
    <definedName name="george" localSheetId="8">OFFSET('[4]SYD 08'!$D$3:$D$12,0,COUNTC('[4]SYD 08'!$D$1:$D$65536)-1)</definedName>
    <definedName name="george" localSheetId="3">OFFSET('[4]SYD 08'!$D$3:$D$12,0,COUNTC('[4]SYD 08'!$D$1:$D$65536)-1)</definedName>
    <definedName name="george" localSheetId="6">OFFSET('[4]SYD 08'!$D$3:$D$12,0,COUNTC('[4]SYD 08'!$D$1:$D$65536)-1)</definedName>
    <definedName name="george" localSheetId="5">OFFSET('[4]SYD 08'!$D$3:$D$12,0,COUNTC('[4]SYD 08'!$D$1:$D$65536)-1)</definedName>
    <definedName name="george" localSheetId="1">OFFSET('[4]SYD 08'!$D$3:$D$12,0,COUNTC('[4]SYD 08'!$D$1:$D$65536)-1)</definedName>
    <definedName name="george" localSheetId="0">OFFSET('[4]SYD 08'!$D$3:$D$12,0,COUNTC('[4]SYD 08'!$D$1:$D$65536)-1)</definedName>
    <definedName name="george">OFFSET('[4]SYD 08'!$D$3:$D$12,0,COUNTC('[4]SYD 08'!$D$1:$D$65536)-1)</definedName>
    <definedName name="Name">'[5]MR5 04072009 _SK _1_'!$A$3:$A$18</definedName>
    <definedName name="Name_10">'[5]MR7 08082009_SK_3_'!$A$3:$A$13</definedName>
    <definedName name="Name_11">'[5]MR8 08082009_S_K_4_'!$A$3:$A$12</definedName>
    <definedName name="Name_12">'[5]MR6 25072009 _S_K _1_'!$A$3:$A$12</definedName>
    <definedName name="Name_13">'[5]MR8 25072009 _S_K _2_'!$A$3:$A$12</definedName>
    <definedName name="Name_14">'[5]MR6 18072009 _S_K _1_'!$A$3:$A$10</definedName>
    <definedName name="Name_15">'[5]SR6 18072009 _S_K _2_'!$A$3:$A$15</definedName>
    <definedName name="Name_16">'[5]MR7 18072009 _SK _3_'!$A$3:$A$18</definedName>
    <definedName name="Name_17">'[5]SR7 18072009 _S_K _4_'!$A$3:$A$15</definedName>
    <definedName name="Name_18">'[5]MR8 18072009 _SK _5_'!$A$3:$A$14</definedName>
    <definedName name="Name_19">'[5]SR8 18072009 _SK _6_'!$A$3:$A$13</definedName>
    <definedName name="Name_20">'[5]SR5 11072009 _+SK __'!$A$3:$A$13</definedName>
    <definedName name="Name_21">'[5]SR6 11072009 +S-K _1_'!$A$3:$A$13</definedName>
    <definedName name="Name_22">'[5]SR7 11072009 _SK _2_'!$A$3:$A$11</definedName>
    <definedName name="Name_23">'[5]SR8 11072009 _SK _3_'!$A$3:$A$14</definedName>
    <definedName name="Name_3">'[5]MR6 19092009 _S_K _2_'!$A$3:$A$20</definedName>
    <definedName name="Name_4">'[5]MR8 19092009 _S_K _2_'!$A$3:$A$17</definedName>
    <definedName name="Name_5">'[5]MR7 05092009 _SK _1_'!$A$3:$A$14</definedName>
    <definedName name="Name_6">'[5]MR8 05092009 _SK _2_'!$A$3:$A$17</definedName>
    <definedName name="Name_7">'[5]MR9 05092009 _SK'!$A$3:$A$17</definedName>
    <definedName name="Name_8">'[5]SR7 08082009 _SK_1_'!$A$3:$A$14</definedName>
    <definedName name="Name_9">'[5]SR8 08082009 _SK_2_'!$A$3:$A$14</definedName>
    <definedName name="NORM">'cluster'!$CN$17</definedName>
    <definedName name="peter" localSheetId="2">OFFSET('[4]SYD 08'!$D$3:$D$12,0,COUNTC('[4]SYD 08'!$D$1:$D$65536)-1)</definedName>
    <definedName name="peter" localSheetId="8">OFFSET('[4]SYD 08'!$D$3:$D$12,0,COUNTC('[4]SYD 08'!$D$1:$D$65536)-1)</definedName>
    <definedName name="peter" localSheetId="3">OFFSET('[4]SYD 08'!$D$3:$D$12,0,COUNTC('[4]SYD 08'!$D$1:$D$65536)-1)</definedName>
    <definedName name="peter" localSheetId="6">OFFSET('[4]SYD 08'!$D$3:$D$12,0,COUNTC('[4]SYD 08'!$D$1:$D$65536)-1)</definedName>
    <definedName name="peter" localSheetId="5">OFFSET('[4]SYD 08'!$D$3:$D$12,0,COUNTC('[4]SYD 08'!$D$1:$D$65536)-1)</definedName>
    <definedName name="peter" localSheetId="1">OFFSET('[4]SYD 08'!$D$3:$D$12,0,COUNTC('[4]SYD 08'!$D$1:$D$65536)-1)</definedName>
    <definedName name="peter" localSheetId="0">OFFSET('[4]SYD 08'!$D$3:$D$12,0,COUNTC('[4]SYD 08'!$D$1:$D$65536)-1)</definedName>
    <definedName name="peter">OFFSET('[4]SYD 08'!$D$3:$D$12,0,COUNTC('[4]SYD 08'!$D$1:$D$65536)-1)</definedName>
    <definedName name="_xlnm.Print_Area" localSheetId="2">'A1. PICKS'!$A$1:$W$41</definedName>
    <definedName name="_xlnm.Print_Area" localSheetId="1">'S31.ODDS'!$A$1:$W$41</definedName>
    <definedName name="_xlnm.Print_Area" localSheetId="0">'SPORTSBET FIXED ODDS FOR PARLAY'!$A$1:$X$41</definedName>
    <definedName name="RANK1">'cluster'!$CN$15</definedName>
    <definedName name="RANK2">'cluster'!$CN$16</definedName>
    <definedName name="RANK3">'cluster'!$CN$18</definedName>
    <definedName name="RANK3A">'cluster'!$CN$19</definedName>
    <definedName name="RUNS">'[5]MR5 04072009 _SK _1_'!$C$3:$C$18</definedName>
    <definedName name="RUNS_10">'[5]MR7 08082009_SK_3_'!$C$3:$C$13</definedName>
    <definedName name="RUNS_11">'[5]MR8 08082009_S_K_4_'!$C$3:$C$12</definedName>
    <definedName name="RUNS_12">'[5]MR6 25072009 _S_K _1_'!$C$3:$C$12</definedName>
    <definedName name="RUNS_13">'[5]MR8 25072009 _S_K _2_'!$C$3:$C$12</definedName>
    <definedName name="RUNS_14">'[5]MR6 18072009 _S_K _1_'!$C$3:$C$10</definedName>
    <definedName name="RUNS_15">'[5]SR6 18072009 _S_K _2_'!$C$3:$C$15</definedName>
    <definedName name="RUNS_16">'[5]MR7 18072009 _SK _3_'!$C$3:$C$18</definedName>
    <definedName name="RUNS_17">'[5]SR7 18072009 _S_K _4_'!$C$3:$C$15</definedName>
    <definedName name="RUNS_18">'[5]MR8 18072009 _SK _5_'!$C$3:$C$14</definedName>
    <definedName name="RUNS_19">'[5]SR8 18072009 _SK _6_'!$C$3:$C$13</definedName>
    <definedName name="RUNS_20">'[5]SR5 11072009 _+SK __'!$C$3:$C$13</definedName>
    <definedName name="RUNS_21">'[5]SR6 11072009 +S-K _1_'!$C$3:$C$13</definedName>
    <definedName name="RUNS_22">'[5]SR7 11072009 _SK _2_'!$C$3:$C$11</definedName>
    <definedName name="RUNS_23">'[5]SR8 11072009 _SK _3_'!$C$3:$C$14</definedName>
    <definedName name="RUNS_3">'[5]MR6 19092009 _S_K _2_'!$C$3:$C$20</definedName>
    <definedName name="RUNS_4">'[5]MR8 19092009 _S_K _2_'!$C$3:$C$17</definedName>
    <definedName name="RUNS_5">'[5]MR7 05092009 _SK _1_'!$C$3:$C$14</definedName>
    <definedName name="RUNS_6">'[5]MR8 05092009 _SK _2_'!$C$3:$C$17</definedName>
    <definedName name="RUNS_7">'[5]MR9 05092009 _SK'!$C$3:$C$17</definedName>
    <definedName name="RUNS_8">'[5]SR7 08082009 _SK_1_'!$C$3:$C$14</definedName>
    <definedName name="RUNS_9">'[5]SR8 08082009 _SK_2_'!$C$3:$C$14</definedName>
    <definedName name="solver_adj" localSheetId="8" hidden="1">'cluster'!$A$9:$A$12</definedName>
    <definedName name="solver_adj" localSheetId="4" hidden="1">'Raw Data'!$A$9:$A$14</definedName>
    <definedName name="solver_adj" localSheetId="5" hidden="1">Results!$A$9:$A$14</definedName>
    <definedName name="solver_cvg" localSheetId="8" hidden="1">0.0001</definedName>
    <definedName name="solver_drv" localSheetId="8" hidden="1">1</definedName>
    <definedName name="solver_eng" localSheetId="8" hidden="1">3</definedName>
    <definedName name="solver_eng" localSheetId="4" hidden="1">3</definedName>
    <definedName name="solver_eng" localSheetId="5" hidden="1">3</definedName>
    <definedName name="solver_eng" localSheetId="0" hidden="1">1</definedName>
    <definedName name="solver_est" localSheetId="8" hidden="1">1</definedName>
    <definedName name="solver_itr" localSheetId="8" hidden="1">2147483647</definedName>
    <definedName name="solver_lhs1" localSheetId="8" hidden="1">'cluster'!$A$9:$A$12</definedName>
    <definedName name="solver_lhs10" localSheetId="8" hidden="1">'cluster'!$D$17</definedName>
    <definedName name="solver_lhs11" localSheetId="8" hidden="1">'cluster'!$CG$9</definedName>
    <definedName name="solver_lhs12" localSheetId="8" hidden="1">'cluster'!$CG$9</definedName>
    <definedName name="solver_lhs13" localSheetId="8" hidden="1">'cluster'!$CG$9</definedName>
    <definedName name="solver_lhs14" localSheetId="8" hidden="1">'cluster'!$CG$9</definedName>
    <definedName name="solver_lhs15" localSheetId="8" hidden="1">'cluster'!$CG$9</definedName>
    <definedName name="solver_lhs16" localSheetId="8" hidden="1">'cluster'!$CG$9</definedName>
    <definedName name="solver_lhs17" localSheetId="8" hidden="1">'cluster'!$CG$9</definedName>
    <definedName name="solver_lhs18" localSheetId="8" hidden="1">'cluster'!$CG$9</definedName>
    <definedName name="solver_lhs19" localSheetId="8" hidden="1">'cluster'!$CG$9</definedName>
    <definedName name="solver_lhs2" localSheetId="8" hidden="1">'cluster'!$A$9:$A$12</definedName>
    <definedName name="solver_lhs20" localSheetId="8" hidden="1">'cluster'!$CG$9</definedName>
    <definedName name="solver_lhs21" localSheetId="8" hidden="1">'cluster'!$CG$9</definedName>
    <definedName name="solver_lhs22" localSheetId="8" hidden="1">'cluster'!$CG$9</definedName>
    <definedName name="solver_lhs3" localSheetId="8" hidden="1">'cluster'!$A$9:$A$12</definedName>
    <definedName name="solver_lhs4" localSheetId="8" hidden="1">'cluster'!$CF$10</definedName>
    <definedName name="solver_lhs5" localSheetId="8" hidden="1">'cluster'!$CF$11</definedName>
    <definedName name="solver_lhs6" localSheetId="8" hidden="1">'cluster'!$CF$12</definedName>
    <definedName name="solver_lhs7" localSheetId="8" hidden="1">'cluster'!$CF$9</definedName>
    <definedName name="solver_lhs8" localSheetId="8" hidden="1">'cluster'!$CG$18</definedName>
    <definedName name="solver_lhs9" localSheetId="8" hidden="1">'cluster'!$CG$18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eg" localSheetId="0" hidden="1">1</definedName>
    <definedName name="solver_nod" localSheetId="8" hidden="1">2147483647</definedName>
    <definedName name="solver_num" localSheetId="8" hidden="1">10</definedName>
    <definedName name="solver_num" localSheetId="0" hidden="1">0</definedName>
    <definedName name="solver_nwt" localSheetId="8" hidden="1">1</definedName>
    <definedName name="solver_opt" localSheetId="8" hidden="1">'cluster'!$D$17</definedName>
    <definedName name="solver_opt" localSheetId="4" hidden="1">'Raw Data'!$D$17</definedName>
    <definedName name="solver_opt" localSheetId="5" hidden="1">Results!$D$17</definedName>
    <definedName name="solver_opt" localSheetId="0" hidden="1">'SPORTSBET FIXED ODDS FOR PARLAY'!$I$17</definedName>
    <definedName name="solver_pre" localSheetId="8" hidden="1">0.000001</definedName>
    <definedName name="solver_rbv" localSheetId="8" hidden="1">1</definedName>
    <definedName name="solver_rel1" localSheetId="8" hidden="1">1</definedName>
    <definedName name="solver_rel10" localSheetId="8" hidden="1">1</definedName>
    <definedName name="solver_rel11" localSheetId="8" hidden="1">3</definedName>
    <definedName name="solver_rel12" localSheetId="8" hidden="1">3</definedName>
    <definedName name="solver_rel13" localSheetId="8" hidden="1">3</definedName>
    <definedName name="solver_rel14" localSheetId="8" hidden="1">3</definedName>
    <definedName name="solver_rel15" localSheetId="8" hidden="1">3</definedName>
    <definedName name="solver_rel16" localSheetId="8" hidden="1">3</definedName>
    <definedName name="solver_rel17" localSheetId="8" hidden="1">3</definedName>
    <definedName name="solver_rel18" localSheetId="8" hidden="1">3</definedName>
    <definedName name="solver_rel19" localSheetId="8" hidden="1">3</definedName>
    <definedName name="solver_rel2" localSheetId="8" hidden="1">4</definedName>
    <definedName name="solver_rel20" localSheetId="8" hidden="1">3</definedName>
    <definedName name="solver_rel21" localSheetId="8" hidden="1">3</definedName>
    <definedName name="solver_rel22" localSheetId="8" hidden="1">3</definedName>
    <definedName name="solver_rel3" localSheetId="8" hidden="1">3</definedName>
    <definedName name="solver_rel4" localSheetId="8" hidden="1">1</definedName>
    <definedName name="solver_rel5" localSheetId="8" hidden="1">1</definedName>
    <definedName name="solver_rel6" localSheetId="8" hidden="1">1</definedName>
    <definedName name="solver_rel7" localSheetId="8" hidden="1">1</definedName>
    <definedName name="solver_rel8" localSheetId="8" hidden="1">2</definedName>
    <definedName name="solver_rel9" localSheetId="8" hidden="1">3</definedName>
    <definedName name="solver_rhs1" localSheetId="8" hidden="1">'cluster'!$B$17</definedName>
    <definedName name="solver_rhs10" localSheetId="8" hidden="1">'cluster'!$CO$9</definedName>
    <definedName name="solver_rhs11" localSheetId="8" hidden="1">1</definedName>
    <definedName name="solver_rhs12" localSheetId="8" hidden="1">1</definedName>
    <definedName name="solver_rhs13" localSheetId="8" hidden="1">1</definedName>
    <definedName name="solver_rhs14" localSheetId="8" hidden="1">1</definedName>
    <definedName name="solver_rhs15" localSheetId="8" hidden="1">1</definedName>
    <definedName name="solver_rhs16" localSheetId="8" hidden="1">1</definedName>
    <definedName name="solver_rhs17" localSheetId="8" hidden="1">1</definedName>
    <definedName name="solver_rhs18" localSheetId="8" hidden="1">1</definedName>
    <definedName name="solver_rhs19" localSheetId="8" hidden="1">1</definedName>
    <definedName name="solver_rhs2" localSheetId="8" hidden="1">integer</definedName>
    <definedName name="solver_rhs20" localSheetId="8" hidden="1">1</definedName>
    <definedName name="solver_rhs21" localSheetId="8" hidden="1">1</definedName>
    <definedName name="solver_rhs22" localSheetId="8" hidden="1">1</definedName>
    <definedName name="solver_rhs3" localSheetId="8" hidden="1">1</definedName>
    <definedName name="solver_rhs4" localSheetId="8" hidden="1">1</definedName>
    <definedName name="solver_rhs5" localSheetId="8" hidden="1">1</definedName>
    <definedName name="solver_rhs6" localSheetId="8" hidden="1">1</definedName>
    <definedName name="solver_rhs7" localSheetId="8" hidden="1">1</definedName>
    <definedName name="solver_rhs8" localSheetId="8" hidden="1">6</definedName>
    <definedName name="solver_rhs9" localSheetId="8" hidden="1">'cluster'!$CF$18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typ" localSheetId="4" hidden="1">2</definedName>
    <definedName name="solver_typ" localSheetId="5" hidden="1">2</definedName>
    <definedName name="solver_typ" localSheetId="0" hidden="1">1</definedName>
    <definedName name="solver_val" localSheetId="8" hidden="1">0</definedName>
    <definedName name="solver_val" localSheetId="4" hidden="1">0</definedName>
    <definedName name="solver_val" localSheetId="5" hidden="1">0</definedName>
    <definedName name="solver_val" localSheetId="0" hidden="1">0</definedName>
    <definedName name="solver_ver" localSheetId="8" hidden="1">3</definedName>
    <definedName name="solver_ver" localSheetId="0" hidden="1">3</definedName>
    <definedName name="TEMPLATE" localSheetId="2">OFFSET('[4]SYD 08'!$D$3:$D$12,0,COUNTC('[4]SYD 08'!$D$1:$D$65536)-1)</definedName>
    <definedName name="TEMPLATE" localSheetId="8">OFFSET('[4]SYD 08'!$D$3:$D$12,0,COUNTC('[4]SYD 08'!$D$1:$D$65536)-1)</definedName>
    <definedName name="TEMPLATE" localSheetId="3">OFFSET('[4]SYD 08'!$D$3:$D$12,0,COUNTC('[4]SYD 08'!$D$1:$D$65536)-1)</definedName>
    <definedName name="TEMPLATE" localSheetId="6">OFFSET('[4]SYD 08'!$D$3:$D$12,0,COUNTC('[4]SYD 08'!$D$1:$D$65536)-1)</definedName>
    <definedName name="TEMPLATE" localSheetId="5">OFFSET('[4]SYD 08'!$D$3:$D$12,0,COUNTC('[4]SYD 08'!$D$1:$D$65536)-1)</definedName>
    <definedName name="TEMPLATE" localSheetId="1">OFFSET('[4]SYD 08'!$D$3:$D$12,0,COUNTC('[4]SYD 08'!$D$1:$D$65536)-1)</definedName>
    <definedName name="TEMPLATE" localSheetId="0">OFFSET('[4]SYD 08'!$D$3:$D$12,0,COUNTC('[4]SYD 08'!$D$1:$D$65536)-1)</definedName>
    <definedName name="TEMPLATE">OFFSET('[4]SYD 08'!$D$3:$D$12,0,COUNTC('[4]SYD 08'!$D$1:$D$65536)-1)</definedName>
    <definedName name="TOPPICKS">[6]Dashboard!$AX$20:$AX$21</definedName>
    <definedName name="VALUE" localSheetId="2">OFFSET('[1]SYD 08'!$D$3:$D$12,0,COUNTC('[1]SYD 08'!$D:$D)-1)</definedName>
    <definedName name="VALUE" localSheetId="8">OFFSET('[4]SYD 08'!$D$3:$D$12,0,COUNTC('[4]SYD 08'!$D$1:$D$65536)-1)</definedName>
    <definedName name="VALUE" localSheetId="3">OFFSET('[4]SYD 08'!$D$3:$D$12,0,COUNTC('[4]SYD 08'!$D$1:$D$65536)-1)</definedName>
    <definedName name="VALUE" localSheetId="6">OFFSET('[4]SYD 08'!$D$3:$D$12,0,COUNTC('[4]SYD 08'!$D$1:$D$65536)-1)</definedName>
    <definedName name="VALUE" localSheetId="5">OFFSET('[4]SYD 08'!$D$3:$D$12,0,COUNTC('[4]SYD 08'!$D$1:$D$65536)-1)</definedName>
    <definedName name="VALUE" localSheetId="1">OFFSET('[1]SYD 08'!$D$3:$D$12,0,COUNTC('[1]SYD 08'!$D:$D)-1)</definedName>
    <definedName name="VALUE" localSheetId="0">OFFSET('[1]SYD 08'!$D$3:$D$12,0,COUNTC('[1]SYD 08'!$D:$D)-1)</definedName>
    <definedName name="VALUE">OFFSET('[4]SYD 08'!$D$3:$D$12,0,COUNTC('[4]SYD 08'!$D$1:$D$65536)-1)</definedName>
    <definedName name="VALUE_10" localSheetId="2">OFFSET('[4]SYD 08'!$D$3:$D$12,0,COUNTC('[4]SYD 08'!$D$1:$D$65536)-1)</definedName>
    <definedName name="VALUE_10" localSheetId="8">OFFSET('[4]SYD 08'!$D$3:$D$12,0,COUNTC('[4]SYD 08'!$D$1:$D$65536)-1)</definedName>
    <definedName name="VALUE_10" localSheetId="3">OFFSET('[4]SYD 08'!$D$3:$D$12,0,COUNTC('[4]SYD 08'!$D$1:$D$65536)-1)</definedName>
    <definedName name="VALUE_10" localSheetId="6">OFFSET('[4]SYD 08'!$D$3:$D$12,0,COUNTC('[4]SYD 08'!$D$1:$D$65536)-1)</definedName>
    <definedName name="VALUE_10" localSheetId="5">OFFSET('[4]SYD 08'!$D$3:$D$12,0,COUNTC('[4]SYD 08'!$D$1:$D$65536)-1)</definedName>
    <definedName name="VALUE_10" localSheetId="1">OFFSET('[4]SYD 08'!$D$3:$D$12,0,COUNTC('[4]SYD 08'!$D$1:$D$65536)-1)</definedName>
    <definedName name="VALUE_10" localSheetId="0">OFFSET('[4]SYD 08'!$D$3:$D$12,0,COUNTC('[4]SYD 08'!$D$1:$D$65536)-1)</definedName>
    <definedName name="VALUE_10">OFFSET('[4]SYD 08'!$D$3:$D$12,0,COUNTC('[4]SYD 08'!$D$1:$D$65536)-1)</definedName>
    <definedName name="VALUE_11" localSheetId="2">OFFSET('[4]SYD 08'!$D$3:$D$12,0,COUNTC('[4]SYD 08'!$D$1:$D$65536)-1)</definedName>
    <definedName name="VALUE_11" localSheetId="8">OFFSET('[4]SYD 08'!$D$3:$D$12,0,COUNTC('[4]SYD 08'!$D$1:$D$65536)-1)</definedName>
    <definedName name="VALUE_11" localSheetId="3">OFFSET('[4]SYD 08'!$D$3:$D$12,0,COUNTC('[4]SYD 08'!$D$1:$D$65536)-1)</definedName>
    <definedName name="VALUE_11" localSheetId="6">OFFSET('[4]SYD 08'!$D$3:$D$12,0,COUNTC('[4]SYD 08'!$D$1:$D$65536)-1)</definedName>
    <definedName name="VALUE_11" localSheetId="5">OFFSET('[4]SYD 08'!$D$3:$D$12,0,COUNTC('[4]SYD 08'!$D$1:$D$65536)-1)</definedName>
    <definedName name="VALUE_11" localSheetId="1">OFFSET('[4]SYD 08'!$D$3:$D$12,0,COUNTC('[4]SYD 08'!$D$1:$D$65536)-1)</definedName>
    <definedName name="VALUE_11" localSheetId="0">OFFSET('[4]SYD 08'!$D$3:$D$12,0,COUNTC('[4]SYD 08'!$D$1:$D$65536)-1)</definedName>
    <definedName name="VALUE_11">OFFSET('[4]SYD 08'!$D$3:$D$12,0,COUNTC('[4]SYD 08'!$D$1:$D$65536)-1)</definedName>
    <definedName name="VALUE_12" localSheetId="2">OFFSET('[4]SYD 08'!$D$3:$D$12,0,COUNTC('[4]SYD 08'!$D$1:$D$65536)-1)</definedName>
    <definedName name="VALUE_12" localSheetId="8">OFFSET('[4]SYD 08'!$D$3:$D$12,0,COUNTC('[4]SYD 08'!$D$1:$D$65536)-1)</definedName>
    <definedName name="VALUE_12" localSheetId="3">OFFSET('[4]SYD 08'!$D$3:$D$12,0,COUNTC('[4]SYD 08'!$D$1:$D$65536)-1)</definedName>
    <definedName name="VALUE_12" localSheetId="6">OFFSET('[4]SYD 08'!$D$3:$D$12,0,COUNTC('[4]SYD 08'!$D$1:$D$65536)-1)</definedName>
    <definedName name="VALUE_12" localSheetId="5">OFFSET('[4]SYD 08'!$D$3:$D$12,0,COUNTC('[4]SYD 08'!$D$1:$D$65536)-1)</definedName>
    <definedName name="VALUE_12" localSheetId="1">OFFSET('[4]SYD 08'!$D$3:$D$12,0,COUNTC('[4]SYD 08'!$D$1:$D$65536)-1)</definedName>
    <definedName name="VALUE_12" localSheetId="0">OFFSET('[4]SYD 08'!$D$3:$D$12,0,COUNTC('[4]SYD 08'!$D$1:$D$65536)-1)</definedName>
    <definedName name="VALUE_12">OFFSET('[4]SYD 08'!$D$3:$D$12,0,COUNTC('[4]SYD 08'!$D$1:$D$65536)-1)</definedName>
    <definedName name="VALUE_13" localSheetId="2">OFFSET('[4]SYD 08'!$D$3:$D$12,0,COUNTC('[4]SYD 08'!$D$1:$D$65536)-1)</definedName>
    <definedName name="VALUE_13" localSheetId="8">OFFSET('[4]SYD 08'!$D$3:$D$12,0,COUNTC('[4]SYD 08'!$D$1:$D$65536)-1)</definedName>
    <definedName name="VALUE_13" localSheetId="3">OFFSET('[4]SYD 08'!$D$3:$D$12,0,COUNTC('[4]SYD 08'!$D$1:$D$65536)-1)</definedName>
    <definedName name="VALUE_13" localSheetId="6">OFFSET('[4]SYD 08'!$D$3:$D$12,0,COUNTC('[4]SYD 08'!$D$1:$D$65536)-1)</definedName>
    <definedName name="VALUE_13" localSheetId="5">OFFSET('[4]SYD 08'!$D$3:$D$12,0,COUNTC('[4]SYD 08'!$D$1:$D$65536)-1)</definedName>
    <definedName name="VALUE_13" localSheetId="1">OFFSET('[4]SYD 08'!$D$3:$D$12,0,COUNTC('[4]SYD 08'!$D$1:$D$65536)-1)</definedName>
    <definedName name="VALUE_13" localSheetId="0">OFFSET('[4]SYD 08'!$D$3:$D$12,0,COUNTC('[4]SYD 08'!$D$1:$D$65536)-1)</definedName>
    <definedName name="VALUE_13">OFFSET('[4]SYD 08'!$D$3:$D$12,0,COUNTC('[4]SYD 08'!$D$1:$D$65536)-1)</definedName>
    <definedName name="VALUE_14" localSheetId="2">OFFSET('[4]SYD 08'!$D$3:$D$12,0,COUNTC('[4]SYD 08'!$D$1:$D$65536)-1)</definedName>
    <definedName name="VALUE_14" localSheetId="8">OFFSET('[4]SYD 08'!$D$3:$D$12,0,COUNTC('[4]SYD 08'!$D$1:$D$65536)-1)</definedName>
    <definedName name="VALUE_14" localSheetId="3">OFFSET('[4]SYD 08'!$D$3:$D$12,0,COUNTC('[4]SYD 08'!$D$1:$D$65536)-1)</definedName>
    <definedName name="VALUE_14" localSheetId="6">OFFSET('[4]SYD 08'!$D$3:$D$12,0,COUNTC('[4]SYD 08'!$D$1:$D$65536)-1)</definedName>
    <definedName name="VALUE_14" localSheetId="5">OFFSET('[4]SYD 08'!$D$3:$D$12,0,COUNTC('[4]SYD 08'!$D$1:$D$65536)-1)</definedName>
    <definedName name="VALUE_14" localSheetId="1">OFFSET('[4]SYD 08'!$D$3:$D$12,0,COUNTC('[4]SYD 08'!$D$1:$D$65536)-1)</definedName>
    <definedName name="VALUE_14" localSheetId="0">OFFSET('[4]SYD 08'!$D$3:$D$12,0,COUNTC('[4]SYD 08'!$D$1:$D$65536)-1)</definedName>
    <definedName name="VALUE_14">OFFSET('[4]SYD 08'!$D$3:$D$12,0,COUNTC('[4]SYD 08'!$D$1:$D$65536)-1)</definedName>
    <definedName name="VALUE_15" localSheetId="2">OFFSET('[4]SYD 08'!$D$3:$D$12,0,COUNTC('[4]SYD 08'!$D$1:$D$65536)-1)</definedName>
    <definedName name="VALUE_15" localSheetId="8">OFFSET('[4]SYD 08'!$D$3:$D$12,0,COUNTC('[4]SYD 08'!$D$1:$D$65536)-1)</definedName>
    <definedName name="VALUE_15" localSheetId="3">OFFSET('[4]SYD 08'!$D$3:$D$12,0,COUNTC('[4]SYD 08'!$D$1:$D$65536)-1)</definedName>
    <definedName name="VALUE_15" localSheetId="6">OFFSET('[4]SYD 08'!$D$3:$D$12,0,COUNTC('[4]SYD 08'!$D$1:$D$65536)-1)</definedName>
    <definedName name="VALUE_15" localSheetId="5">OFFSET('[4]SYD 08'!$D$3:$D$12,0,COUNTC('[4]SYD 08'!$D$1:$D$65536)-1)</definedName>
    <definedName name="VALUE_15" localSheetId="1">OFFSET('[4]SYD 08'!$D$3:$D$12,0,COUNTC('[4]SYD 08'!$D$1:$D$65536)-1)</definedName>
    <definedName name="VALUE_15" localSheetId="0">OFFSET('[4]SYD 08'!$D$3:$D$12,0,COUNTC('[4]SYD 08'!$D$1:$D$65536)-1)</definedName>
    <definedName name="VALUE_15">OFFSET('[4]SYD 08'!$D$3:$D$12,0,COUNTC('[4]SYD 08'!$D$1:$D$65536)-1)</definedName>
    <definedName name="VALUE_16" localSheetId="2">OFFSET('[4]SYD 08'!$D$3:$D$12,0,COUNTC('[4]SYD 08'!$D$1:$D$65536)-1)</definedName>
    <definedName name="VALUE_16" localSheetId="8">OFFSET('[4]SYD 08'!$D$3:$D$12,0,COUNTC('[4]SYD 08'!$D$1:$D$65536)-1)</definedName>
    <definedName name="VALUE_16" localSheetId="3">OFFSET('[4]SYD 08'!$D$3:$D$12,0,COUNTC('[4]SYD 08'!$D$1:$D$65536)-1)</definedName>
    <definedName name="VALUE_16" localSheetId="6">OFFSET('[4]SYD 08'!$D$3:$D$12,0,COUNTC('[4]SYD 08'!$D$1:$D$65536)-1)</definedName>
    <definedName name="VALUE_16" localSheetId="5">OFFSET('[4]SYD 08'!$D$3:$D$12,0,COUNTC('[4]SYD 08'!$D$1:$D$65536)-1)</definedName>
    <definedName name="VALUE_16" localSheetId="1">OFFSET('[4]SYD 08'!$D$3:$D$12,0,COUNTC('[4]SYD 08'!$D$1:$D$65536)-1)</definedName>
    <definedName name="VALUE_16" localSheetId="0">OFFSET('[4]SYD 08'!$D$3:$D$12,0,COUNTC('[4]SYD 08'!$D$1:$D$65536)-1)</definedName>
    <definedName name="VALUE_16">OFFSET('[4]SYD 08'!$D$3:$D$12,0,COUNTC('[4]SYD 08'!$D$1:$D$65536)-1)</definedName>
    <definedName name="VALUE_17" localSheetId="2">OFFSET('[4]SYD 08'!$D$3:$D$12,0,COUNTC('[4]SYD 08'!$D$1:$D$65536)-1)</definedName>
    <definedName name="VALUE_17" localSheetId="8">OFFSET('[4]SYD 08'!$D$3:$D$12,0,COUNTC('[4]SYD 08'!$D$1:$D$65536)-1)</definedName>
    <definedName name="VALUE_17" localSheetId="3">OFFSET('[4]SYD 08'!$D$3:$D$12,0,COUNTC('[4]SYD 08'!$D$1:$D$65536)-1)</definedName>
    <definedName name="VALUE_17" localSheetId="6">OFFSET('[4]SYD 08'!$D$3:$D$12,0,COUNTC('[4]SYD 08'!$D$1:$D$65536)-1)</definedName>
    <definedName name="VALUE_17" localSheetId="5">OFFSET('[4]SYD 08'!$D$3:$D$12,0,COUNTC('[4]SYD 08'!$D$1:$D$65536)-1)</definedName>
    <definedName name="VALUE_17" localSheetId="1">OFFSET('[4]SYD 08'!$D$3:$D$12,0,COUNTC('[4]SYD 08'!$D$1:$D$65536)-1)</definedName>
    <definedName name="VALUE_17" localSheetId="0">OFFSET('[4]SYD 08'!$D$3:$D$12,0,COUNTC('[4]SYD 08'!$D$1:$D$65536)-1)</definedName>
    <definedName name="VALUE_17">OFFSET('[4]SYD 08'!$D$3:$D$12,0,COUNTC('[4]SYD 08'!$D$1:$D$65536)-1)</definedName>
    <definedName name="VALUE_18" localSheetId="2">OFFSET('[4]SYD 08'!$D$3:$D$12,0,COUNTC('[4]SYD 08'!$D$1:$D$65536)-1)</definedName>
    <definedName name="VALUE_18" localSheetId="8">OFFSET('[4]SYD 08'!$D$3:$D$12,0,COUNTC('[4]SYD 08'!$D$1:$D$65536)-1)</definedName>
    <definedName name="VALUE_18" localSheetId="3">OFFSET('[4]SYD 08'!$D$3:$D$12,0,COUNTC('[4]SYD 08'!$D$1:$D$65536)-1)</definedName>
    <definedName name="VALUE_18" localSheetId="6">OFFSET('[4]SYD 08'!$D$3:$D$12,0,COUNTC('[4]SYD 08'!$D$1:$D$65536)-1)</definedName>
    <definedName name="VALUE_18" localSheetId="5">OFFSET('[4]SYD 08'!$D$3:$D$12,0,COUNTC('[4]SYD 08'!$D$1:$D$65536)-1)</definedName>
    <definedName name="VALUE_18" localSheetId="1">OFFSET('[4]SYD 08'!$D$3:$D$12,0,COUNTC('[4]SYD 08'!$D$1:$D$65536)-1)</definedName>
    <definedName name="VALUE_18" localSheetId="0">OFFSET('[4]SYD 08'!$D$3:$D$12,0,COUNTC('[4]SYD 08'!$D$1:$D$65536)-1)</definedName>
    <definedName name="VALUE_18">OFFSET('[4]SYD 08'!$D$3:$D$12,0,COUNTC('[4]SYD 08'!$D$1:$D$65536)-1)</definedName>
    <definedName name="VALUE_19" localSheetId="2">OFFSET('[4]SYD 08'!$D$3:$D$12,0,COUNTC('[4]SYD 08'!$D$1:$D$65536)-1)</definedName>
    <definedName name="VALUE_19" localSheetId="8">OFFSET('[4]SYD 08'!$D$3:$D$12,0,COUNTC('[4]SYD 08'!$D$1:$D$65536)-1)</definedName>
    <definedName name="VALUE_19" localSheetId="3">OFFSET('[4]SYD 08'!$D$3:$D$12,0,COUNTC('[4]SYD 08'!$D$1:$D$65536)-1)</definedName>
    <definedName name="VALUE_19" localSheetId="6">OFFSET('[4]SYD 08'!$D$3:$D$12,0,COUNTC('[4]SYD 08'!$D$1:$D$65536)-1)</definedName>
    <definedName name="VALUE_19" localSheetId="5">OFFSET('[4]SYD 08'!$D$3:$D$12,0,COUNTC('[4]SYD 08'!$D$1:$D$65536)-1)</definedName>
    <definedName name="VALUE_19" localSheetId="1">OFFSET('[4]SYD 08'!$D$3:$D$12,0,COUNTC('[4]SYD 08'!$D$1:$D$65536)-1)</definedName>
    <definedName name="VALUE_19" localSheetId="0">OFFSET('[4]SYD 08'!$D$3:$D$12,0,COUNTC('[4]SYD 08'!$D$1:$D$65536)-1)</definedName>
    <definedName name="VALUE_19">OFFSET('[4]SYD 08'!$D$3:$D$12,0,COUNTC('[4]SYD 08'!$D$1:$D$65536)-1)</definedName>
    <definedName name="VALUE_2" localSheetId="2">OFFSET('[4]SYD 08'!$D$3:$D$12,0,COUNTC('[4]SYD 08'!$D$1:$D$65536)-1)</definedName>
    <definedName name="VALUE_2" localSheetId="8">OFFSET('[4]SYD 08'!$D$3:$D$12,0,COUNTC('[4]SYD 08'!$D$1:$D$65536)-1)</definedName>
    <definedName name="VALUE_2" localSheetId="3">OFFSET('[4]SYD 08'!$D$3:$D$12,0,COUNTC('[4]SYD 08'!$D$1:$D$65536)-1)</definedName>
    <definedName name="VALUE_2" localSheetId="6">OFFSET('[4]SYD 08'!$D$3:$D$12,0,COUNTC('[4]SYD 08'!$D$1:$D$65536)-1)</definedName>
    <definedName name="VALUE_2" localSheetId="5">OFFSET('[4]SYD 08'!$D$3:$D$12,0,COUNTC('[4]SYD 08'!$D$1:$D$65536)-1)</definedName>
    <definedName name="VALUE_2" localSheetId="1">OFFSET('[4]SYD 08'!$D$3:$D$12,0,COUNTC('[4]SYD 08'!$D$1:$D$65536)-1)</definedName>
    <definedName name="VALUE_2" localSheetId="0">OFFSET('[4]SYD 08'!$D$3:$D$12,0,COUNTC('[4]SYD 08'!$D$1:$D$65536)-1)</definedName>
    <definedName name="VALUE_2">OFFSET('[4]SYD 08'!$D$3:$D$12,0,COUNTC('[4]SYD 08'!$D$1:$D$65536)-1)</definedName>
    <definedName name="VALUE_20" localSheetId="2">OFFSET('[4]SYD 08'!$D$3:$D$12,0,COUNTC('[4]SYD 08'!$D$1:$D$65536)-1)</definedName>
    <definedName name="VALUE_20" localSheetId="8">OFFSET('[4]SYD 08'!$D$3:$D$12,0,COUNTC('[4]SYD 08'!$D$1:$D$65536)-1)</definedName>
    <definedName name="VALUE_20" localSheetId="3">OFFSET('[4]SYD 08'!$D$3:$D$12,0,COUNTC('[4]SYD 08'!$D$1:$D$65536)-1)</definedName>
    <definedName name="VALUE_20" localSheetId="6">OFFSET('[4]SYD 08'!$D$3:$D$12,0,COUNTC('[4]SYD 08'!$D$1:$D$65536)-1)</definedName>
    <definedName name="VALUE_20" localSheetId="5">OFFSET('[4]SYD 08'!$D$3:$D$12,0,COUNTC('[4]SYD 08'!$D$1:$D$65536)-1)</definedName>
    <definedName name="VALUE_20" localSheetId="1">OFFSET('[4]SYD 08'!$D$3:$D$12,0,COUNTC('[4]SYD 08'!$D$1:$D$65536)-1)</definedName>
    <definedName name="VALUE_20" localSheetId="0">OFFSET('[4]SYD 08'!$D$3:$D$12,0,COUNTC('[4]SYD 08'!$D$1:$D$65536)-1)</definedName>
    <definedName name="VALUE_20">OFFSET('[4]SYD 08'!$D$3:$D$12,0,COUNTC('[4]SYD 08'!$D$1:$D$65536)-1)</definedName>
    <definedName name="VALUE_21" localSheetId="2">OFFSET('[4]SYD 08'!$D$3:$D$12,0,COUNTC('[4]SYD 08'!$D$1:$D$65536)-1)</definedName>
    <definedName name="VALUE_21" localSheetId="8">OFFSET('[4]SYD 08'!$D$3:$D$12,0,COUNTC('[4]SYD 08'!$D$1:$D$65536)-1)</definedName>
    <definedName name="VALUE_21" localSheetId="3">OFFSET('[4]SYD 08'!$D$3:$D$12,0,COUNTC('[4]SYD 08'!$D$1:$D$65536)-1)</definedName>
    <definedName name="VALUE_21" localSheetId="6">OFFSET('[4]SYD 08'!$D$3:$D$12,0,COUNTC('[4]SYD 08'!$D$1:$D$65536)-1)</definedName>
    <definedName name="VALUE_21" localSheetId="5">OFFSET('[4]SYD 08'!$D$3:$D$12,0,COUNTC('[4]SYD 08'!$D$1:$D$65536)-1)</definedName>
    <definedName name="VALUE_21" localSheetId="1">OFFSET('[4]SYD 08'!$D$3:$D$12,0,COUNTC('[4]SYD 08'!$D$1:$D$65536)-1)</definedName>
    <definedName name="VALUE_21" localSheetId="0">OFFSET('[4]SYD 08'!$D$3:$D$12,0,COUNTC('[4]SYD 08'!$D$1:$D$65536)-1)</definedName>
    <definedName name="VALUE_21">OFFSET('[4]SYD 08'!$D$3:$D$12,0,COUNTC('[4]SYD 08'!$D$1:$D$65536)-1)</definedName>
    <definedName name="VALUE_22" localSheetId="2">OFFSET('[4]SYD 08'!$D$3:$D$12,0,COUNTC('[4]SYD 08'!$D$1:$D$65536)-1)</definedName>
    <definedName name="VALUE_22" localSheetId="8">OFFSET('[4]SYD 08'!$D$3:$D$12,0,COUNTC('[4]SYD 08'!$D$1:$D$65536)-1)</definedName>
    <definedName name="VALUE_22" localSheetId="3">OFFSET('[4]SYD 08'!$D$3:$D$12,0,COUNTC('[4]SYD 08'!$D$1:$D$65536)-1)</definedName>
    <definedName name="VALUE_22" localSheetId="6">OFFSET('[4]SYD 08'!$D$3:$D$12,0,COUNTC('[4]SYD 08'!$D$1:$D$65536)-1)</definedName>
    <definedName name="VALUE_22" localSheetId="5">OFFSET('[4]SYD 08'!$D$3:$D$12,0,COUNTC('[4]SYD 08'!$D$1:$D$65536)-1)</definedName>
    <definedName name="VALUE_22" localSheetId="1">OFFSET('[4]SYD 08'!$D$3:$D$12,0,COUNTC('[4]SYD 08'!$D$1:$D$65536)-1)</definedName>
    <definedName name="VALUE_22" localSheetId="0">OFFSET('[4]SYD 08'!$D$3:$D$12,0,COUNTC('[4]SYD 08'!$D$1:$D$65536)-1)</definedName>
    <definedName name="VALUE_22">OFFSET('[4]SYD 08'!$D$3:$D$12,0,COUNTC('[4]SYD 08'!$D$1:$D$65536)-1)</definedName>
    <definedName name="VALUE_23" localSheetId="2">OFFSET('[4]SYD 08'!$D$3:$D$12,0,COUNTC('[4]SYD 08'!$D$1:$D$65536)-1)</definedName>
    <definedName name="VALUE_23" localSheetId="8">OFFSET('[4]SYD 08'!$D$3:$D$12,0,COUNTC('[4]SYD 08'!$D$1:$D$65536)-1)</definedName>
    <definedName name="VALUE_23" localSheetId="3">OFFSET('[4]SYD 08'!$D$3:$D$12,0,COUNTC('[4]SYD 08'!$D$1:$D$65536)-1)</definedName>
    <definedName name="VALUE_23" localSheetId="6">OFFSET('[4]SYD 08'!$D$3:$D$12,0,COUNTC('[4]SYD 08'!$D$1:$D$65536)-1)</definedName>
    <definedName name="VALUE_23" localSheetId="5">OFFSET('[4]SYD 08'!$D$3:$D$12,0,COUNTC('[4]SYD 08'!$D$1:$D$65536)-1)</definedName>
    <definedName name="VALUE_23" localSheetId="1">OFFSET('[4]SYD 08'!$D$3:$D$12,0,COUNTC('[4]SYD 08'!$D$1:$D$65536)-1)</definedName>
    <definedName name="VALUE_23" localSheetId="0">OFFSET('[4]SYD 08'!$D$3:$D$12,0,COUNTC('[4]SYD 08'!$D$1:$D$65536)-1)</definedName>
    <definedName name="VALUE_23">OFFSET('[4]SYD 08'!$D$3:$D$12,0,COUNTC('[4]SYD 08'!$D$1:$D$65536)-1)</definedName>
    <definedName name="VALUE_24" localSheetId="2">OFFSET('[4]SYD 08'!$D$3:$D$12,0,COUNTC('[4]SYD 08'!$D$1:$D$65536)-1)</definedName>
    <definedName name="VALUE_24" localSheetId="8">OFFSET('[4]SYD 08'!$D$3:$D$12,0,COUNTC('[4]SYD 08'!$D$1:$D$65536)-1)</definedName>
    <definedName name="VALUE_24" localSheetId="3">OFFSET('[4]SYD 08'!$D$3:$D$12,0,COUNTC('[4]SYD 08'!$D$1:$D$65536)-1)</definedName>
    <definedName name="VALUE_24" localSheetId="6">OFFSET('[4]SYD 08'!$D$3:$D$12,0,COUNTC('[4]SYD 08'!$D$1:$D$65536)-1)</definedName>
    <definedName name="VALUE_24" localSheetId="5">OFFSET('[4]SYD 08'!$D$3:$D$12,0,COUNTC('[4]SYD 08'!$D$1:$D$65536)-1)</definedName>
    <definedName name="VALUE_24" localSheetId="1">OFFSET('[4]SYD 08'!$D$3:$D$12,0,COUNTC('[4]SYD 08'!$D$1:$D$65536)-1)</definedName>
    <definedName name="VALUE_24" localSheetId="0">OFFSET('[4]SYD 08'!$D$3:$D$12,0,COUNTC('[4]SYD 08'!$D$1:$D$65536)-1)</definedName>
    <definedName name="VALUE_24">OFFSET('[4]SYD 08'!$D$3:$D$12,0,COUNTC('[4]SYD 08'!$D$1:$D$65536)-1)</definedName>
    <definedName name="VALUE_25" localSheetId="2">OFFSET('[4]SYD 08'!$D$3:$D$12,0,COUNTC('[4]SYD 08'!$D$1:$D$65536)-1)</definedName>
    <definedName name="VALUE_25" localSheetId="8">OFFSET('[4]SYD 08'!$D$3:$D$12,0,COUNTC('[4]SYD 08'!$D$1:$D$65536)-1)</definedName>
    <definedName name="VALUE_25" localSheetId="3">OFFSET('[4]SYD 08'!$D$3:$D$12,0,COUNTC('[4]SYD 08'!$D$1:$D$65536)-1)</definedName>
    <definedName name="VALUE_25" localSheetId="6">OFFSET('[4]SYD 08'!$D$3:$D$12,0,COUNTC('[4]SYD 08'!$D$1:$D$65536)-1)</definedName>
    <definedName name="VALUE_25" localSheetId="5">OFFSET('[4]SYD 08'!$D$3:$D$12,0,COUNTC('[4]SYD 08'!$D$1:$D$65536)-1)</definedName>
    <definedName name="VALUE_25" localSheetId="1">OFFSET('[4]SYD 08'!$D$3:$D$12,0,COUNTC('[4]SYD 08'!$D$1:$D$65536)-1)</definedName>
    <definedName name="VALUE_25" localSheetId="0">OFFSET('[4]SYD 08'!$D$3:$D$12,0,COUNTC('[4]SYD 08'!$D$1:$D$65536)-1)</definedName>
    <definedName name="VALUE_25">OFFSET('[4]SYD 08'!$D$3:$D$12,0,COUNTC('[4]SYD 08'!$D$1:$D$65536)-1)</definedName>
    <definedName name="VALUE_26" localSheetId="2">OFFSET('[4]SYD 08'!$D$3:$D$12,0,COUNTC('[4]SYD 08'!$D$1:$D$65536)-1)</definedName>
    <definedName name="VALUE_26" localSheetId="8">OFFSET('[4]SYD 08'!$D$3:$D$12,0,COUNTC('[4]SYD 08'!$D$1:$D$65536)-1)</definedName>
    <definedName name="VALUE_26" localSheetId="3">OFFSET('[4]SYD 08'!$D$3:$D$12,0,COUNTC('[4]SYD 08'!$D$1:$D$65536)-1)</definedName>
    <definedName name="VALUE_26" localSheetId="6">OFFSET('[4]SYD 08'!$D$3:$D$12,0,COUNTC('[4]SYD 08'!$D$1:$D$65536)-1)</definedName>
    <definedName name="VALUE_26" localSheetId="5">OFFSET('[4]SYD 08'!$D$3:$D$12,0,COUNTC('[4]SYD 08'!$D$1:$D$65536)-1)</definedName>
    <definedName name="VALUE_26" localSheetId="1">OFFSET('[4]SYD 08'!$D$3:$D$12,0,COUNTC('[4]SYD 08'!$D$1:$D$65536)-1)</definedName>
    <definedName name="VALUE_26" localSheetId="0">OFFSET('[4]SYD 08'!$D$3:$D$12,0,COUNTC('[4]SYD 08'!$D$1:$D$65536)-1)</definedName>
    <definedName name="VALUE_26">OFFSET('[4]SYD 08'!$D$3:$D$12,0,COUNTC('[4]SYD 08'!$D$1:$D$65536)-1)</definedName>
    <definedName name="VALUE_27" localSheetId="2">OFFSET('[4]SYD 08'!$D$3:$D$12,0,COUNTC('[4]SYD 08'!$D$1:$D$65536)-1)</definedName>
    <definedName name="VALUE_27" localSheetId="8">OFFSET('[4]SYD 08'!$D$3:$D$12,0,COUNTC('[4]SYD 08'!$D$1:$D$65536)-1)</definedName>
    <definedName name="VALUE_27" localSheetId="3">OFFSET('[4]SYD 08'!$D$3:$D$12,0,COUNTC('[4]SYD 08'!$D$1:$D$65536)-1)</definedName>
    <definedName name="VALUE_27" localSheetId="6">OFFSET('[4]SYD 08'!$D$3:$D$12,0,COUNTC('[4]SYD 08'!$D$1:$D$65536)-1)</definedName>
    <definedName name="VALUE_27" localSheetId="5">OFFSET('[4]SYD 08'!$D$3:$D$12,0,COUNTC('[4]SYD 08'!$D$1:$D$65536)-1)</definedName>
    <definedName name="VALUE_27" localSheetId="1">OFFSET('[4]SYD 08'!$D$3:$D$12,0,COUNTC('[4]SYD 08'!$D$1:$D$65536)-1)</definedName>
    <definedName name="VALUE_27" localSheetId="0">OFFSET('[4]SYD 08'!$D$3:$D$12,0,COUNTC('[4]SYD 08'!$D$1:$D$65536)-1)</definedName>
    <definedName name="VALUE_27">OFFSET('[4]SYD 08'!$D$3:$D$12,0,COUNTC('[4]SYD 08'!$D$1:$D$65536)-1)</definedName>
    <definedName name="VALUE_28" localSheetId="2">OFFSET('[4]SYD 08'!$D$3:$D$12,0,COUNTC('[4]SYD 08'!$D$1:$D$65536)-1)</definedName>
    <definedName name="VALUE_28" localSheetId="8">OFFSET('[4]SYD 08'!$D$3:$D$12,0,COUNTC('[4]SYD 08'!$D$1:$D$65536)-1)</definedName>
    <definedName name="VALUE_28" localSheetId="3">OFFSET('[4]SYD 08'!$D$3:$D$12,0,COUNTC('[4]SYD 08'!$D$1:$D$65536)-1)</definedName>
    <definedName name="VALUE_28" localSheetId="6">OFFSET('[4]SYD 08'!$D$3:$D$12,0,COUNTC('[4]SYD 08'!$D$1:$D$65536)-1)</definedName>
    <definedName name="VALUE_28" localSheetId="5">OFFSET('[4]SYD 08'!$D$3:$D$12,0,COUNTC('[4]SYD 08'!$D$1:$D$65536)-1)</definedName>
    <definedName name="VALUE_28" localSheetId="1">OFFSET('[4]SYD 08'!$D$3:$D$12,0,COUNTC('[4]SYD 08'!$D$1:$D$65536)-1)</definedName>
    <definedName name="VALUE_28" localSheetId="0">OFFSET('[4]SYD 08'!$D$3:$D$12,0,COUNTC('[4]SYD 08'!$D$1:$D$65536)-1)</definedName>
    <definedName name="VALUE_28">OFFSET('[4]SYD 08'!$D$3:$D$12,0,COUNTC('[4]SYD 08'!$D$1:$D$65536)-1)</definedName>
    <definedName name="VALUE_29" localSheetId="2">OFFSET('[4]SYD 08'!$D$3:$D$12,0,COUNTC('[4]SYD 08'!$D$1:$D$65536)-1)</definedName>
    <definedName name="VALUE_29" localSheetId="8">OFFSET('[4]SYD 08'!$D$3:$D$12,0,COUNTC('[4]SYD 08'!$D$1:$D$65536)-1)</definedName>
    <definedName name="VALUE_29" localSheetId="3">OFFSET('[4]SYD 08'!$D$3:$D$12,0,COUNTC('[4]SYD 08'!$D$1:$D$65536)-1)</definedName>
    <definedName name="VALUE_29" localSheetId="6">OFFSET('[4]SYD 08'!$D$3:$D$12,0,COUNTC('[4]SYD 08'!$D$1:$D$65536)-1)</definedName>
    <definedName name="VALUE_29" localSheetId="5">OFFSET('[4]SYD 08'!$D$3:$D$12,0,COUNTC('[4]SYD 08'!$D$1:$D$65536)-1)</definedName>
    <definedName name="VALUE_29" localSheetId="1">OFFSET('[4]SYD 08'!$D$3:$D$12,0,COUNTC('[4]SYD 08'!$D$1:$D$65536)-1)</definedName>
    <definedName name="VALUE_29" localSheetId="0">OFFSET('[4]SYD 08'!$D$3:$D$12,0,COUNTC('[4]SYD 08'!$D$1:$D$65536)-1)</definedName>
    <definedName name="VALUE_29">OFFSET('[4]SYD 08'!$D$3:$D$12,0,COUNTC('[4]SYD 08'!$D$1:$D$65536)-1)</definedName>
    <definedName name="VALUE_3" localSheetId="2">OFFSET('[4]SYD 08'!$D$3:$D$12,0,COUNTC('[4]SYD 08'!$D$1:$D$65536)-1)</definedName>
    <definedName name="VALUE_3" localSheetId="8">OFFSET('[4]SYD 08'!$D$3:$D$12,0,COUNTC('[4]SYD 08'!$D$1:$D$65536)-1)</definedName>
    <definedName name="VALUE_3" localSheetId="3">OFFSET('[4]SYD 08'!$D$3:$D$12,0,COUNTC('[4]SYD 08'!$D$1:$D$65536)-1)</definedName>
    <definedName name="VALUE_3" localSheetId="6">OFFSET('[4]SYD 08'!$D$3:$D$12,0,COUNTC('[4]SYD 08'!$D$1:$D$65536)-1)</definedName>
    <definedName name="VALUE_3" localSheetId="5">OFFSET('[4]SYD 08'!$D$3:$D$12,0,COUNTC('[4]SYD 08'!$D$1:$D$65536)-1)</definedName>
    <definedName name="VALUE_3" localSheetId="1">OFFSET('[4]SYD 08'!$D$3:$D$12,0,COUNTC('[4]SYD 08'!$D$1:$D$65536)-1)</definedName>
    <definedName name="VALUE_3" localSheetId="0">OFFSET('[4]SYD 08'!$D$3:$D$12,0,COUNTC('[4]SYD 08'!$D$1:$D$65536)-1)</definedName>
    <definedName name="VALUE_3">OFFSET('[4]SYD 08'!$D$3:$D$12,0,COUNTC('[4]SYD 08'!$D$1:$D$65536)-1)</definedName>
    <definedName name="VALUE_30" localSheetId="2">OFFSET('[4]SYD 08'!$D$3:$D$12,0,COUNTC('[4]SYD 08'!$D$1:$D$65536)-1)</definedName>
    <definedName name="VALUE_30" localSheetId="8">OFFSET('[4]SYD 08'!$D$3:$D$12,0,COUNTC('[4]SYD 08'!$D$1:$D$65536)-1)</definedName>
    <definedName name="VALUE_30" localSheetId="3">OFFSET('[4]SYD 08'!$D$3:$D$12,0,COUNTC('[4]SYD 08'!$D$1:$D$65536)-1)</definedName>
    <definedName name="VALUE_30" localSheetId="6">OFFSET('[4]SYD 08'!$D$3:$D$12,0,COUNTC('[4]SYD 08'!$D$1:$D$65536)-1)</definedName>
    <definedName name="VALUE_30" localSheetId="5">OFFSET('[4]SYD 08'!$D$3:$D$12,0,COUNTC('[4]SYD 08'!$D$1:$D$65536)-1)</definedName>
    <definedName name="VALUE_30" localSheetId="1">OFFSET('[4]SYD 08'!$D$3:$D$12,0,COUNTC('[4]SYD 08'!$D$1:$D$65536)-1)</definedName>
    <definedName name="VALUE_30" localSheetId="0">OFFSET('[4]SYD 08'!$D$3:$D$12,0,COUNTC('[4]SYD 08'!$D$1:$D$65536)-1)</definedName>
    <definedName name="VALUE_30">OFFSET('[4]SYD 08'!$D$3:$D$12,0,COUNTC('[4]SYD 08'!$D$1:$D$65536)-1)</definedName>
    <definedName name="VALUE_31" localSheetId="2">OFFSET('[4]SYD 08'!$D$3:$D$12,0,COUNTC('[4]SYD 08'!$D$1:$D$65536)-1)</definedName>
    <definedName name="VALUE_31" localSheetId="8">OFFSET('[4]SYD 08'!$D$3:$D$12,0,COUNTC('[4]SYD 08'!$D$1:$D$65536)-1)</definedName>
    <definedName name="VALUE_31" localSheetId="3">OFFSET('[4]SYD 08'!$D$3:$D$12,0,COUNTC('[4]SYD 08'!$D$1:$D$65536)-1)</definedName>
    <definedName name="VALUE_31" localSheetId="6">OFFSET('[4]SYD 08'!$D$3:$D$12,0,COUNTC('[4]SYD 08'!$D$1:$D$65536)-1)</definedName>
    <definedName name="VALUE_31" localSheetId="5">OFFSET('[4]SYD 08'!$D$3:$D$12,0,COUNTC('[4]SYD 08'!$D$1:$D$65536)-1)</definedName>
    <definedName name="VALUE_31" localSheetId="1">OFFSET('[4]SYD 08'!$D$3:$D$12,0,COUNTC('[4]SYD 08'!$D$1:$D$65536)-1)</definedName>
    <definedName name="VALUE_31" localSheetId="0">OFFSET('[4]SYD 08'!$D$3:$D$12,0,COUNTC('[4]SYD 08'!$D$1:$D$65536)-1)</definedName>
    <definedName name="VALUE_31">OFFSET('[4]SYD 08'!$D$3:$D$12,0,COUNTC('[4]SYD 08'!$D$1:$D$65536)-1)</definedName>
    <definedName name="VALUE_32" localSheetId="2">OFFSET('[4]SYD 08'!$D$3:$D$12,0,COUNTC('[4]SYD 08'!$D$1:$D$65536)-1)</definedName>
    <definedName name="VALUE_32" localSheetId="8">OFFSET('[4]SYD 08'!$D$3:$D$12,0,COUNTC('[4]SYD 08'!$D$1:$D$65536)-1)</definedName>
    <definedName name="VALUE_32" localSheetId="3">OFFSET('[4]SYD 08'!$D$3:$D$12,0,COUNTC('[4]SYD 08'!$D$1:$D$65536)-1)</definedName>
    <definedName name="VALUE_32" localSheetId="6">OFFSET('[4]SYD 08'!$D$3:$D$12,0,COUNTC('[4]SYD 08'!$D$1:$D$65536)-1)</definedName>
    <definedName name="VALUE_32" localSheetId="5">OFFSET('[4]SYD 08'!$D$3:$D$12,0,COUNTC('[4]SYD 08'!$D$1:$D$65536)-1)</definedName>
    <definedName name="VALUE_32" localSheetId="1">OFFSET('[4]SYD 08'!$D$3:$D$12,0,COUNTC('[4]SYD 08'!$D$1:$D$65536)-1)</definedName>
    <definedName name="VALUE_32" localSheetId="0">OFFSET('[4]SYD 08'!$D$3:$D$12,0,COUNTC('[4]SYD 08'!$D$1:$D$65536)-1)</definedName>
    <definedName name="VALUE_32">OFFSET('[4]SYD 08'!$D$3:$D$12,0,COUNTC('[4]SYD 08'!$D$1:$D$65536)-1)</definedName>
    <definedName name="VALUE_33" localSheetId="2">OFFSET('[4]SYD 08'!$D$3:$D$12,0,COUNTC('[4]SYD 08'!$D$1:$D$65536)-1)</definedName>
    <definedName name="VALUE_33" localSheetId="8">OFFSET('[4]SYD 08'!$D$3:$D$12,0,COUNTC('[4]SYD 08'!$D$1:$D$65536)-1)</definedName>
    <definedName name="VALUE_33" localSheetId="3">OFFSET('[4]SYD 08'!$D$3:$D$12,0,COUNTC('[4]SYD 08'!$D$1:$D$65536)-1)</definedName>
    <definedName name="VALUE_33" localSheetId="6">OFFSET('[4]SYD 08'!$D$3:$D$12,0,COUNTC('[4]SYD 08'!$D$1:$D$65536)-1)</definedName>
    <definedName name="VALUE_33" localSheetId="5">OFFSET('[4]SYD 08'!$D$3:$D$12,0,COUNTC('[4]SYD 08'!$D$1:$D$65536)-1)</definedName>
    <definedName name="VALUE_33" localSheetId="1">OFFSET('[4]SYD 08'!$D$3:$D$12,0,COUNTC('[4]SYD 08'!$D$1:$D$65536)-1)</definedName>
    <definedName name="VALUE_33" localSheetId="0">OFFSET('[4]SYD 08'!$D$3:$D$12,0,COUNTC('[4]SYD 08'!$D$1:$D$65536)-1)</definedName>
    <definedName name="VALUE_33">OFFSET('[4]SYD 08'!$D$3:$D$12,0,COUNTC('[4]SYD 08'!$D$1:$D$65536)-1)</definedName>
    <definedName name="VALUE_34" localSheetId="2">OFFSET('[4]SYD 08'!$D$3:$D$12,0,COUNTC('[4]SYD 08'!$D$1:$D$65536)-1)</definedName>
    <definedName name="VALUE_34" localSheetId="8">OFFSET('[4]SYD 08'!$D$3:$D$12,0,COUNTC('[4]SYD 08'!$D$1:$D$65536)-1)</definedName>
    <definedName name="VALUE_34" localSheetId="3">OFFSET('[4]SYD 08'!$D$3:$D$12,0,COUNTC('[4]SYD 08'!$D$1:$D$65536)-1)</definedName>
    <definedName name="VALUE_34" localSheetId="6">OFFSET('[4]SYD 08'!$D$3:$D$12,0,COUNTC('[4]SYD 08'!$D$1:$D$65536)-1)</definedName>
    <definedName name="VALUE_34" localSheetId="5">OFFSET('[4]SYD 08'!$D$3:$D$12,0,COUNTC('[4]SYD 08'!$D$1:$D$65536)-1)</definedName>
    <definedName name="VALUE_34" localSheetId="1">OFFSET('[4]SYD 08'!$D$3:$D$12,0,COUNTC('[4]SYD 08'!$D$1:$D$65536)-1)</definedName>
    <definedName name="VALUE_34" localSheetId="0">OFFSET('[4]SYD 08'!$D$3:$D$12,0,COUNTC('[4]SYD 08'!$D$1:$D$65536)-1)</definedName>
    <definedName name="VALUE_34">OFFSET('[4]SYD 08'!$D$3:$D$12,0,COUNTC('[4]SYD 08'!$D$1:$D$65536)-1)</definedName>
    <definedName name="VALUE_35" localSheetId="2">OFFSET('[4]SYD 08'!$D$3:$D$12,0,COUNTC('[4]SYD 08'!$D$1:$D$65536)-1)</definedName>
    <definedName name="VALUE_35" localSheetId="8">OFFSET('[4]SYD 08'!$D$3:$D$12,0,COUNTC('[4]SYD 08'!$D$1:$D$65536)-1)</definedName>
    <definedName name="VALUE_35" localSheetId="3">OFFSET('[4]SYD 08'!$D$3:$D$12,0,COUNTC('[4]SYD 08'!$D$1:$D$65536)-1)</definedName>
    <definedName name="VALUE_35" localSheetId="6">OFFSET('[4]SYD 08'!$D$3:$D$12,0,COUNTC('[4]SYD 08'!$D$1:$D$65536)-1)</definedName>
    <definedName name="VALUE_35" localSheetId="5">OFFSET('[4]SYD 08'!$D$3:$D$12,0,COUNTC('[4]SYD 08'!$D$1:$D$65536)-1)</definedName>
    <definedName name="VALUE_35" localSheetId="1">OFFSET('[4]SYD 08'!$D$3:$D$12,0,COUNTC('[4]SYD 08'!$D$1:$D$65536)-1)</definedName>
    <definedName name="VALUE_35" localSheetId="0">OFFSET('[4]SYD 08'!$D$3:$D$12,0,COUNTC('[4]SYD 08'!$D$1:$D$65536)-1)</definedName>
    <definedName name="VALUE_35">OFFSET('[4]SYD 08'!$D$3:$D$12,0,COUNTC('[4]SYD 08'!$D$1:$D$65536)-1)</definedName>
    <definedName name="VALUE_36" localSheetId="2">OFFSET('[4]SYD 08'!$D$3:$D$12,0,COUNTC('[4]SYD 08'!$D$1:$D$65536)-1)</definedName>
    <definedName name="VALUE_36" localSheetId="8">OFFSET('[4]SYD 08'!$D$3:$D$12,0,COUNTC('[4]SYD 08'!$D$1:$D$65536)-1)</definedName>
    <definedName name="VALUE_36" localSheetId="3">OFFSET('[4]SYD 08'!$D$3:$D$12,0,COUNTC('[4]SYD 08'!$D$1:$D$65536)-1)</definedName>
    <definedName name="VALUE_36" localSheetId="6">OFFSET('[4]SYD 08'!$D$3:$D$12,0,COUNTC('[4]SYD 08'!$D$1:$D$65536)-1)</definedName>
    <definedName name="VALUE_36" localSheetId="5">OFFSET('[4]SYD 08'!$D$3:$D$12,0,COUNTC('[4]SYD 08'!$D$1:$D$65536)-1)</definedName>
    <definedName name="VALUE_36" localSheetId="1">OFFSET('[4]SYD 08'!$D$3:$D$12,0,COUNTC('[4]SYD 08'!$D$1:$D$65536)-1)</definedName>
    <definedName name="VALUE_36" localSheetId="0">OFFSET('[4]SYD 08'!$D$3:$D$12,0,COUNTC('[4]SYD 08'!$D$1:$D$65536)-1)</definedName>
    <definedName name="VALUE_36">OFFSET('[4]SYD 08'!$D$3:$D$12,0,COUNTC('[4]SYD 08'!$D$1:$D$65536)-1)</definedName>
    <definedName name="VALUE_37" localSheetId="2">OFFSET('[4]SYD 08'!$D$3:$D$12,0,COUNTC('[4]SYD 08'!$D$1:$D$65536)-1)</definedName>
    <definedName name="VALUE_37" localSheetId="8">OFFSET('[4]SYD 08'!$D$3:$D$12,0,COUNTC('[4]SYD 08'!$D$1:$D$65536)-1)</definedName>
    <definedName name="VALUE_37" localSheetId="3">OFFSET('[4]SYD 08'!$D$3:$D$12,0,COUNTC('[4]SYD 08'!$D$1:$D$65536)-1)</definedName>
    <definedName name="VALUE_37" localSheetId="6">OFFSET('[4]SYD 08'!$D$3:$D$12,0,COUNTC('[4]SYD 08'!$D$1:$D$65536)-1)</definedName>
    <definedName name="VALUE_37" localSheetId="5">OFFSET('[4]SYD 08'!$D$3:$D$12,0,COUNTC('[4]SYD 08'!$D$1:$D$65536)-1)</definedName>
    <definedName name="VALUE_37" localSheetId="1">OFFSET('[4]SYD 08'!$D$3:$D$12,0,COUNTC('[4]SYD 08'!$D$1:$D$65536)-1)</definedName>
    <definedName name="VALUE_37" localSheetId="0">OFFSET('[4]SYD 08'!$D$3:$D$12,0,COUNTC('[4]SYD 08'!$D$1:$D$65536)-1)</definedName>
    <definedName name="VALUE_37">OFFSET('[4]SYD 08'!$D$3:$D$12,0,COUNTC('[4]SYD 08'!$D$1:$D$65536)-1)</definedName>
    <definedName name="VALUE_38" localSheetId="2">OFFSET('[4]SYD 08'!$D$3:$D$12,0,COUNTC('[4]SYD 08'!$D$1:$D$65536)-1)</definedName>
    <definedName name="VALUE_38" localSheetId="8">OFFSET('[4]SYD 08'!$D$3:$D$12,0,COUNTC('[4]SYD 08'!$D$1:$D$65536)-1)</definedName>
    <definedName name="VALUE_38" localSheetId="3">OFFSET('[4]SYD 08'!$D$3:$D$12,0,COUNTC('[4]SYD 08'!$D$1:$D$65536)-1)</definedName>
    <definedName name="VALUE_38" localSheetId="6">OFFSET('[4]SYD 08'!$D$3:$D$12,0,COUNTC('[4]SYD 08'!$D$1:$D$65536)-1)</definedName>
    <definedName name="VALUE_38" localSheetId="5">OFFSET('[4]SYD 08'!$D$3:$D$12,0,COUNTC('[4]SYD 08'!$D$1:$D$65536)-1)</definedName>
    <definedName name="VALUE_38" localSheetId="1">OFFSET('[4]SYD 08'!$D$3:$D$12,0,COUNTC('[4]SYD 08'!$D$1:$D$65536)-1)</definedName>
    <definedName name="VALUE_38" localSheetId="0">OFFSET('[4]SYD 08'!$D$3:$D$12,0,COUNTC('[4]SYD 08'!$D$1:$D$65536)-1)</definedName>
    <definedName name="VALUE_38">OFFSET('[4]SYD 08'!$D$3:$D$12,0,COUNTC('[4]SYD 08'!$D$1:$D$65536)-1)</definedName>
    <definedName name="VALUE_39" localSheetId="2">OFFSET('[4]SYD 08'!$D$3:$D$12,0,COUNTC('[4]SYD 08'!$D$1:$D$65536)-1)</definedName>
    <definedName name="VALUE_39" localSheetId="8">OFFSET('[4]SYD 08'!$D$3:$D$12,0,COUNTC('[4]SYD 08'!$D$1:$D$65536)-1)</definedName>
    <definedName name="VALUE_39" localSheetId="3">OFFSET('[4]SYD 08'!$D$3:$D$12,0,COUNTC('[4]SYD 08'!$D$1:$D$65536)-1)</definedName>
    <definedName name="VALUE_39" localSheetId="6">OFFSET('[4]SYD 08'!$D$3:$D$12,0,COUNTC('[4]SYD 08'!$D$1:$D$65536)-1)</definedName>
    <definedName name="VALUE_39" localSheetId="5">OFFSET('[4]SYD 08'!$D$3:$D$12,0,COUNTC('[4]SYD 08'!$D$1:$D$65536)-1)</definedName>
    <definedName name="VALUE_39" localSheetId="1">OFFSET('[4]SYD 08'!$D$3:$D$12,0,COUNTC('[4]SYD 08'!$D$1:$D$65536)-1)</definedName>
    <definedName name="VALUE_39" localSheetId="0">OFFSET('[4]SYD 08'!$D$3:$D$12,0,COUNTC('[4]SYD 08'!$D$1:$D$65536)-1)</definedName>
    <definedName name="VALUE_39">OFFSET('[4]SYD 08'!$D$3:$D$12,0,COUNTC('[4]SYD 08'!$D$1:$D$65536)-1)</definedName>
    <definedName name="VALUE_4" localSheetId="2">OFFSET('[4]SYD 08'!$D$3:$D$12,0,COUNTC('[4]SYD 08'!$D$1:$D$65536)-1)</definedName>
    <definedName name="VALUE_4" localSheetId="8">OFFSET('[4]SYD 08'!$D$3:$D$12,0,COUNTC('[4]SYD 08'!$D$1:$D$65536)-1)</definedName>
    <definedName name="VALUE_4" localSheetId="3">OFFSET('[4]SYD 08'!$D$3:$D$12,0,COUNTC('[4]SYD 08'!$D$1:$D$65536)-1)</definedName>
    <definedName name="VALUE_4" localSheetId="6">OFFSET('[4]SYD 08'!$D$3:$D$12,0,COUNTC('[4]SYD 08'!$D$1:$D$65536)-1)</definedName>
    <definedName name="VALUE_4" localSheetId="5">OFFSET('[4]SYD 08'!$D$3:$D$12,0,COUNTC('[4]SYD 08'!$D$1:$D$65536)-1)</definedName>
    <definedName name="VALUE_4" localSheetId="1">OFFSET('[4]SYD 08'!$D$3:$D$12,0,COUNTC('[4]SYD 08'!$D$1:$D$65536)-1)</definedName>
    <definedName name="VALUE_4" localSheetId="0">OFFSET('[4]SYD 08'!$D$3:$D$12,0,COUNTC('[4]SYD 08'!$D$1:$D$65536)-1)</definedName>
    <definedName name="VALUE_4">OFFSET('[4]SYD 08'!$D$3:$D$12,0,COUNTC('[4]SYD 08'!$D$1:$D$65536)-1)</definedName>
    <definedName name="VALUE_40" localSheetId="2">OFFSET('[4]SYD 08'!$D$3:$D$12,0,COUNTC('[4]SYD 08'!$D$1:$D$65536)-1)</definedName>
    <definedName name="VALUE_40" localSheetId="8">OFFSET('[4]SYD 08'!$D$3:$D$12,0,COUNTC('[4]SYD 08'!$D$1:$D$65536)-1)</definedName>
    <definedName name="VALUE_40" localSheetId="3">OFFSET('[4]SYD 08'!$D$3:$D$12,0,COUNTC('[4]SYD 08'!$D$1:$D$65536)-1)</definedName>
    <definedName name="VALUE_40" localSheetId="6">OFFSET('[4]SYD 08'!$D$3:$D$12,0,COUNTC('[4]SYD 08'!$D$1:$D$65536)-1)</definedName>
    <definedName name="VALUE_40" localSheetId="5">OFFSET('[4]SYD 08'!$D$3:$D$12,0,COUNTC('[4]SYD 08'!$D$1:$D$65536)-1)</definedName>
    <definedName name="VALUE_40" localSheetId="1">OFFSET('[4]SYD 08'!$D$3:$D$12,0,COUNTC('[4]SYD 08'!$D$1:$D$65536)-1)</definedName>
    <definedName name="VALUE_40" localSheetId="0">OFFSET('[4]SYD 08'!$D$3:$D$12,0,COUNTC('[4]SYD 08'!$D$1:$D$65536)-1)</definedName>
    <definedName name="VALUE_40">OFFSET('[4]SYD 08'!$D$3:$D$12,0,COUNTC('[4]SYD 08'!$D$1:$D$65536)-1)</definedName>
    <definedName name="VALUE_41" localSheetId="2">OFFSET('[4]SYD 08'!$D$3:$D$12,0,COUNTC('[4]SYD 08'!$D$1:$D$65536)-1)</definedName>
    <definedName name="VALUE_41" localSheetId="8">OFFSET('[4]SYD 08'!$D$3:$D$12,0,COUNTC('[4]SYD 08'!$D$1:$D$65536)-1)</definedName>
    <definedName name="VALUE_41" localSheetId="3">OFFSET('[4]SYD 08'!$D$3:$D$12,0,COUNTC('[4]SYD 08'!$D$1:$D$65536)-1)</definedName>
    <definedName name="VALUE_41" localSheetId="6">OFFSET('[4]SYD 08'!$D$3:$D$12,0,COUNTC('[4]SYD 08'!$D$1:$D$65536)-1)</definedName>
    <definedName name="VALUE_41" localSheetId="5">OFFSET('[4]SYD 08'!$D$3:$D$12,0,COUNTC('[4]SYD 08'!$D$1:$D$65536)-1)</definedName>
    <definedName name="VALUE_41" localSheetId="1">OFFSET('[4]SYD 08'!$D$3:$D$12,0,COUNTC('[4]SYD 08'!$D$1:$D$65536)-1)</definedName>
    <definedName name="VALUE_41" localSheetId="0">OFFSET('[4]SYD 08'!$D$3:$D$12,0,COUNTC('[4]SYD 08'!$D$1:$D$65536)-1)</definedName>
    <definedName name="VALUE_41">OFFSET('[4]SYD 08'!$D$3:$D$12,0,COUNTC('[4]SYD 08'!$D$1:$D$65536)-1)</definedName>
    <definedName name="VALUE_42" localSheetId="2">OFFSET('[4]SYD 08'!$D$3:$D$12,0,COUNTC('[4]SYD 08'!$D$1:$D$65536)-1)</definedName>
    <definedName name="VALUE_42" localSheetId="8">OFFSET('[4]SYD 08'!$D$3:$D$12,0,COUNTC('[4]SYD 08'!$D$1:$D$65536)-1)</definedName>
    <definedName name="VALUE_42" localSheetId="3">OFFSET('[4]SYD 08'!$D$3:$D$12,0,COUNTC('[4]SYD 08'!$D$1:$D$65536)-1)</definedName>
    <definedName name="VALUE_42" localSheetId="6">OFFSET('[4]SYD 08'!$D$3:$D$12,0,COUNTC('[4]SYD 08'!$D$1:$D$65536)-1)</definedName>
    <definedName name="VALUE_42" localSheetId="5">OFFSET('[4]SYD 08'!$D$3:$D$12,0,COUNTC('[4]SYD 08'!$D$1:$D$65536)-1)</definedName>
    <definedName name="VALUE_42" localSheetId="1">OFFSET('[4]SYD 08'!$D$3:$D$12,0,COUNTC('[4]SYD 08'!$D$1:$D$65536)-1)</definedName>
    <definedName name="VALUE_42" localSheetId="0">OFFSET('[4]SYD 08'!$D$3:$D$12,0,COUNTC('[4]SYD 08'!$D$1:$D$65536)-1)</definedName>
    <definedName name="VALUE_42">OFFSET('[4]SYD 08'!$D$3:$D$12,0,COUNTC('[4]SYD 08'!$D$1:$D$65536)-1)</definedName>
    <definedName name="VALUE_43" localSheetId="2">OFFSET('[4]SYD 08'!$D$3:$D$12,0,COUNTC('[4]SYD 08'!$D$1:$D$65536)-1)</definedName>
    <definedName name="VALUE_43" localSheetId="8">OFFSET('[4]SYD 08'!$D$3:$D$12,0,COUNTC('[4]SYD 08'!$D$1:$D$65536)-1)</definedName>
    <definedName name="VALUE_43" localSheetId="3">OFFSET('[4]SYD 08'!$D$3:$D$12,0,COUNTC('[4]SYD 08'!$D$1:$D$65536)-1)</definedName>
    <definedName name="VALUE_43" localSheetId="6">OFFSET('[4]SYD 08'!$D$3:$D$12,0,COUNTC('[4]SYD 08'!$D$1:$D$65536)-1)</definedName>
    <definedName name="VALUE_43" localSheetId="5">OFFSET('[4]SYD 08'!$D$3:$D$12,0,COUNTC('[4]SYD 08'!$D$1:$D$65536)-1)</definedName>
    <definedName name="VALUE_43" localSheetId="1">OFFSET('[4]SYD 08'!$D$3:$D$12,0,COUNTC('[4]SYD 08'!$D$1:$D$65536)-1)</definedName>
    <definedName name="VALUE_43" localSheetId="0">OFFSET('[4]SYD 08'!$D$3:$D$12,0,COUNTC('[4]SYD 08'!$D$1:$D$65536)-1)</definedName>
    <definedName name="VALUE_43">OFFSET('[4]SYD 08'!$D$3:$D$12,0,COUNTC('[4]SYD 08'!$D$1:$D$65536)-1)</definedName>
    <definedName name="VALUE_44" localSheetId="2">OFFSET('[4]SYD 08'!$D$3:$D$12,0,COUNTC('[4]SYD 08'!$D$1:$D$65536)-1)</definedName>
    <definedName name="VALUE_44" localSheetId="8">OFFSET('[4]SYD 08'!$D$3:$D$12,0,COUNTC('[4]SYD 08'!$D$1:$D$65536)-1)</definedName>
    <definedName name="VALUE_44" localSheetId="3">OFFSET('[4]SYD 08'!$D$3:$D$12,0,COUNTC('[4]SYD 08'!$D$1:$D$65536)-1)</definedName>
    <definedName name="VALUE_44" localSheetId="6">OFFSET('[4]SYD 08'!$D$3:$D$12,0,COUNTC('[4]SYD 08'!$D$1:$D$65536)-1)</definedName>
    <definedName name="VALUE_44" localSheetId="5">OFFSET('[4]SYD 08'!$D$3:$D$12,0,COUNTC('[4]SYD 08'!$D$1:$D$65536)-1)</definedName>
    <definedName name="VALUE_44" localSheetId="1">OFFSET('[4]SYD 08'!$D$3:$D$12,0,COUNTC('[4]SYD 08'!$D$1:$D$65536)-1)</definedName>
    <definedName name="VALUE_44" localSheetId="0">OFFSET('[4]SYD 08'!$D$3:$D$12,0,COUNTC('[4]SYD 08'!$D$1:$D$65536)-1)</definedName>
    <definedName name="VALUE_44">OFFSET('[4]SYD 08'!$D$3:$D$12,0,COUNTC('[4]SYD 08'!$D$1:$D$65536)-1)</definedName>
    <definedName name="VALUE_45" localSheetId="2">OFFSET('[4]SYD 08'!$D$3:$D$12,0,COUNTC('[4]SYD 08'!$D$1:$D$65536)-1)</definedName>
    <definedName name="VALUE_45" localSheetId="8">OFFSET('[4]SYD 08'!$D$3:$D$12,0,COUNTC('[4]SYD 08'!$D$1:$D$65536)-1)</definedName>
    <definedName name="VALUE_45" localSheetId="3">OFFSET('[4]SYD 08'!$D$3:$D$12,0,COUNTC('[4]SYD 08'!$D$1:$D$65536)-1)</definedName>
    <definedName name="VALUE_45" localSheetId="6">OFFSET('[4]SYD 08'!$D$3:$D$12,0,COUNTC('[4]SYD 08'!$D$1:$D$65536)-1)</definedName>
    <definedName name="VALUE_45" localSheetId="5">OFFSET('[4]SYD 08'!$D$3:$D$12,0,COUNTC('[4]SYD 08'!$D$1:$D$65536)-1)</definedName>
    <definedName name="VALUE_45" localSheetId="1">OFFSET('[4]SYD 08'!$D$3:$D$12,0,COUNTC('[4]SYD 08'!$D$1:$D$65536)-1)</definedName>
    <definedName name="VALUE_45" localSheetId="0">OFFSET('[4]SYD 08'!$D$3:$D$12,0,COUNTC('[4]SYD 08'!$D$1:$D$65536)-1)</definedName>
    <definedName name="VALUE_45">OFFSET('[4]SYD 08'!$D$3:$D$12,0,COUNTC('[4]SYD 08'!$D$1:$D$65536)-1)</definedName>
    <definedName name="VALUE_46" localSheetId="2">OFFSET('[4]SYD 08'!$D$3:$D$12,0,COUNTC('[4]SYD 08'!$D$1:$D$65536)-1)</definedName>
    <definedName name="VALUE_46" localSheetId="8">OFFSET('[4]SYD 08'!$D$3:$D$12,0,COUNTC('[4]SYD 08'!$D$1:$D$65536)-1)</definedName>
    <definedName name="VALUE_46" localSheetId="3">OFFSET('[4]SYD 08'!$D$3:$D$12,0,COUNTC('[4]SYD 08'!$D$1:$D$65536)-1)</definedName>
    <definedName name="VALUE_46" localSheetId="6">OFFSET('[4]SYD 08'!$D$3:$D$12,0,COUNTC('[4]SYD 08'!$D$1:$D$65536)-1)</definedName>
    <definedName name="VALUE_46" localSheetId="5">OFFSET('[4]SYD 08'!$D$3:$D$12,0,COUNTC('[4]SYD 08'!$D$1:$D$65536)-1)</definedName>
    <definedName name="VALUE_46" localSheetId="1">OFFSET('[4]SYD 08'!$D$3:$D$12,0,COUNTC('[4]SYD 08'!$D$1:$D$65536)-1)</definedName>
    <definedName name="VALUE_46" localSheetId="0">OFFSET('[4]SYD 08'!$D$3:$D$12,0,COUNTC('[4]SYD 08'!$D$1:$D$65536)-1)</definedName>
    <definedName name="VALUE_46">OFFSET('[4]SYD 08'!$D$3:$D$12,0,COUNTC('[4]SYD 08'!$D$1:$D$65536)-1)</definedName>
    <definedName name="VALUE_47" localSheetId="2">OFFSET('[4]SYD 08'!$D$3:$D$12,0,COUNTC('[4]SYD 08'!$D$1:$D$65536)-1)</definedName>
    <definedName name="VALUE_47" localSheetId="8">OFFSET('[4]SYD 08'!$D$3:$D$12,0,COUNTC('[4]SYD 08'!$D$1:$D$65536)-1)</definedName>
    <definedName name="VALUE_47" localSheetId="3">OFFSET('[4]SYD 08'!$D$3:$D$12,0,COUNTC('[4]SYD 08'!$D$1:$D$65536)-1)</definedName>
    <definedName name="VALUE_47" localSheetId="6">OFFSET('[4]SYD 08'!$D$3:$D$12,0,COUNTC('[4]SYD 08'!$D$1:$D$65536)-1)</definedName>
    <definedName name="VALUE_47" localSheetId="5">OFFSET('[4]SYD 08'!$D$3:$D$12,0,COUNTC('[4]SYD 08'!$D$1:$D$65536)-1)</definedName>
    <definedName name="VALUE_47" localSheetId="1">OFFSET('[4]SYD 08'!$D$3:$D$12,0,COUNTC('[4]SYD 08'!$D$1:$D$65536)-1)</definedName>
    <definedName name="VALUE_47" localSheetId="0">OFFSET('[4]SYD 08'!$D$3:$D$12,0,COUNTC('[4]SYD 08'!$D$1:$D$65536)-1)</definedName>
    <definedName name="VALUE_47">OFFSET('[4]SYD 08'!$D$3:$D$12,0,COUNTC('[4]SYD 08'!$D$1:$D$65536)-1)</definedName>
    <definedName name="VALUE_48" localSheetId="2">OFFSET('[4]SYD 08'!$D$3:$D$12,0,COUNTC('[4]SYD 08'!$D$1:$D$65536)-1)</definedName>
    <definedName name="VALUE_48" localSheetId="8">OFFSET('[4]SYD 08'!$D$3:$D$12,0,COUNTC('[4]SYD 08'!$D$1:$D$65536)-1)</definedName>
    <definedName name="VALUE_48" localSheetId="3">OFFSET('[4]SYD 08'!$D$3:$D$12,0,COUNTC('[4]SYD 08'!$D$1:$D$65536)-1)</definedName>
    <definedName name="VALUE_48" localSheetId="6">OFFSET('[4]SYD 08'!$D$3:$D$12,0,COUNTC('[4]SYD 08'!$D$1:$D$65536)-1)</definedName>
    <definedName name="VALUE_48" localSheetId="5">OFFSET('[4]SYD 08'!$D$3:$D$12,0,COUNTC('[4]SYD 08'!$D$1:$D$65536)-1)</definedName>
    <definedName name="VALUE_48" localSheetId="1">OFFSET('[4]SYD 08'!$D$3:$D$12,0,COUNTC('[4]SYD 08'!$D$1:$D$65536)-1)</definedName>
    <definedName name="VALUE_48" localSheetId="0">OFFSET('[4]SYD 08'!$D$3:$D$12,0,COUNTC('[4]SYD 08'!$D$1:$D$65536)-1)</definedName>
    <definedName name="VALUE_48">OFFSET('[4]SYD 08'!$D$3:$D$12,0,COUNTC('[4]SYD 08'!$D$1:$D$65536)-1)</definedName>
    <definedName name="VALUE_49" localSheetId="2">OFFSET('[4]SYD 08'!$D$3:$D$12,0,COUNTC('[4]SYD 08'!$D$1:$D$65536)-1)</definedName>
    <definedName name="VALUE_49" localSheetId="8">OFFSET('[4]SYD 08'!$D$3:$D$12,0,COUNTC('[4]SYD 08'!$D$1:$D$65536)-1)</definedName>
    <definedName name="VALUE_49" localSheetId="3">OFFSET('[4]SYD 08'!$D$3:$D$12,0,COUNTC('[4]SYD 08'!$D$1:$D$65536)-1)</definedName>
    <definedName name="VALUE_49" localSheetId="6">OFFSET('[4]SYD 08'!$D$3:$D$12,0,COUNTC('[4]SYD 08'!$D$1:$D$65536)-1)</definedName>
    <definedName name="VALUE_49" localSheetId="5">OFFSET('[4]SYD 08'!$D$3:$D$12,0,COUNTC('[4]SYD 08'!$D$1:$D$65536)-1)</definedName>
    <definedName name="VALUE_49" localSheetId="1">OFFSET('[4]SYD 08'!$D$3:$D$12,0,COUNTC('[4]SYD 08'!$D$1:$D$65536)-1)</definedName>
    <definedName name="VALUE_49" localSheetId="0">OFFSET('[4]SYD 08'!$D$3:$D$12,0,COUNTC('[4]SYD 08'!$D$1:$D$65536)-1)</definedName>
    <definedName name="VALUE_49">OFFSET('[4]SYD 08'!$D$3:$D$12,0,COUNTC('[4]SYD 08'!$D$1:$D$65536)-1)</definedName>
    <definedName name="VALUE_5" localSheetId="2">OFFSET('[4]SYD 08'!$D$3:$D$12,0,COUNTC('[4]SYD 08'!$D$1:$D$65536)-1)</definedName>
    <definedName name="VALUE_5" localSheetId="8">OFFSET('[4]SYD 08'!$D$3:$D$12,0,COUNTC('[4]SYD 08'!$D$1:$D$65536)-1)</definedName>
    <definedName name="VALUE_5" localSheetId="3">OFFSET('[4]SYD 08'!$D$3:$D$12,0,COUNTC('[4]SYD 08'!$D$1:$D$65536)-1)</definedName>
    <definedName name="VALUE_5" localSheetId="6">OFFSET('[4]SYD 08'!$D$3:$D$12,0,COUNTC('[4]SYD 08'!$D$1:$D$65536)-1)</definedName>
    <definedName name="VALUE_5" localSheetId="5">OFFSET('[4]SYD 08'!$D$3:$D$12,0,COUNTC('[4]SYD 08'!$D$1:$D$65536)-1)</definedName>
    <definedName name="VALUE_5" localSheetId="1">OFFSET('[4]SYD 08'!$D$3:$D$12,0,COUNTC('[4]SYD 08'!$D$1:$D$65536)-1)</definedName>
    <definedName name="VALUE_5" localSheetId="0">OFFSET('[4]SYD 08'!$D$3:$D$12,0,COUNTC('[4]SYD 08'!$D$1:$D$65536)-1)</definedName>
    <definedName name="VALUE_5">OFFSET('[4]SYD 08'!$D$3:$D$12,0,COUNTC('[4]SYD 08'!$D$1:$D$65536)-1)</definedName>
    <definedName name="VALUE_50" localSheetId="2">OFFSET('[4]SYD 08'!$D$3:$D$12,0,COUNTC('[4]SYD 08'!$D$1:$D$65536)-1)</definedName>
    <definedName name="VALUE_50" localSheetId="8">OFFSET('[4]SYD 08'!$D$3:$D$12,0,COUNTC('[4]SYD 08'!$D$1:$D$65536)-1)</definedName>
    <definedName name="VALUE_50" localSheetId="3">OFFSET('[4]SYD 08'!$D$3:$D$12,0,COUNTC('[4]SYD 08'!$D$1:$D$65536)-1)</definedName>
    <definedName name="VALUE_50" localSheetId="6">OFFSET('[4]SYD 08'!$D$3:$D$12,0,COUNTC('[4]SYD 08'!$D$1:$D$65536)-1)</definedName>
    <definedName name="VALUE_50" localSheetId="5">OFFSET('[4]SYD 08'!$D$3:$D$12,0,COUNTC('[4]SYD 08'!$D$1:$D$65536)-1)</definedName>
    <definedName name="VALUE_50" localSheetId="1">OFFSET('[4]SYD 08'!$D$3:$D$12,0,COUNTC('[4]SYD 08'!$D$1:$D$65536)-1)</definedName>
    <definedName name="VALUE_50" localSheetId="0">OFFSET('[4]SYD 08'!$D$3:$D$12,0,COUNTC('[4]SYD 08'!$D$1:$D$65536)-1)</definedName>
    <definedName name="VALUE_50">OFFSET('[4]SYD 08'!$D$3:$D$12,0,COUNTC('[4]SYD 08'!$D$1:$D$65536)-1)</definedName>
    <definedName name="VALUE_51" localSheetId="2">OFFSET('[4]SYD 08'!$D$3:$D$12,0,COUNTC('[4]SYD 08'!$D$1:$D$65536)-1)</definedName>
    <definedName name="VALUE_51" localSheetId="8">OFFSET('[4]SYD 08'!$D$3:$D$12,0,COUNTC('[4]SYD 08'!$D$1:$D$65536)-1)</definedName>
    <definedName name="VALUE_51" localSheetId="3">OFFSET('[4]SYD 08'!$D$3:$D$12,0,COUNTC('[4]SYD 08'!$D$1:$D$65536)-1)</definedName>
    <definedName name="VALUE_51" localSheetId="6">OFFSET('[4]SYD 08'!$D$3:$D$12,0,COUNTC('[4]SYD 08'!$D$1:$D$65536)-1)</definedName>
    <definedName name="VALUE_51" localSheetId="5">OFFSET('[4]SYD 08'!$D$3:$D$12,0,COUNTC('[4]SYD 08'!$D$1:$D$65536)-1)</definedName>
    <definedName name="VALUE_51" localSheetId="1">OFFSET('[4]SYD 08'!$D$3:$D$12,0,COUNTC('[4]SYD 08'!$D$1:$D$65536)-1)</definedName>
    <definedName name="VALUE_51" localSheetId="0">OFFSET('[4]SYD 08'!$D$3:$D$12,0,COUNTC('[4]SYD 08'!$D$1:$D$65536)-1)</definedName>
    <definedName name="VALUE_51">OFFSET('[4]SYD 08'!$D$3:$D$12,0,COUNTC('[4]SYD 08'!$D$1:$D$65536)-1)</definedName>
    <definedName name="VALUE_52" localSheetId="2">OFFSET('[4]SYD 08'!$D$3:$D$12,0,COUNTC('[4]SYD 08'!$D$1:$D$65536)-1)</definedName>
    <definedName name="VALUE_52" localSheetId="8">OFFSET('[4]SYD 08'!$D$3:$D$12,0,COUNTC('[4]SYD 08'!$D$1:$D$65536)-1)</definedName>
    <definedName name="VALUE_52" localSheetId="3">OFFSET('[4]SYD 08'!$D$3:$D$12,0,COUNTC('[4]SYD 08'!$D$1:$D$65536)-1)</definedName>
    <definedName name="VALUE_52" localSheetId="6">OFFSET('[4]SYD 08'!$D$3:$D$12,0,COUNTC('[4]SYD 08'!$D$1:$D$65536)-1)</definedName>
    <definedName name="VALUE_52" localSheetId="5">OFFSET('[4]SYD 08'!$D$3:$D$12,0,COUNTC('[4]SYD 08'!$D$1:$D$65536)-1)</definedName>
    <definedName name="VALUE_52" localSheetId="1">OFFSET('[4]SYD 08'!$D$3:$D$12,0,COUNTC('[4]SYD 08'!$D$1:$D$65536)-1)</definedName>
    <definedName name="VALUE_52" localSheetId="0">OFFSET('[4]SYD 08'!$D$3:$D$12,0,COUNTC('[4]SYD 08'!$D$1:$D$65536)-1)</definedName>
    <definedName name="VALUE_52">OFFSET('[4]SYD 08'!$D$3:$D$12,0,COUNTC('[4]SYD 08'!$D$1:$D$65536)-1)</definedName>
    <definedName name="VALUE_53" localSheetId="2">OFFSET('[4]SYD 08'!$D$3:$D$12,0,COUNTC('[4]SYD 08'!$D$1:$D$65536)-1)</definedName>
    <definedName name="VALUE_53" localSheetId="8">OFFSET('[4]SYD 08'!$D$3:$D$12,0,COUNTC('[4]SYD 08'!$D$1:$D$65536)-1)</definedName>
    <definedName name="VALUE_53" localSheetId="3">OFFSET('[4]SYD 08'!$D$3:$D$12,0,COUNTC('[4]SYD 08'!$D$1:$D$65536)-1)</definedName>
    <definedName name="VALUE_53" localSheetId="6">OFFSET('[4]SYD 08'!$D$3:$D$12,0,COUNTC('[4]SYD 08'!$D$1:$D$65536)-1)</definedName>
    <definedName name="VALUE_53" localSheetId="5">OFFSET('[4]SYD 08'!$D$3:$D$12,0,COUNTC('[4]SYD 08'!$D$1:$D$65536)-1)</definedName>
    <definedName name="VALUE_53" localSheetId="1">OFFSET('[4]SYD 08'!$D$3:$D$12,0,COUNTC('[4]SYD 08'!$D$1:$D$65536)-1)</definedName>
    <definedName name="VALUE_53" localSheetId="0">OFFSET('[4]SYD 08'!$D$3:$D$12,0,COUNTC('[4]SYD 08'!$D$1:$D$65536)-1)</definedName>
    <definedName name="VALUE_53">OFFSET('[4]SYD 08'!$D$3:$D$12,0,COUNTC('[4]SYD 08'!$D$1:$D$65536)-1)</definedName>
    <definedName name="VALUE_54" localSheetId="2">OFFSET('[4]SYD 08'!$D$3:$D$12,0,COUNTC('[4]SYD 08'!$D$1:$D$65536)-1)</definedName>
    <definedName name="VALUE_54" localSheetId="8">OFFSET('[4]SYD 08'!$D$3:$D$12,0,COUNTC('[4]SYD 08'!$D$1:$D$65536)-1)</definedName>
    <definedName name="VALUE_54" localSheetId="3">OFFSET('[4]SYD 08'!$D$3:$D$12,0,COUNTC('[4]SYD 08'!$D$1:$D$65536)-1)</definedName>
    <definedName name="VALUE_54" localSheetId="6">OFFSET('[4]SYD 08'!$D$3:$D$12,0,COUNTC('[4]SYD 08'!$D$1:$D$65536)-1)</definedName>
    <definedName name="VALUE_54" localSheetId="5">OFFSET('[4]SYD 08'!$D$3:$D$12,0,COUNTC('[4]SYD 08'!$D$1:$D$65536)-1)</definedName>
    <definedName name="VALUE_54" localSheetId="1">OFFSET('[4]SYD 08'!$D$3:$D$12,0,COUNTC('[4]SYD 08'!$D$1:$D$65536)-1)</definedName>
    <definedName name="VALUE_54" localSheetId="0">OFFSET('[4]SYD 08'!$D$3:$D$12,0,COUNTC('[4]SYD 08'!$D$1:$D$65536)-1)</definedName>
    <definedName name="VALUE_54">OFFSET('[4]SYD 08'!$D$3:$D$12,0,COUNTC('[4]SYD 08'!$D$1:$D$65536)-1)</definedName>
    <definedName name="VALUE_55" localSheetId="2">OFFSET('[4]SYD 08'!$D$3:$D$12,0,COUNTC('[4]SYD 08'!$D$1:$D$65536)-1)</definedName>
    <definedName name="VALUE_55" localSheetId="8">OFFSET('[4]SYD 08'!$D$3:$D$12,0,COUNTC('[4]SYD 08'!$D$1:$D$65536)-1)</definedName>
    <definedName name="VALUE_55" localSheetId="3">OFFSET('[4]SYD 08'!$D$3:$D$12,0,COUNTC('[4]SYD 08'!$D$1:$D$65536)-1)</definedName>
    <definedName name="VALUE_55" localSheetId="6">OFFSET('[4]SYD 08'!$D$3:$D$12,0,COUNTC('[4]SYD 08'!$D$1:$D$65536)-1)</definedName>
    <definedName name="VALUE_55" localSheetId="5">OFFSET('[4]SYD 08'!$D$3:$D$12,0,COUNTC('[4]SYD 08'!$D$1:$D$65536)-1)</definedName>
    <definedName name="VALUE_55" localSheetId="1">OFFSET('[4]SYD 08'!$D$3:$D$12,0,COUNTC('[4]SYD 08'!$D$1:$D$65536)-1)</definedName>
    <definedName name="VALUE_55" localSheetId="0">OFFSET('[4]SYD 08'!$D$3:$D$12,0,COUNTC('[4]SYD 08'!$D$1:$D$65536)-1)</definedName>
    <definedName name="VALUE_55">OFFSET('[4]SYD 08'!$D$3:$D$12,0,COUNTC('[4]SYD 08'!$D$1:$D$65536)-1)</definedName>
    <definedName name="VALUE_56" localSheetId="2">OFFSET('[4]SYD 08'!$D$3:$D$12,0,COUNTC('[4]SYD 08'!$D$1:$D$65536)-1)</definedName>
    <definedName name="VALUE_56" localSheetId="8">OFFSET('[4]SYD 08'!$D$3:$D$12,0,COUNTC('[4]SYD 08'!$D$1:$D$65536)-1)</definedName>
    <definedName name="VALUE_56" localSheetId="3">OFFSET('[4]SYD 08'!$D$3:$D$12,0,COUNTC('[4]SYD 08'!$D$1:$D$65536)-1)</definedName>
    <definedName name="VALUE_56" localSheetId="6">OFFSET('[4]SYD 08'!$D$3:$D$12,0,COUNTC('[4]SYD 08'!$D$1:$D$65536)-1)</definedName>
    <definedName name="VALUE_56" localSheetId="5">OFFSET('[4]SYD 08'!$D$3:$D$12,0,COUNTC('[4]SYD 08'!$D$1:$D$65536)-1)</definedName>
    <definedName name="VALUE_56" localSheetId="1">OFFSET('[4]SYD 08'!$D$3:$D$12,0,COUNTC('[4]SYD 08'!$D$1:$D$65536)-1)</definedName>
    <definedName name="VALUE_56" localSheetId="0">OFFSET('[4]SYD 08'!$D$3:$D$12,0,COUNTC('[4]SYD 08'!$D$1:$D$65536)-1)</definedName>
    <definedName name="VALUE_56">OFFSET('[4]SYD 08'!$D$3:$D$12,0,COUNTC('[4]SYD 08'!$D$1:$D$65536)-1)</definedName>
    <definedName name="VALUE_57" localSheetId="2">OFFSET('[4]SYD 08'!$D$3:$D$12,0,COUNTC('[4]SYD 08'!$D$1:$D$65536)-1)</definedName>
    <definedName name="VALUE_57" localSheetId="8">OFFSET('[4]SYD 08'!$D$3:$D$12,0,COUNTC('[4]SYD 08'!$D$1:$D$65536)-1)</definedName>
    <definedName name="VALUE_57" localSheetId="3">OFFSET('[4]SYD 08'!$D$3:$D$12,0,COUNTC('[4]SYD 08'!$D$1:$D$65536)-1)</definedName>
    <definedName name="VALUE_57" localSheetId="6">OFFSET('[4]SYD 08'!$D$3:$D$12,0,COUNTC('[4]SYD 08'!$D$1:$D$65536)-1)</definedName>
    <definedName name="VALUE_57" localSheetId="5">OFFSET('[4]SYD 08'!$D$3:$D$12,0,COUNTC('[4]SYD 08'!$D$1:$D$65536)-1)</definedName>
    <definedName name="VALUE_57" localSheetId="1">OFFSET('[4]SYD 08'!$D$3:$D$12,0,COUNTC('[4]SYD 08'!$D$1:$D$65536)-1)</definedName>
    <definedName name="VALUE_57" localSheetId="0">OFFSET('[4]SYD 08'!$D$3:$D$12,0,COUNTC('[4]SYD 08'!$D$1:$D$65536)-1)</definedName>
    <definedName name="VALUE_57">OFFSET('[4]SYD 08'!$D$3:$D$12,0,COUNTC('[4]SYD 08'!$D$1:$D$65536)-1)</definedName>
    <definedName name="VALUE_58" localSheetId="2">OFFSET('[4]SYD 08'!$D$3:$D$12,0,COUNTC('[4]SYD 08'!$D$1:$D$65536)-1)</definedName>
    <definedName name="VALUE_58" localSheetId="8">OFFSET('[4]SYD 08'!$D$3:$D$12,0,COUNTC('[4]SYD 08'!$D$1:$D$65536)-1)</definedName>
    <definedName name="VALUE_58" localSheetId="3">OFFSET('[4]SYD 08'!$D$3:$D$12,0,COUNTC('[4]SYD 08'!$D$1:$D$65536)-1)</definedName>
    <definedName name="VALUE_58" localSheetId="6">OFFSET('[4]SYD 08'!$D$3:$D$12,0,COUNTC('[4]SYD 08'!$D$1:$D$65536)-1)</definedName>
    <definedName name="VALUE_58" localSheetId="5">OFFSET('[4]SYD 08'!$D$3:$D$12,0,COUNTC('[4]SYD 08'!$D$1:$D$65536)-1)</definedName>
    <definedName name="VALUE_58" localSheetId="1">OFFSET('[4]SYD 08'!$D$3:$D$12,0,COUNTC('[4]SYD 08'!$D$1:$D$65536)-1)</definedName>
    <definedName name="VALUE_58" localSheetId="0">OFFSET('[4]SYD 08'!$D$3:$D$12,0,COUNTC('[4]SYD 08'!$D$1:$D$65536)-1)</definedName>
    <definedName name="VALUE_58">OFFSET('[4]SYD 08'!$D$3:$D$12,0,COUNTC('[4]SYD 08'!$D$1:$D$65536)-1)</definedName>
    <definedName name="VALUE_59" localSheetId="2">OFFSET('[4]SYD 08'!$D$3:$D$12,0,COUNTC('[4]SYD 08'!$D$1:$D$65536)-1)</definedName>
    <definedName name="VALUE_59" localSheetId="8">OFFSET('[4]SYD 08'!$D$3:$D$12,0,COUNTC('[4]SYD 08'!$D$1:$D$65536)-1)</definedName>
    <definedName name="VALUE_59" localSheetId="3">OFFSET('[4]SYD 08'!$D$3:$D$12,0,COUNTC('[4]SYD 08'!$D$1:$D$65536)-1)</definedName>
    <definedName name="VALUE_59" localSheetId="6">OFFSET('[4]SYD 08'!$D$3:$D$12,0,COUNTC('[4]SYD 08'!$D$1:$D$65536)-1)</definedName>
    <definedName name="VALUE_59" localSheetId="5">OFFSET('[4]SYD 08'!$D$3:$D$12,0,COUNTC('[4]SYD 08'!$D$1:$D$65536)-1)</definedName>
    <definedName name="VALUE_59" localSheetId="1">OFFSET('[4]SYD 08'!$D$3:$D$12,0,COUNTC('[4]SYD 08'!$D$1:$D$65536)-1)</definedName>
    <definedName name="VALUE_59" localSheetId="0">OFFSET('[4]SYD 08'!$D$3:$D$12,0,COUNTC('[4]SYD 08'!$D$1:$D$65536)-1)</definedName>
    <definedName name="VALUE_59">OFFSET('[4]SYD 08'!$D$3:$D$12,0,COUNTC('[4]SYD 08'!$D$1:$D$65536)-1)</definedName>
    <definedName name="VALUE_6" localSheetId="2">OFFSET('[4]SYD 08'!$D$3:$D$12,0,COUNTC('[4]SYD 08'!$D$1:$D$65536)-1)</definedName>
    <definedName name="VALUE_6" localSheetId="8">OFFSET('[4]SYD 08'!$D$3:$D$12,0,COUNTC('[4]SYD 08'!$D$1:$D$65536)-1)</definedName>
    <definedName name="VALUE_6" localSheetId="3">OFFSET('[4]SYD 08'!$D$3:$D$12,0,COUNTC('[4]SYD 08'!$D$1:$D$65536)-1)</definedName>
    <definedName name="VALUE_6" localSheetId="6">OFFSET('[4]SYD 08'!$D$3:$D$12,0,COUNTC('[4]SYD 08'!$D$1:$D$65536)-1)</definedName>
    <definedName name="VALUE_6" localSheetId="5">OFFSET('[4]SYD 08'!$D$3:$D$12,0,COUNTC('[4]SYD 08'!$D$1:$D$65536)-1)</definedName>
    <definedName name="VALUE_6" localSheetId="1">OFFSET('[4]SYD 08'!$D$3:$D$12,0,COUNTC('[4]SYD 08'!$D$1:$D$65536)-1)</definedName>
    <definedName name="VALUE_6" localSheetId="0">OFFSET('[4]SYD 08'!$D$3:$D$12,0,COUNTC('[4]SYD 08'!$D$1:$D$65536)-1)</definedName>
    <definedName name="VALUE_6">OFFSET('[4]SYD 08'!$D$3:$D$12,0,COUNTC('[4]SYD 08'!$D$1:$D$65536)-1)</definedName>
    <definedName name="VALUE_60" localSheetId="2">OFFSET('[4]SYD 08'!$D$3:$D$12,0,COUNTC('[4]SYD 08'!$D$1:$D$65536)-1)</definedName>
    <definedName name="VALUE_60" localSheetId="8">OFFSET('[4]SYD 08'!$D$3:$D$12,0,COUNTC('[4]SYD 08'!$D$1:$D$65536)-1)</definedName>
    <definedName name="VALUE_60" localSheetId="3">OFFSET('[4]SYD 08'!$D$3:$D$12,0,COUNTC('[4]SYD 08'!$D$1:$D$65536)-1)</definedName>
    <definedName name="VALUE_60" localSheetId="6">OFFSET('[4]SYD 08'!$D$3:$D$12,0,COUNTC('[4]SYD 08'!$D$1:$D$65536)-1)</definedName>
    <definedName name="VALUE_60" localSheetId="5">OFFSET('[4]SYD 08'!$D$3:$D$12,0,COUNTC('[4]SYD 08'!$D$1:$D$65536)-1)</definedName>
    <definedName name="VALUE_60" localSheetId="1">OFFSET('[4]SYD 08'!$D$3:$D$12,0,COUNTC('[4]SYD 08'!$D$1:$D$65536)-1)</definedName>
    <definedName name="VALUE_60" localSheetId="0">OFFSET('[4]SYD 08'!$D$3:$D$12,0,COUNTC('[4]SYD 08'!$D$1:$D$65536)-1)</definedName>
    <definedName name="VALUE_60">OFFSET('[4]SYD 08'!$D$3:$D$12,0,COUNTC('[4]SYD 08'!$D$1:$D$65536)-1)</definedName>
    <definedName name="VALUE_61" localSheetId="2">OFFSET('[4]SYD 08'!$D$3:$D$12,0,COUNTC('[4]SYD 08'!$D$1:$D$65536)-1)</definedName>
    <definedName name="VALUE_61" localSheetId="8">OFFSET('[4]SYD 08'!$D$3:$D$12,0,COUNTC('[4]SYD 08'!$D$1:$D$65536)-1)</definedName>
    <definedName name="VALUE_61" localSheetId="3">OFFSET('[4]SYD 08'!$D$3:$D$12,0,COUNTC('[4]SYD 08'!$D$1:$D$65536)-1)</definedName>
    <definedName name="VALUE_61" localSheetId="6">OFFSET('[4]SYD 08'!$D$3:$D$12,0,COUNTC('[4]SYD 08'!$D$1:$D$65536)-1)</definedName>
    <definedName name="VALUE_61" localSheetId="5">OFFSET('[4]SYD 08'!$D$3:$D$12,0,COUNTC('[4]SYD 08'!$D$1:$D$65536)-1)</definedName>
    <definedName name="VALUE_61" localSheetId="1">OFFSET('[4]SYD 08'!$D$3:$D$12,0,COUNTC('[4]SYD 08'!$D$1:$D$65536)-1)</definedName>
    <definedName name="VALUE_61" localSheetId="0">OFFSET('[4]SYD 08'!$D$3:$D$12,0,COUNTC('[4]SYD 08'!$D$1:$D$65536)-1)</definedName>
    <definedName name="VALUE_61">OFFSET('[4]SYD 08'!$D$3:$D$12,0,COUNTC('[4]SYD 08'!$D$1:$D$65536)-1)</definedName>
    <definedName name="VALUE_62" localSheetId="2">OFFSET('[4]SYD 08'!$D$3:$D$12,0,COUNTC('[4]SYD 08'!$D$1:$D$65536)-1)</definedName>
    <definedName name="VALUE_62" localSheetId="8">OFFSET('[4]SYD 08'!$D$3:$D$12,0,COUNTC('[4]SYD 08'!$D$1:$D$65536)-1)</definedName>
    <definedName name="VALUE_62" localSheetId="3">OFFSET('[4]SYD 08'!$D$3:$D$12,0,COUNTC('[4]SYD 08'!$D$1:$D$65536)-1)</definedName>
    <definedName name="VALUE_62" localSheetId="6">OFFSET('[4]SYD 08'!$D$3:$D$12,0,COUNTC('[4]SYD 08'!$D$1:$D$65536)-1)</definedName>
    <definedName name="VALUE_62" localSheetId="5">OFFSET('[4]SYD 08'!$D$3:$D$12,0,COUNTC('[4]SYD 08'!$D$1:$D$65536)-1)</definedName>
    <definedName name="VALUE_62" localSheetId="1">OFFSET('[4]SYD 08'!$D$3:$D$12,0,COUNTC('[4]SYD 08'!$D$1:$D$65536)-1)</definedName>
    <definedName name="VALUE_62" localSheetId="0">OFFSET('[4]SYD 08'!$D$3:$D$12,0,COUNTC('[4]SYD 08'!$D$1:$D$65536)-1)</definedName>
    <definedName name="VALUE_62">OFFSET('[4]SYD 08'!$D$3:$D$12,0,COUNTC('[4]SYD 08'!$D$1:$D$65536)-1)</definedName>
    <definedName name="VALUE_63" localSheetId="2">OFFSET('[4]SYD 08'!$D$3:$D$12,0,COUNTC('[4]SYD 08'!$D$1:$D$65536)-1)</definedName>
    <definedName name="VALUE_63" localSheetId="8">OFFSET('[4]SYD 08'!$D$3:$D$12,0,COUNTC('[4]SYD 08'!$D$1:$D$65536)-1)</definedName>
    <definedName name="VALUE_63" localSheetId="3">OFFSET('[4]SYD 08'!$D$3:$D$12,0,COUNTC('[4]SYD 08'!$D$1:$D$65536)-1)</definedName>
    <definedName name="VALUE_63" localSheetId="6">OFFSET('[4]SYD 08'!$D$3:$D$12,0,COUNTC('[4]SYD 08'!$D$1:$D$65536)-1)</definedName>
    <definedName name="VALUE_63" localSheetId="5">OFFSET('[4]SYD 08'!$D$3:$D$12,0,COUNTC('[4]SYD 08'!$D$1:$D$65536)-1)</definedName>
    <definedName name="VALUE_63" localSheetId="1">OFFSET('[4]SYD 08'!$D$3:$D$12,0,COUNTC('[4]SYD 08'!$D$1:$D$65536)-1)</definedName>
    <definedName name="VALUE_63" localSheetId="0">OFFSET('[4]SYD 08'!$D$3:$D$12,0,COUNTC('[4]SYD 08'!$D$1:$D$65536)-1)</definedName>
    <definedName name="VALUE_63">OFFSET('[4]SYD 08'!$D$3:$D$12,0,COUNTC('[4]SYD 08'!$D$1:$D$65536)-1)</definedName>
    <definedName name="VALUE_64" localSheetId="2">OFFSET('[4]SYD 08'!$D$3:$D$12,0,COUNTC('[4]SYD 08'!$D$1:$D$65536)-1)</definedName>
    <definedName name="VALUE_64" localSheetId="8">OFFSET('[4]SYD 08'!$D$3:$D$12,0,COUNTC('[4]SYD 08'!$D$1:$D$65536)-1)</definedName>
    <definedName name="VALUE_64" localSheetId="3">OFFSET('[4]SYD 08'!$D$3:$D$12,0,COUNTC('[4]SYD 08'!$D$1:$D$65536)-1)</definedName>
    <definedName name="VALUE_64" localSheetId="6">OFFSET('[4]SYD 08'!$D$3:$D$12,0,COUNTC('[4]SYD 08'!$D$1:$D$65536)-1)</definedName>
    <definedName name="VALUE_64" localSheetId="5">OFFSET('[4]SYD 08'!$D$3:$D$12,0,COUNTC('[4]SYD 08'!$D$1:$D$65536)-1)</definedName>
    <definedName name="VALUE_64" localSheetId="1">OFFSET('[4]SYD 08'!$D$3:$D$12,0,COUNTC('[4]SYD 08'!$D$1:$D$65536)-1)</definedName>
    <definedName name="VALUE_64" localSheetId="0">OFFSET('[4]SYD 08'!$D$3:$D$12,0,COUNTC('[4]SYD 08'!$D$1:$D$65536)-1)</definedName>
    <definedName name="VALUE_64">OFFSET('[4]SYD 08'!$D$3:$D$12,0,COUNTC('[4]SYD 08'!$D$1:$D$65536)-1)</definedName>
    <definedName name="VALUE_65" localSheetId="2">OFFSET('[4]SYD 08'!$D$3:$D$12,0,COUNTC('[4]SYD 08'!$D$1:$D$65536)-1)</definedName>
    <definedName name="VALUE_65" localSheetId="8">OFFSET('[4]SYD 08'!$D$3:$D$12,0,COUNTC('[4]SYD 08'!$D$1:$D$65536)-1)</definedName>
    <definedName name="VALUE_65" localSheetId="3">OFFSET('[4]SYD 08'!$D$3:$D$12,0,COUNTC('[4]SYD 08'!$D$1:$D$65536)-1)</definedName>
    <definedName name="VALUE_65" localSheetId="6">OFFSET('[4]SYD 08'!$D$3:$D$12,0,COUNTC('[4]SYD 08'!$D$1:$D$65536)-1)</definedName>
    <definedName name="VALUE_65" localSheetId="5">OFFSET('[4]SYD 08'!$D$3:$D$12,0,COUNTC('[4]SYD 08'!$D$1:$D$65536)-1)</definedName>
    <definedName name="VALUE_65" localSheetId="1">OFFSET('[4]SYD 08'!$D$3:$D$12,0,COUNTC('[4]SYD 08'!$D$1:$D$65536)-1)</definedName>
    <definedName name="VALUE_65" localSheetId="0">OFFSET('[4]SYD 08'!$D$3:$D$12,0,COUNTC('[4]SYD 08'!$D$1:$D$65536)-1)</definedName>
    <definedName name="VALUE_65">OFFSET('[4]SYD 08'!$D$3:$D$12,0,COUNTC('[4]SYD 08'!$D$1:$D$65536)-1)</definedName>
    <definedName name="VALUE_66" localSheetId="2">OFFSET('[4]SYD 08'!$D$3:$D$12,0,COUNTC('[4]SYD 08'!$D$1:$D$65536)-1)</definedName>
    <definedName name="VALUE_66" localSheetId="8">OFFSET('[4]SYD 08'!$D$3:$D$12,0,COUNTC('[4]SYD 08'!$D$1:$D$65536)-1)</definedName>
    <definedName name="VALUE_66" localSheetId="3">OFFSET('[4]SYD 08'!$D$3:$D$12,0,COUNTC('[4]SYD 08'!$D$1:$D$65536)-1)</definedName>
    <definedName name="VALUE_66" localSheetId="6">OFFSET('[4]SYD 08'!$D$3:$D$12,0,COUNTC('[4]SYD 08'!$D$1:$D$65536)-1)</definedName>
    <definedName name="VALUE_66" localSheetId="5">OFFSET('[4]SYD 08'!$D$3:$D$12,0,COUNTC('[4]SYD 08'!$D$1:$D$65536)-1)</definedName>
    <definedName name="VALUE_66" localSheetId="1">OFFSET('[4]SYD 08'!$D$3:$D$12,0,COUNTC('[4]SYD 08'!$D$1:$D$65536)-1)</definedName>
    <definedName name="VALUE_66" localSheetId="0">OFFSET('[4]SYD 08'!$D$3:$D$12,0,COUNTC('[4]SYD 08'!$D$1:$D$65536)-1)</definedName>
    <definedName name="VALUE_66">OFFSET('[4]SYD 08'!$D$3:$D$12,0,COUNTC('[4]SYD 08'!$D$1:$D$65536)-1)</definedName>
    <definedName name="VALUE_67" localSheetId="2">OFFSET('[4]SYD 08'!$D$3:$D$12,0,COUNTC('[4]SYD 08'!$D$1:$D$65536)-1)</definedName>
    <definedName name="VALUE_67" localSheetId="8">OFFSET('[4]SYD 08'!$D$3:$D$12,0,COUNTC('[4]SYD 08'!$D$1:$D$65536)-1)</definedName>
    <definedName name="VALUE_67" localSheetId="3">OFFSET('[4]SYD 08'!$D$3:$D$12,0,COUNTC('[4]SYD 08'!$D$1:$D$65536)-1)</definedName>
    <definedName name="VALUE_67" localSheetId="6">OFFSET('[4]SYD 08'!$D$3:$D$12,0,COUNTC('[4]SYD 08'!$D$1:$D$65536)-1)</definedName>
    <definedName name="VALUE_67" localSheetId="5">OFFSET('[4]SYD 08'!$D$3:$D$12,0,COUNTC('[4]SYD 08'!$D$1:$D$65536)-1)</definedName>
    <definedName name="VALUE_67" localSheetId="1">OFFSET('[4]SYD 08'!$D$3:$D$12,0,COUNTC('[4]SYD 08'!$D$1:$D$65536)-1)</definedName>
    <definedName name="VALUE_67" localSheetId="0">OFFSET('[4]SYD 08'!$D$3:$D$12,0,COUNTC('[4]SYD 08'!$D$1:$D$65536)-1)</definedName>
    <definedName name="VALUE_67">OFFSET('[4]SYD 08'!$D$3:$D$12,0,COUNTC('[4]SYD 08'!$D$1:$D$65536)-1)</definedName>
    <definedName name="VALUE_68" localSheetId="2">OFFSET('[4]SYD 08'!$D$3:$D$12,0,COUNTC('[4]SYD 08'!$D$1:$D$65536)-1)</definedName>
    <definedName name="VALUE_68" localSheetId="8">OFFSET('[4]SYD 08'!$D$3:$D$12,0,COUNTC('[4]SYD 08'!$D$1:$D$65536)-1)</definedName>
    <definedName name="VALUE_68" localSheetId="3">OFFSET('[4]SYD 08'!$D$3:$D$12,0,COUNTC('[4]SYD 08'!$D$1:$D$65536)-1)</definedName>
    <definedName name="VALUE_68" localSheetId="6">OFFSET('[4]SYD 08'!$D$3:$D$12,0,COUNTC('[4]SYD 08'!$D$1:$D$65536)-1)</definedName>
    <definedName name="VALUE_68" localSheetId="5">OFFSET('[4]SYD 08'!$D$3:$D$12,0,COUNTC('[4]SYD 08'!$D$1:$D$65536)-1)</definedName>
    <definedName name="VALUE_68" localSheetId="1">OFFSET('[4]SYD 08'!$D$3:$D$12,0,COUNTC('[4]SYD 08'!$D$1:$D$65536)-1)</definedName>
    <definedName name="VALUE_68" localSheetId="0">OFFSET('[4]SYD 08'!$D$3:$D$12,0,COUNTC('[4]SYD 08'!$D$1:$D$65536)-1)</definedName>
    <definedName name="VALUE_68">OFFSET('[4]SYD 08'!$D$3:$D$12,0,COUNTC('[4]SYD 08'!$D$1:$D$65536)-1)</definedName>
    <definedName name="VALUE_69" localSheetId="2">OFFSET('[4]SYD 08'!$D$3:$D$12,0,COUNTC('[4]SYD 08'!$D$1:$D$65536)-1)</definedName>
    <definedName name="VALUE_69" localSheetId="8">OFFSET('[4]SYD 08'!$D$3:$D$12,0,COUNTC('[4]SYD 08'!$D$1:$D$65536)-1)</definedName>
    <definedName name="VALUE_69" localSheetId="3">OFFSET('[4]SYD 08'!$D$3:$D$12,0,COUNTC('[4]SYD 08'!$D$1:$D$65536)-1)</definedName>
    <definedName name="VALUE_69" localSheetId="6">OFFSET('[4]SYD 08'!$D$3:$D$12,0,COUNTC('[4]SYD 08'!$D$1:$D$65536)-1)</definedName>
    <definedName name="VALUE_69" localSheetId="5">OFFSET('[4]SYD 08'!$D$3:$D$12,0,COUNTC('[4]SYD 08'!$D$1:$D$65536)-1)</definedName>
    <definedName name="VALUE_69" localSheetId="1">OFFSET('[4]SYD 08'!$D$3:$D$12,0,COUNTC('[4]SYD 08'!$D$1:$D$65536)-1)</definedName>
    <definedName name="VALUE_69" localSheetId="0">OFFSET('[4]SYD 08'!$D$3:$D$12,0,COUNTC('[4]SYD 08'!$D$1:$D$65536)-1)</definedName>
    <definedName name="VALUE_69">OFFSET('[4]SYD 08'!$D$3:$D$12,0,COUNTC('[4]SYD 08'!$D$1:$D$65536)-1)</definedName>
    <definedName name="VALUE_7" localSheetId="2">OFFSET('[4]SYD 08'!$D$3:$D$12,0,COUNTC('[4]SYD 08'!$D$1:$D$65536)-1)</definedName>
    <definedName name="VALUE_7" localSheetId="8">OFFSET('[4]SYD 08'!$D$3:$D$12,0,COUNTC('[4]SYD 08'!$D$1:$D$65536)-1)</definedName>
    <definedName name="VALUE_7" localSheetId="3">OFFSET('[4]SYD 08'!$D$3:$D$12,0,COUNTC('[4]SYD 08'!$D$1:$D$65536)-1)</definedName>
    <definedName name="VALUE_7" localSheetId="6">OFFSET('[4]SYD 08'!$D$3:$D$12,0,COUNTC('[4]SYD 08'!$D$1:$D$65536)-1)</definedName>
    <definedName name="VALUE_7" localSheetId="5">OFFSET('[4]SYD 08'!$D$3:$D$12,0,COUNTC('[4]SYD 08'!$D$1:$D$65536)-1)</definedName>
    <definedName name="VALUE_7" localSheetId="1">OFFSET('[4]SYD 08'!$D$3:$D$12,0,COUNTC('[4]SYD 08'!$D$1:$D$65536)-1)</definedName>
    <definedName name="VALUE_7" localSheetId="0">OFFSET('[4]SYD 08'!$D$3:$D$12,0,COUNTC('[4]SYD 08'!$D$1:$D$65536)-1)</definedName>
    <definedName name="VALUE_7">OFFSET('[4]SYD 08'!$D$3:$D$12,0,COUNTC('[4]SYD 08'!$D$1:$D$65536)-1)</definedName>
    <definedName name="VALUE_70" localSheetId="2">OFFSET('[4]SYD 08'!$D$3:$D$12,0,COUNTC('[4]SYD 08'!$D$1:$D$65536)-1)</definedName>
    <definedName name="VALUE_70" localSheetId="8">OFFSET('[4]SYD 08'!$D$3:$D$12,0,COUNTC('[4]SYD 08'!$D$1:$D$65536)-1)</definedName>
    <definedName name="VALUE_70" localSheetId="3">OFFSET('[4]SYD 08'!$D$3:$D$12,0,COUNTC('[4]SYD 08'!$D$1:$D$65536)-1)</definedName>
    <definedName name="VALUE_70" localSheetId="6">OFFSET('[4]SYD 08'!$D$3:$D$12,0,COUNTC('[4]SYD 08'!$D$1:$D$65536)-1)</definedName>
    <definedName name="VALUE_70" localSheetId="5">OFFSET('[4]SYD 08'!$D$3:$D$12,0,COUNTC('[4]SYD 08'!$D$1:$D$65536)-1)</definedName>
    <definedName name="VALUE_70" localSheetId="1">OFFSET('[4]SYD 08'!$D$3:$D$12,0,COUNTC('[4]SYD 08'!$D$1:$D$65536)-1)</definedName>
    <definedName name="VALUE_70" localSheetId="0">OFFSET('[4]SYD 08'!$D$3:$D$12,0,COUNTC('[4]SYD 08'!$D$1:$D$65536)-1)</definedName>
    <definedName name="VALUE_70">OFFSET('[4]SYD 08'!$D$3:$D$12,0,COUNTC('[4]SYD 08'!$D$1:$D$65536)-1)</definedName>
    <definedName name="VALUE_71" localSheetId="2">OFFSET('[4]SYD 08'!$D$3:$D$12,0,COUNTC('[4]SYD 08'!$D$1:$D$65536)-1)</definedName>
    <definedName name="VALUE_71" localSheetId="8">OFFSET('[4]SYD 08'!$D$3:$D$12,0,COUNTC('[4]SYD 08'!$D$1:$D$65536)-1)</definedName>
    <definedName name="VALUE_71" localSheetId="3">OFFSET('[4]SYD 08'!$D$3:$D$12,0,COUNTC('[4]SYD 08'!$D$1:$D$65536)-1)</definedName>
    <definedName name="VALUE_71" localSheetId="6">OFFSET('[4]SYD 08'!$D$3:$D$12,0,COUNTC('[4]SYD 08'!$D$1:$D$65536)-1)</definedName>
    <definedName name="VALUE_71" localSheetId="5">OFFSET('[4]SYD 08'!$D$3:$D$12,0,COUNTC('[4]SYD 08'!$D$1:$D$65536)-1)</definedName>
    <definedName name="VALUE_71" localSheetId="1">OFFSET('[4]SYD 08'!$D$3:$D$12,0,COUNTC('[4]SYD 08'!$D$1:$D$65536)-1)</definedName>
    <definedName name="VALUE_71" localSheetId="0">OFFSET('[4]SYD 08'!$D$3:$D$12,0,COUNTC('[4]SYD 08'!$D$1:$D$65536)-1)</definedName>
    <definedName name="VALUE_71">OFFSET('[4]SYD 08'!$D$3:$D$12,0,COUNTC('[4]SYD 08'!$D$1:$D$65536)-1)</definedName>
    <definedName name="VALUE_8" localSheetId="2">OFFSET('[4]SYD 08'!$D$3:$D$12,0,COUNTC('[4]SYD 08'!$D$1:$D$65536)-1)</definedName>
    <definedName name="VALUE_8" localSheetId="8">OFFSET('[4]SYD 08'!$D$3:$D$12,0,COUNTC('[4]SYD 08'!$D$1:$D$65536)-1)</definedName>
    <definedName name="VALUE_8" localSheetId="3">OFFSET('[4]SYD 08'!$D$3:$D$12,0,COUNTC('[4]SYD 08'!$D$1:$D$65536)-1)</definedName>
    <definedName name="VALUE_8" localSheetId="6">OFFSET('[4]SYD 08'!$D$3:$D$12,0,COUNTC('[4]SYD 08'!$D$1:$D$65536)-1)</definedName>
    <definedName name="VALUE_8" localSheetId="5">OFFSET('[4]SYD 08'!$D$3:$D$12,0,COUNTC('[4]SYD 08'!$D$1:$D$65536)-1)</definedName>
    <definedName name="VALUE_8" localSheetId="1">OFFSET('[4]SYD 08'!$D$3:$D$12,0,COUNTC('[4]SYD 08'!$D$1:$D$65536)-1)</definedName>
    <definedName name="VALUE_8" localSheetId="0">OFFSET('[4]SYD 08'!$D$3:$D$12,0,COUNTC('[4]SYD 08'!$D$1:$D$65536)-1)</definedName>
    <definedName name="VALUE_8">OFFSET('[4]SYD 08'!$D$3:$D$12,0,COUNTC('[4]SYD 08'!$D$1:$D$65536)-1)</definedName>
    <definedName name="VALUE_9" localSheetId="2">OFFSET('[4]SYD 08'!$D$3:$D$12,0,COUNTC('[4]SYD 08'!$D$1:$D$65536)-1)</definedName>
    <definedName name="VALUE_9" localSheetId="8">OFFSET('[4]SYD 08'!$D$3:$D$12,0,COUNTC('[4]SYD 08'!$D$1:$D$65536)-1)</definedName>
    <definedName name="VALUE_9" localSheetId="3">OFFSET('[4]SYD 08'!$D$3:$D$12,0,COUNTC('[4]SYD 08'!$D$1:$D$65536)-1)</definedName>
    <definedName name="VALUE_9" localSheetId="6">OFFSET('[4]SYD 08'!$D$3:$D$12,0,COUNTC('[4]SYD 08'!$D$1:$D$65536)-1)</definedName>
    <definedName name="VALUE_9" localSheetId="5">OFFSET('[4]SYD 08'!$D$3:$D$12,0,COUNTC('[4]SYD 08'!$D$1:$D$65536)-1)</definedName>
    <definedName name="VALUE_9" localSheetId="1">OFFSET('[4]SYD 08'!$D$3:$D$12,0,COUNTC('[4]SYD 08'!$D$1:$D$65536)-1)</definedName>
    <definedName name="VALUE_9" localSheetId="0">OFFSET('[4]SYD 08'!$D$3:$D$12,0,COUNTC('[4]SYD 08'!$D$1:$D$65536)-1)</definedName>
    <definedName name="VALUE_9">OFFSET('[4]SYD 08'!$D$3:$D$12,0,COUNTC('[4]SYD 08'!$D$1:$D$65536)-1)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3" l="1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EU33" i="9" l="1"/>
  <c r="U47" i="17" l="1"/>
  <c r="U48" i="17" s="1"/>
  <c r="U49" i="17" s="1"/>
  <c r="E3" i="23" l="1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G31" i="23" l="1"/>
  <c r="E31" i="23"/>
  <c r="E30" i="23"/>
  <c r="BT8" i="17"/>
  <c r="BT9" i="17"/>
  <c r="BT10" i="17"/>
  <c r="BT11" i="17"/>
  <c r="BT12" i="17"/>
  <c r="BT13" i="17"/>
  <c r="BT14" i="17"/>
  <c r="BT15" i="17"/>
  <c r="BT16" i="17"/>
  <c r="BT17" i="17"/>
  <c r="BT18" i="17"/>
  <c r="BT19" i="17"/>
  <c r="BT20" i="17"/>
  <c r="BT21" i="17"/>
  <c r="BT22" i="17"/>
  <c r="BT23" i="17"/>
  <c r="BT24" i="17"/>
  <c r="BT25" i="17"/>
  <c r="BT26" i="17"/>
  <c r="BT27" i="17"/>
  <c r="BT28" i="17"/>
  <c r="BT29" i="17"/>
  <c r="BT30" i="17"/>
  <c r="BT7" i="17"/>
  <c r="F10" i="23" l="1"/>
  <c r="F18" i="23"/>
  <c r="G18" i="23" s="1"/>
  <c r="F26" i="23"/>
  <c r="G26" i="23" s="1"/>
  <c r="F14" i="23"/>
  <c r="G14" i="23" s="1"/>
  <c r="F15" i="23"/>
  <c r="G15" i="23" s="1"/>
  <c r="F16" i="23"/>
  <c r="G16" i="23" s="1"/>
  <c r="F17" i="23"/>
  <c r="G17" i="23" s="1"/>
  <c r="F3" i="23"/>
  <c r="F11" i="23"/>
  <c r="G11" i="23" s="1"/>
  <c r="F19" i="23"/>
  <c r="G19" i="23" s="1"/>
  <c r="F27" i="23"/>
  <c r="G27" i="23" s="1"/>
  <c r="F22" i="23"/>
  <c r="G22" i="23" s="1"/>
  <c r="F7" i="23"/>
  <c r="F8" i="23"/>
  <c r="F25" i="23"/>
  <c r="G25" i="23" s="1"/>
  <c r="F4" i="23"/>
  <c r="F12" i="23"/>
  <c r="G12" i="23" s="1"/>
  <c r="F20" i="23"/>
  <c r="G20" i="23" s="1"/>
  <c r="F28" i="23"/>
  <c r="G28" i="23" s="1"/>
  <c r="F6" i="23"/>
  <c r="F5" i="23"/>
  <c r="F13" i="23"/>
  <c r="G13" i="23" s="1"/>
  <c r="F21" i="23"/>
  <c r="G21" i="23" s="1"/>
  <c r="F23" i="23"/>
  <c r="G23" i="23" s="1"/>
  <c r="F24" i="23"/>
  <c r="G24" i="23" s="1"/>
  <c r="F9" i="23"/>
  <c r="H4" i="17"/>
  <c r="D4" i="17"/>
  <c r="AG10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G4" i="23" l="1"/>
  <c r="G3" i="23"/>
  <c r="G8" i="23"/>
  <c r="G5" i="23"/>
  <c r="G7" i="23"/>
  <c r="G6" i="23"/>
  <c r="G9" i="23"/>
  <c r="G10" i="23"/>
  <c r="BD31" i="17"/>
  <c r="BD42" i="17"/>
  <c r="BD43" i="17"/>
  <c r="BD44" i="17"/>
  <c r="G32" i="23" l="1"/>
  <c r="AC8" i="17"/>
  <c r="AI8" i="17" s="1"/>
  <c r="AC9" i="17"/>
  <c r="AI9" i="17" s="1"/>
  <c r="AC10" i="17"/>
  <c r="AI10" i="17" s="1"/>
  <c r="AC11" i="17"/>
  <c r="AI11" i="17" s="1"/>
  <c r="AC12" i="17"/>
  <c r="AI12" i="17" s="1"/>
  <c r="AC13" i="17"/>
  <c r="AI13" i="17" s="1"/>
  <c r="AC14" i="17"/>
  <c r="AI14" i="17" s="1"/>
  <c r="AC15" i="17"/>
  <c r="AI15" i="17" s="1"/>
  <c r="AC16" i="17"/>
  <c r="AI16" i="17" s="1"/>
  <c r="AC17" i="17"/>
  <c r="AI17" i="17" s="1"/>
  <c r="AC18" i="17"/>
  <c r="AI18" i="17" s="1"/>
  <c r="AC19" i="17"/>
  <c r="AI19" i="17" s="1"/>
  <c r="AC20" i="17"/>
  <c r="AI20" i="17" s="1"/>
  <c r="AC21" i="17"/>
  <c r="AI21" i="17" s="1"/>
  <c r="AC22" i="17"/>
  <c r="AI22" i="17" s="1"/>
  <c r="AC23" i="17"/>
  <c r="AI23" i="17" s="1"/>
  <c r="AC24" i="17"/>
  <c r="AI24" i="17" s="1"/>
  <c r="AC25" i="17"/>
  <c r="AI25" i="17" s="1"/>
  <c r="AC26" i="17"/>
  <c r="AI26" i="17" s="1"/>
  <c r="AC27" i="17"/>
  <c r="AI27" i="17" s="1"/>
  <c r="AC28" i="17"/>
  <c r="AI28" i="17" s="1"/>
  <c r="AC29" i="17"/>
  <c r="AI29" i="17" s="1"/>
  <c r="AC30" i="17"/>
  <c r="AI30" i="17" s="1"/>
  <c r="AC7" i="17"/>
  <c r="AI7" i="17" s="1"/>
  <c r="A37" i="24" a="1"/>
  <c r="A37" i="24" s="1"/>
  <c r="B38" i="24" s="1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DB34" i="24"/>
  <c r="DA34" i="24"/>
  <c r="CZ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DZ33" i="24"/>
  <c r="EA33" i="24" s="1"/>
  <c r="EP32" i="24"/>
  <c r="EH32" i="24"/>
  <c r="EC32" i="24"/>
  <c r="DZ32" i="24"/>
  <c r="EA32" i="24" s="1"/>
  <c r="EP31" i="24"/>
  <c r="EH31" i="24"/>
  <c r="EC31" i="24"/>
  <c r="DZ31" i="24"/>
  <c r="EA31" i="24" s="1"/>
  <c r="EP30" i="24"/>
  <c r="EH30" i="24"/>
  <c r="EC30" i="24"/>
  <c r="DZ30" i="24"/>
  <c r="EA30" i="24" s="1"/>
  <c r="EP29" i="24"/>
  <c r="EH29" i="24"/>
  <c r="EC29" i="24"/>
  <c r="DZ29" i="24"/>
  <c r="EA29" i="24" s="1"/>
  <c r="EP28" i="24"/>
  <c r="EH28" i="24"/>
  <c r="EC28" i="24"/>
  <c r="DZ28" i="24"/>
  <c r="EA28" i="24" s="1"/>
  <c r="EP27" i="24"/>
  <c r="EH27" i="24"/>
  <c r="EC27" i="24"/>
  <c r="DZ27" i="24"/>
  <c r="EA27" i="24" s="1"/>
  <c r="EP26" i="24"/>
  <c r="EH26" i="24"/>
  <c r="EC26" i="24"/>
  <c r="DZ26" i="24"/>
  <c r="EA26" i="24" s="1"/>
  <c r="EP25" i="24"/>
  <c r="EH25" i="24"/>
  <c r="EC25" i="24"/>
  <c r="DZ25" i="24"/>
  <c r="EA25" i="24" s="1"/>
  <c r="EP24" i="24"/>
  <c r="EH24" i="24"/>
  <c r="EC24" i="24"/>
  <c r="DZ24" i="24"/>
  <c r="EA24" i="24" s="1"/>
  <c r="EP23" i="24"/>
  <c r="EH23" i="24"/>
  <c r="EC23" i="24"/>
  <c r="DZ23" i="24"/>
  <c r="EA23" i="24" s="1"/>
  <c r="EP22" i="24"/>
  <c r="EH22" i="24"/>
  <c r="EC22" i="24"/>
  <c r="DZ22" i="24"/>
  <c r="EA22" i="24" s="1"/>
  <c r="EP21" i="24"/>
  <c r="EH21" i="24"/>
  <c r="EC21" i="24"/>
  <c r="DZ21" i="24"/>
  <c r="EA21" i="24" s="1"/>
  <c r="EP20" i="24"/>
  <c r="EH20" i="24"/>
  <c r="EC20" i="24"/>
  <c r="DZ20" i="24"/>
  <c r="EA20" i="24" s="1"/>
  <c r="EP19" i="24"/>
  <c r="EH19" i="24"/>
  <c r="EC19" i="24"/>
  <c r="DZ19" i="24"/>
  <c r="EA19" i="24" s="1"/>
  <c r="EP18" i="24"/>
  <c r="EH18" i="24"/>
  <c r="EC18" i="24"/>
  <c r="DZ18" i="24"/>
  <c r="EA18" i="24" s="1"/>
  <c r="EP17" i="24"/>
  <c r="EH17" i="24"/>
  <c r="EC17" i="24"/>
  <c r="DZ17" i="24"/>
  <c r="EA17" i="24" s="1"/>
  <c r="EP16" i="24"/>
  <c r="EH16" i="24"/>
  <c r="EC16" i="24"/>
  <c r="DZ16" i="24"/>
  <c r="EA16" i="24" s="1"/>
  <c r="EP15" i="24"/>
  <c r="EH15" i="24"/>
  <c r="EC15" i="24"/>
  <c r="DZ15" i="24"/>
  <c r="EA15" i="24" s="1"/>
  <c r="EP14" i="24"/>
  <c r="EH14" i="24"/>
  <c r="EC14" i="24"/>
  <c r="DZ14" i="24"/>
  <c r="EA14" i="24" s="1"/>
  <c r="EP13" i="24"/>
  <c r="EH13" i="24"/>
  <c r="EC13" i="24"/>
  <c r="DZ13" i="24"/>
  <c r="EA13" i="24" s="1"/>
  <c r="EP12" i="24"/>
  <c r="EH12" i="24"/>
  <c r="EC12" i="24"/>
  <c r="DZ12" i="24"/>
  <c r="EA12" i="24" s="1"/>
  <c r="EP11" i="24"/>
  <c r="EH11" i="24"/>
  <c r="EC11" i="24"/>
  <c r="DZ11" i="24"/>
  <c r="EA11" i="24" s="1"/>
  <c r="EH10" i="24"/>
  <c r="EC10" i="24"/>
  <c r="DZ10" i="24"/>
  <c r="EH9" i="24"/>
  <c r="EC9" i="24"/>
  <c r="DZ9" i="24"/>
  <c r="EH8" i="24"/>
  <c r="EC8" i="24"/>
  <c r="DZ8" i="24"/>
  <c r="EH7" i="24"/>
  <c r="EC7" i="24"/>
  <c r="DZ7" i="24"/>
  <c r="EH6" i="24"/>
  <c r="EC6" i="24"/>
  <c r="DZ6" i="24"/>
  <c r="EH5" i="24"/>
  <c r="EC5" i="24"/>
  <c r="DZ5" i="24"/>
  <c r="EH4" i="24"/>
  <c r="EC4" i="24"/>
  <c r="DZ4" i="24"/>
  <c r="EH3" i="24"/>
  <c r="EC3" i="24"/>
  <c r="DZ3" i="24"/>
  <c r="AN30" i="17" l="1"/>
  <c r="AN22" i="17"/>
  <c r="AN14" i="17"/>
  <c r="AN29" i="17"/>
  <c r="AN21" i="17"/>
  <c r="AN13" i="17"/>
  <c r="AN23" i="17"/>
  <c r="AN28" i="17"/>
  <c r="AN20" i="17"/>
  <c r="AN12" i="17"/>
  <c r="AN27" i="17"/>
  <c r="AN19" i="17"/>
  <c r="AN11" i="17"/>
  <c r="AN15" i="17"/>
  <c r="AN26" i="17"/>
  <c r="AN18" i="17"/>
  <c r="AN10" i="17"/>
  <c r="AN25" i="17"/>
  <c r="AN17" i="17"/>
  <c r="AN9" i="17"/>
  <c r="AN7" i="17"/>
  <c r="AN24" i="17"/>
  <c r="AN16" i="17"/>
  <c r="AN8" i="17"/>
  <c r="AD2" i="17"/>
  <c r="AD1" i="17"/>
  <c r="EA5" i="24"/>
  <c r="EA4" i="24"/>
  <c r="EA6" i="24"/>
  <c r="EA9" i="24"/>
  <c r="EA7" i="24"/>
  <c r="EA8" i="24"/>
  <c r="EA10" i="24"/>
  <c r="EF25" i="24"/>
  <c r="ED25" i="24"/>
  <c r="ED31" i="24"/>
  <c r="EF31" i="24"/>
  <c r="ED32" i="24"/>
  <c r="EF32" i="24"/>
  <c r="ED5" i="24"/>
  <c r="EF5" i="24"/>
  <c r="EF9" i="24"/>
  <c r="ED9" i="24"/>
  <c r="EF15" i="24"/>
  <c r="ED15" i="24"/>
  <c r="EA3" i="24"/>
  <c r="ED16" i="24"/>
  <c r="EF16" i="24"/>
  <c r="EF19" i="24"/>
  <c r="ED19" i="24"/>
  <c r="ED23" i="24"/>
  <c r="EF23" i="24"/>
  <c r="EF27" i="24"/>
  <c r="ED27" i="24"/>
  <c r="ED3" i="24"/>
  <c r="EF3" i="24"/>
  <c r="ED7" i="24"/>
  <c r="EF7" i="24"/>
  <c r="EF11" i="24"/>
  <c r="ED11" i="24"/>
  <c r="EF28" i="24"/>
  <c r="ED28" i="24"/>
  <c r="ED26" i="24"/>
  <c r="EF26" i="24"/>
  <c r="EF6" i="24"/>
  <c r="ED6" i="24"/>
  <c r="EF13" i="24"/>
  <c r="ED13" i="24"/>
  <c r="ED14" i="24"/>
  <c r="EF14" i="24"/>
  <c r="ED20" i="24"/>
  <c r="EF20" i="24"/>
  <c r="EF24" i="24"/>
  <c r="ED24" i="24"/>
  <c r="ED29" i="24"/>
  <c r="EF29" i="24"/>
  <c r="ED18" i="24"/>
  <c r="EF18" i="24"/>
  <c r="ED22" i="24"/>
  <c r="EF22" i="24"/>
  <c r="ED10" i="24"/>
  <c r="EF10" i="24"/>
  <c r="EH38" i="24"/>
  <c r="EH37" i="24"/>
  <c r="EH35" i="24"/>
  <c r="EH34" i="24"/>
  <c r="EH36" i="24"/>
  <c r="EF4" i="24"/>
  <c r="ED4" i="24"/>
  <c r="ED8" i="24"/>
  <c r="EF8" i="24"/>
  <c r="EF17" i="24"/>
  <c r="ED17" i="24"/>
  <c r="ED30" i="24"/>
  <c r="EF30" i="24"/>
  <c r="ED12" i="24"/>
  <c r="EF12" i="24"/>
  <c r="EF21" i="24"/>
  <c r="ED21" i="24"/>
  <c r="BK44" i="17"/>
  <c r="EN7" i="24" l="1"/>
  <c r="EL7" i="24"/>
  <c r="EU7" i="24" s="1"/>
  <c r="EL17" i="24"/>
  <c r="EU17" i="24" s="1"/>
  <c r="EN17" i="24"/>
  <c r="EN26" i="24"/>
  <c r="EL26" i="24"/>
  <c r="EU26" i="24" s="1"/>
  <c r="ED36" i="24"/>
  <c r="ED40" i="24"/>
  <c r="ED39" i="24"/>
  <c r="ED38" i="24"/>
  <c r="ED37" i="24"/>
  <c r="ED35" i="24"/>
  <c r="ED34" i="24"/>
  <c r="EI7" i="24" s="1"/>
  <c r="EN3" i="24"/>
  <c r="EL3" i="24"/>
  <c r="EN23" i="24"/>
  <c r="EL23" i="24"/>
  <c r="EU23" i="24" s="1"/>
  <c r="EA34" i="24"/>
  <c r="EA35" i="24"/>
  <c r="EL8" i="24"/>
  <c r="EU8" i="24" s="1"/>
  <c r="EN8" i="24"/>
  <c r="EL14" i="24"/>
  <c r="EU14" i="24" s="1"/>
  <c r="EN14" i="24"/>
  <c r="EL6" i="24"/>
  <c r="EU6" i="24" s="1"/>
  <c r="EN6" i="24"/>
  <c r="EP6" i="24" s="1"/>
  <c r="EN21" i="24"/>
  <c r="EL21" i="24"/>
  <c r="EU21" i="24" s="1"/>
  <c r="EL4" i="24"/>
  <c r="EU4" i="24" s="1"/>
  <c r="EN4" i="24"/>
  <c r="EN15" i="24"/>
  <c r="EL15" i="24"/>
  <c r="EU15" i="24" s="1"/>
  <c r="EN12" i="24"/>
  <c r="EL12" i="24"/>
  <c r="EU12" i="24" s="1"/>
  <c r="EL10" i="24"/>
  <c r="EU10" i="24" s="1"/>
  <c r="EN10" i="24"/>
  <c r="EN31" i="24"/>
  <c r="EL31" i="24"/>
  <c r="EU31" i="24" s="1"/>
  <c r="EN22" i="24"/>
  <c r="EL22" i="24"/>
  <c r="EU22" i="24" s="1"/>
  <c r="EN9" i="24"/>
  <c r="EL9" i="24"/>
  <c r="EU9" i="24" s="1"/>
  <c r="EN28" i="24"/>
  <c r="EL28" i="24"/>
  <c r="EU28" i="24" s="1"/>
  <c r="EN19" i="24"/>
  <c r="EL19" i="24"/>
  <c r="EU19" i="24" s="1"/>
  <c r="EN20" i="24"/>
  <c r="EL20" i="24"/>
  <c r="EU20" i="24" s="1"/>
  <c r="EN13" i="24"/>
  <c r="EL13" i="24"/>
  <c r="EU13" i="24" s="1"/>
  <c r="EN11" i="24"/>
  <c r="EL11" i="24"/>
  <c r="EU11" i="24" s="1"/>
  <c r="EN25" i="24"/>
  <c r="EL25" i="24"/>
  <c r="EU25" i="24" s="1"/>
  <c r="EN29" i="24"/>
  <c r="EL29" i="24"/>
  <c r="EU29" i="24" s="1"/>
  <c r="EL27" i="24"/>
  <c r="EU27" i="24" s="1"/>
  <c r="EN27" i="24"/>
  <c r="EL30" i="24"/>
  <c r="EU30" i="24" s="1"/>
  <c r="EN30" i="24"/>
  <c r="EL16" i="24"/>
  <c r="EU16" i="24" s="1"/>
  <c r="EN16" i="24"/>
  <c r="EN5" i="24"/>
  <c r="EL5" i="24"/>
  <c r="EU5" i="24" s="1"/>
  <c r="EN18" i="24"/>
  <c r="EL18" i="24"/>
  <c r="EU18" i="24" s="1"/>
  <c r="EL24" i="24"/>
  <c r="EU24" i="24" s="1"/>
  <c r="EN24" i="24"/>
  <c r="EL32" i="24"/>
  <c r="EU32" i="24" s="1"/>
  <c r="EN32" i="24"/>
  <c r="AC3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Z3" i="23"/>
  <c r="Z4" i="23"/>
  <c r="Z5" i="23"/>
  <c r="Z6" i="23"/>
  <c r="Z7" i="23"/>
  <c r="Z8" i="23"/>
  <c r="Z9" i="23"/>
  <c r="Z10" i="23"/>
  <c r="Z11" i="23"/>
  <c r="Z12" i="23"/>
  <c r="Z13" i="23"/>
  <c r="Z14" i="23"/>
  <c r="Z15" i="23"/>
  <c r="Z16" i="23"/>
  <c r="Z17" i="23"/>
  <c r="Z18" i="23"/>
  <c r="Z19" i="23"/>
  <c r="Z20" i="23"/>
  <c r="Z21" i="23"/>
  <c r="Z22" i="23"/>
  <c r="Z23" i="23"/>
  <c r="Z24" i="23"/>
  <c r="Z25" i="23"/>
  <c r="Z26" i="23"/>
  <c r="Z27" i="23"/>
  <c r="Z28" i="23"/>
  <c r="W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Q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K30" i="23" l="1"/>
  <c r="M31" i="23"/>
  <c r="K31" i="23"/>
  <c r="AB31" i="23"/>
  <c r="Z31" i="23"/>
  <c r="Z30" i="23"/>
  <c r="S31" i="23"/>
  <c r="Q30" i="23"/>
  <c r="Q31" i="23"/>
  <c r="AE31" i="23"/>
  <c r="AC31" i="23"/>
  <c r="AC30" i="23"/>
  <c r="P31" i="23"/>
  <c r="N30" i="23"/>
  <c r="N31" i="23"/>
  <c r="T30" i="23"/>
  <c r="T31" i="23"/>
  <c r="V31" i="23"/>
  <c r="H31" i="23"/>
  <c r="H30" i="23"/>
  <c r="J31" i="23"/>
  <c r="W31" i="23"/>
  <c r="W30" i="23"/>
  <c r="Y31" i="23"/>
  <c r="EI5" i="24"/>
  <c r="EJ5" i="24" s="1"/>
  <c r="EK5" i="24" s="1"/>
  <c r="EI23" i="24"/>
  <c r="EJ23" i="24" s="1"/>
  <c r="EK23" i="24" s="1"/>
  <c r="EI25" i="24"/>
  <c r="EJ25" i="24" s="1"/>
  <c r="EK25" i="24" s="1"/>
  <c r="EI4" i="24"/>
  <c r="EJ4" i="24" s="1"/>
  <c r="EK4" i="24" s="1"/>
  <c r="EI27" i="24"/>
  <c r="EJ27" i="24" s="1"/>
  <c r="EK27" i="24" s="1"/>
  <c r="EI28" i="24"/>
  <c r="EJ28" i="24" s="1"/>
  <c r="EK28" i="24" s="1"/>
  <c r="EI24" i="24"/>
  <c r="EJ24" i="24" s="1"/>
  <c r="EK24" i="24" s="1"/>
  <c r="EI20" i="24"/>
  <c r="EJ20" i="24" s="1"/>
  <c r="EK20" i="24" s="1"/>
  <c r="EI32" i="24"/>
  <c r="EJ32" i="24" s="1"/>
  <c r="EK32" i="24" s="1"/>
  <c r="EI22" i="24"/>
  <c r="EJ22" i="24" s="1"/>
  <c r="EK22" i="24" s="1"/>
  <c r="EI16" i="24"/>
  <c r="EJ16" i="24" s="1"/>
  <c r="EK16" i="24" s="1"/>
  <c r="EI29" i="24"/>
  <c r="EJ29" i="24" s="1"/>
  <c r="EK29" i="24" s="1"/>
  <c r="EI11" i="24"/>
  <c r="EJ11" i="24" s="1"/>
  <c r="EK11" i="24" s="1"/>
  <c r="EI18" i="24"/>
  <c r="EJ18" i="24" s="1"/>
  <c r="EK18" i="24" s="1"/>
  <c r="EI13" i="24"/>
  <c r="EJ13" i="24" s="1"/>
  <c r="EK13" i="24" s="1"/>
  <c r="EI19" i="24"/>
  <c r="EJ19" i="24" s="1"/>
  <c r="EK19" i="24" s="1"/>
  <c r="EI15" i="24"/>
  <c r="EJ15" i="24" s="1"/>
  <c r="EK15" i="24" s="1"/>
  <c r="EI30" i="24"/>
  <c r="EJ30" i="24" s="1"/>
  <c r="EK30" i="24" s="1"/>
  <c r="EI31" i="24"/>
  <c r="EJ31" i="24" s="1"/>
  <c r="EK31" i="24" s="1"/>
  <c r="EI10" i="24"/>
  <c r="EP10" i="24" s="1"/>
  <c r="EI14" i="24"/>
  <c r="EJ14" i="24" s="1"/>
  <c r="EK14" i="24" s="1"/>
  <c r="EI12" i="24"/>
  <c r="EJ12" i="24" s="1"/>
  <c r="EK12" i="24" s="1"/>
  <c r="EI21" i="24"/>
  <c r="EJ21" i="24" s="1"/>
  <c r="EK21" i="24" s="1"/>
  <c r="EI8" i="24"/>
  <c r="EP8" i="24" s="1"/>
  <c r="ED41" i="24"/>
  <c r="ET7" i="24"/>
  <c r="EV7" i="24" s="1"/>
  <c r="EJ7" i="24"/>
  <c r="EK7" i="24" s="1"/>
  <c r="EI17" i="24"/>
  <c r="EL34" i="24"/>
  <c r="EL36" i="24"/>
  <c r="EL35" i="24"/>
  <c r="EU3" i="24"/>
  <c r="EN37" i="24"/>
  <c r="EN34" i="24"/>
  <c r="EN36" i="24"/>
  <c r="EN35" i="24"/>
  <c r="EN38" i="24"/>
  <c r="EP3" i="24"/>
  <c r="EP7" i="24"/>
  <c r="EI9" i="24"/>
  <c r="EI6" i="24"/>
  <c r="EI3" i="24"/>
  <c r="EI26" i="24"/>
  <c r="AB44" i="17"/>
  <c r="AD5" i="23" l="1"/>
  <c r="AD27" i="23"/>
  <c r="AE27" i="23" s="1"/>
  <c r="AD13" i="23"/>
  <c r="AE13" i="23" s="1"/>
  <c r="AD22" i="23"/>
  <c r="AE22" i="23" s="1"/>
  <c r="AD11" i="23"/>
  <c r="AE11" i="23" s="1"/>
  <c r="AD24" i="23"/>
  <c r="AE24" i="23" s="1"/>
  <c r="AD10" i="23"/>
  <c r="AA18" i="23"/>
  <c r="AA13" i="23"/>
  <c r="AA15" i="23"/>
  <c r="R5" i="23"/>
  <c r="R13" i="23"/>
  <c r="S13" i="23" s="1"/>
  <c r="R21" i="23"/>
  <c r="S21" i="23" s="1"/>
  <c r="R6" i="23"/>
  <c r="R14" i="23"/>
  <c r="S14" i="23" s="1"/>
  <c r="R22" i="23"/>
  <c r="S22" i="23" s="1"/>
  <c r="R7" i="23"/>
  <c r="R15" i="23"/>
  <c r="S15" i="23" s="1"/>
  <c r="R23" i="23"/>
  <c r="S23" i="23" s="1"/>
  <c r="R3" i="23"/>
  <c r="R19" i="23"/>
  <c r="S19" i="23" s="1"/>
  <c r="R8" i="23"/>
  <c r="R16" i="23"/>
  <c r="S16" i="23" s="1"/>
  <c r="R24" i="23"/>
  <c r="S24" i="23" s="1"/>
  <c r="R9" i="23"/>
  <c r="R17" i="23"/>
  <c r="S17" i="23" s="1"/>
  <c r="R25" i="23"/>
  <c r="S25" i="23" s="1"/>
  <c r="R10" i="23"/>
  <c r="R18" i="23"/>
  <c r="S18" i="23" s="1"/>
  <c r="R26" i="23"/>
  <c r="S26" i="23" s="1"/>
  <c r="R11" i="23"/>
  <c r="S11" i="23" s="1"/>
  <c r="R27" i="23"/>
  <c r="S27" i="23" s="1"/>
  <c r="R4" i="23"/>
  <c r="R12" i="23"/>
  <c r="S12" i="23" s="1"/>
  <c r="R20" i="23"/>
  <c r="S20" i="23" s="1"/>
  <c r="R28" i="23"/>
  <c r="S28" i="23" s="1"/>
  <c r="X6" i="23"/>
  <c r="X14" i="23"/>
  <c r="Y14" i="23" s="1"/>
  <c r="X22" i="23"/>
  <c r="Y22" i="23" s="1"/>
  <c r="X7" i="23"/>
  <c r="X15" i="23"/>
  <c r="Y15" i="23" s="1"/>
  <c r="X23" i="23"/>
  <c r="Y23" i="23" s="1"/>
  <c r="X8" i="23"/>
  <c r="Y8" i="23" s="1"/>
  <c r="X16" i="23"/>
  <c r="Y16" i="23" s="1"/>
  <c r="X24" i="23"/>
  <c r="Y24" i="23" s="1"/>
  <c r="X4" i="23"/>
  <c r="Y4" i="23" s="1"/>
  <c r="X20" i="23"/>
  <c r="Y20" i="23" s="1"/>
  <c r="X9" i="23"/>
  <c r="Y9" i="23" s="1"/>
  <c r="X17" i="23"/>
  <c r="Y17" i="23" s="1"/>
  <c r="X25" i="23"/>
  <c r="Y25" i="23" s="1"/>
  <c r="X10" i="23"/>
  <c r="Y10" i="23" s="1"/>
  <c r="X18" i="23"/>
  <c r="Y18" i="23" s="1"/>
  <c r="X26" i="23"/>
  <c r="Y26" i="23" s="1"/>
  <c r="X3" i="23"/>
  <c r="X11" i="23"/>
  <c r="Y11" i="23" s="1"/>
  <c r="X19" i="23"/>
  <c r="Y19" i="23" s="1"/>
  <c r="X27" i="23"/>
  <c r="Y27" i="23" s="1"/>
  <c r="X12" i="23"/>
  <c r="Y12" i="23" s="1"/>
  <c r="X28" i="23"/>
  <c r="Y28" i="23" s="1"/>
  <c r="X5" i="23"/>
  <c r="Y5" i="23" s="1"/>
  <c r="X13" i="23"/>
  <c r="Y13" i="23" s="1"/>
  <c r="X21" i="23"/>
  <c r="Y21" i="23" s="1"/>
  <c r="AD14" i="23"/>
  <c r="AE14" i="23" s="1"/>
  <c r="AA5" i="23"/>
  <c r="AD16" i="23"/>
  <c r="AE16" i="23" s="1"/>
  <c r="AA7" i="23"/>
  <c r="AA27" i="23"/>
  <c r="AD19" i="23"/>
  <c r="AE19" i="23" s="1"/>
  <c r="AA26" i="23"/>
  <c r="AA4" i="23"/>
  <c r="AA21" i="23"/>
  <c r="AA6" i="23"/>
  <c r="AA23" i="23"/>
  <c r="AD18" i="23"/>
  <c r="AE18" i="23" s="1"/>
  <c r="AA9" i="23"/>
  <c r="AD4" i="23"/>
  <c r="AA12" i="23"/>
  <c r="AD26" i="23"/>
  <c r="AE26" i="23" s="1"/>
  <c r="AA3" i="23"/>
  <c r="AA17" i="23"/>
  <c r="AD12" i="23"/>
  <c r="AE12" i="23" s="1"/>
  <c r="AA14" i="23"/>
  <c r="I7" i="23"/>
  <c r="I15" i="23"/>
  <c r="I23" i="23"/>
  <c r="I8" i="23"/>
  <c r="I16" i="23"/>
  <c r="I24" i="23"/>
  <c r="I9" i="23"/>
  <c r="I17" i="23"/>
  <c r="I25" i="23"/>
  <c r="I5" i="23"/>
  <c r="I10" i="23"/>
  <c r="I18" i="23"/>
  <c r="I26" i="23"/>
  <c r="I3" i="23"/>
  <c r="I11" i="23"/>
  <c r="I19" i="23"/>
  <c r="I27" i="23"/>
  <c r="I21" i="23"/>
  <c r="I4" i="23"/>
  <c r="I12" i="23"/>
  <c r="I20" i="23"/>
  <c r="I28" i="23"/>
  <c r="I13" i="23"/>
  <c r="I6" i="23"/>
  <c r="I14" i="23"/>
  <c r="I22" i="23"/>
  <c r="AA20" i="23"/>
  <c r="AA22" i="23"/>
  <c r="AA19" i="23"/>
  <c r="AA8" i="23"/>
  <c r="AA25" i="23"/>
  <c r="AD20" i="23"/>
  <c r="AE20" i="23" s="1"/>
  <c r="L9" i="23"/>
  <c r="L17" i="23"/>
  <c r="L25" i="23"/>
  <c r="L10" i="23"/>
  <c r="L18" i="23"/>
  <c r="L26" i="23"/>
  <c r="L3" i="23"/>
  <c r="L11" i="23"/>
  <c r="L19" i="23"/>
  <c r="L27" i="23"/>
  <c r="L23" i="23"/>
  <c r="L4" i="23"/>
  <c r="L12" i="23"/>
  <c r="L20" i="23"/>
  <c r="L28" i="23"/>
  <c r="L5" i="23"/>
  <c r="L13" i="23"/>
  <c r="L21" i="23"/>
  <c r="L15" i="23"/>
  <c r="L6" i="23"/>
  <c r="L14" i="23"/>
  <c r="L22" i="23"/>
  <c r="L7" i="23"/>
  <c r="L8" i="23"/>
  <c r="L16" i="23"/>
  <c r="L24" i="23"/>
  <c r="AA28" i="23"/>
  <c r="AD7" i="23"/>
  <c r="AD9" i="23"/>
  <c r="AA16" i="23"/>
  <c r="AD28" i="23"/>
  <c r="AE28" i="23" s="1"/>
  <c r="AA11" i="23"/>
  <c r="O9" i="23"/>
  <c r="O17" i="23"/>
  <c r="P17" i="23" s="1"/>
  <c r="O25" i="23"/>
  <c r="P25" i="23" s="1"/>
  <c r="O26" i="23"/>
  <c r="P26" i="23" s="1"/>
  <c r="O10" i="23"/>
  <c r="O18" i="23"/>
  <c r="P18" i="23" s="1"/>
  <c r="O3" i="23"/>
  <c r="O11" i="23"/>
  <c r="P11" i="23" s="1"/>
  <c r="O19" i="23"/>
  <c r="P19" i="23" s="1"/>
  <c r="O27" i="23"/>
  <c r="P27" i="23" s="1"/>
  <c r="O15" i="23"/>
  <c r="P15" i="23" s="1"/>
  <c r="O4" i="23"/>
  <c r="O12" i="23"/>
  <c r="P12" i="23" s="1"/>
  <c r="O20" i="23"/>
  <c r="P20" i="23" s="1"/>
  <c r="O28" i="23"/>
  <c r="P28" i="23" s="1"/>
  <c r="O5" i="23"/>
  <c r="O13" i="23"/>
  <c r="P13" i="23" s="1"/>
  <c r="O21" i="23"/>
  <c r="P21" i="23" s="1"/>
  <c r="O6" i="23"/>
  <c r="O14" i="23"/>
  <c r="P14" i="23" s="1"/>
  <c r="O22" i="23"/>
  <c r="P22" i="23" s="1"/>
  <c r="O7" i="23"/>
  <c r="O23" i="23"/>
  <c r="P23" i="23" s="1"/>
  <c r="O8" i="23"/>
  <c r="O16" i="23"/>
  <c r="P16" i="23" s="1"/>
  <c r="O24" i="23"/>
  <c r="P24" i="23" s="1"/>
  <c r="AD15" i="23"/>
  <c r="AE15" i="23" s="1"/>
  <c r="AD17" i="23"/>
  <c r="AE17" i="23" s="1"/>
  <c r="AA24" i="23"/>
  <c r="AD3" i="23"/>
  <c r="AA10" i="23"/>
  <c r="U4" i="23"/>
  <c r="U12" i="23"/>
  <c r="U20" i="23"/>
  <c r="U28" i="23"/>
  <c r="U5" i="23"/>
  <c r="U13" i="23"/>
  <c r="U21" i="23"/>
  <c r="U6" i="23"/>
  <c r="U14" i="23"/>
  <c r="U22" i="23"/>
  <c r="U10" i="23"/>
  <c r="U26" i="23"/>
  <c r="U7" i="23"/>
  <c r="U15" i="23"/>
  <c r="U23" i="23"/>
  <c r="U8" i="23"/>
  <c r="U16" i="23"/>
  <c r="U24" i="23"/>
  <c r="U9" i="23"/>
  <c r="U17" i="23"/>
  <c r="U25" i="23"/>
  <c r="U18" i="23"/>
  <c r="U3" i="23"/>
  <c r="U11" i="23"/>
  <c r="U19" i="23"/>
  <c r="U27" i="23"/>
  <c r="AD6" i="23"/>
  <c r="AD23" i="23"/>
  <c r="AE23" i="23" s="1"/>
  <c r="AD8" i="23"/>
  <c r="AD25" i="23"/>
  <c r="AE25" i="23" s="1"/>
  <c r="AD21" i="23"/>
  <c r="AE21" i="23" s="1"/>
  <c r="EP5" i="24"/>
  <c r="EP4" i="24"/>
  <c r="EJ10" i="24"/>
  <c r="EK10" i="24" s="1"/>
  <c r="EJ8" i="24"/>
  <c r="EK8" i="24" s="1"/>
  <c r="ET10" i="24"/>
  <c r="EV10" i="24" s="1"/>
  <c r="EJ26" i="24"/>
  <c r="EK26" i="24" s="1"/>
  <c r="EI35" i="24"/>
  <c r="EI34" i="24"/>
  <c r="EI36" i="24"/>
  <c r="EJ3" i="24"/>
  <c r="EU35" i="24"/>
  <c r="EU38" i="24"/>
  <c r="EU37" i="24"/>
  <c r="EU34" i="24"/>
  <c r="EU36" i="24"/>
  <c r="ET6" i="24"/>
  <c r="EV6" i="24" s="1"/>
  <c r="EJ6" i="24"/>
  <c r="EK6" i="24" s="1"/>
  <c r="ET9" i="24"/>
  <c r="EV9" i="24" s="1"/>
  <c r="EJ9" i="24"/>
  <c r="EK9" i="24" s="1"/>
  <c r="EP9" i="24"/>
  <c r="EJ17" i="24"/>
  <c r="EK17" i="24" s="1"/>
  <c r="S4" i="23" l="1"/>
  <c r="P7" i="23"/>
  <c r="P10" i="23"/>
  <c r="S9" i="23"/>
  <c r="S7" i="23"/>
  <c r="P4" i="23"/>
  <c r="P6" i="23"/>
  <c r="S8" i="23"/>
  <c r="S6" i="23"/>
  <c r="P9" i="23"/>
  <c r="P8" i="23"/>
  <c r="P5" i="23"/>
  <c r="S10" i="23"/>
  <c r="S3" i="23"/>
  <c r="P3" i="23"/>
  <c r="S5" i="23"/>
  <c r="EP38" i="24"/>
  <c r="EP36" i="24"/>
  <c r="EP34" i="24"/>
  <c r="EJ35" i="24"/>
  <c r="EJ34" i="24"/>
  <c r="EJ36" i="24"/>
  <c r="EK3" i="24"/>
  <c r="EP37" i="24"/>
  <c r="EP35" i="24"/>
  <c r="Y3" i="23"/>
  <c r="AE10" i="23"/>
  <c r="AE5" i="23"/>
  <c r="Y7" i="23"/>
  <c r="AE8" i="23"/>
  <c r="AE3" i="23"/>
  <c r="Y6" i="23"/>
  <c r="AE9" i="23"/>
  <c r="AE4" i="23"/>
  <c r="AE6" i="23"/>
  <c r="AE7" i="23"/>
  <c r="A28" i="23"/>
  <c r="AN28" i="23" s="1"/>
  <c r="A27" i="23"/>
  <c r="AN27" i="23" s="1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Y32" i="23" l="1"/>
  <c r="AE32" i="23"/>
  <c r="P32" i="23"/>
  <c r="S32" i="23"/>
  <c r="I50" i="23"/>
  <c r="AN18" i="23"/>
  <c r="I58" i="23"/>
  <c r="AN26" i="23"/>
  <c r="I46" i="23"/>
  <c r="AN14" i="23"/>
  <c r="I49" i="23"/>
  <c r="AN17" i="23"/>
  <c r="I57" i="23"/>
  <c r="AN25" i="23"/>
  <c r="I44" i="23"/>
  <c r="AN12" i="23"/>
  <c r="I52" i="23"/>
  <c r="AN20" i="23"/>
  <c r="I51" i="23"/>
  <c r="AN19" i="23"/>
  <c r="I45" i="23"/>
  <c r="AN13" i="23"/>
  <c r="I53" i="23"/>
  <c r="AN21" i="23"/>
  <c r="I43" i="23"/>
  <c r="AN11" i="23"/>
  <c r="I54" i="23"/>
  <c r="AN22" i="23"/>
  <c r="I47" i="23"/>
  <c r="AN15" i="23"/>
  <c r="I55" i="23"/>
  <c r="AN23" i="23"/>
  <c r="I48" i="23"/>
  <c r="AN16" i="23"/>
  <c r="I56" i="23"/>
  <c r="AN24" i="23"/>
  <c r="E35" i="23"/>
  <c r="E34" i="23"/>
  <c r="O32" i="23" s="1"/>
  <c r="O30" i="23" s="1"/>
  <c r="I35" i="23"/>
  <c r="AM20" i="23"/>
  <c r="AO20" i="23"/>
  <c r="AM28" i="23"/>
  <c r="AO28" i="23"/>
  <c r="AM27" i="23"/>
  <c r="AO27" i="23"/>
  <c r="AM12" i="23"/>
  <c r="AO12" i="23"/>
  <c r="AM15" i="23"/>
  <c r="AO15" i="23"/>
  <c r="AM23" i="23"/>
  <c r="AO23" i="23"/>
  <c r="AM11" i="23"/>
  <c r="AO11" i="23"/>
  <c r="AM19" i="23"/>
  <c r="AO19" i="23"/>
  <c r="AM22" i="23"/>
  <c r="AO22" i="23"/>
  <c r="AO25" i="23"/>
  <c r="AM25" i="23"/>
  <c r="AM13" i="23"/>
  <c r="AO13" i="23"/>
  <c r="AM21" i="23"/>
  <c r="AO21" i="23"/>
  <c r="AM14" i="23"/>
  <c r="AO14" i="23"/>
  <c r="AO16" i="23"/>
  <c r="AM16" i="23"/>
  <c r="AM24" i="23"/>
  <c r="AO24" i="23"/>
  <c r="AO17" i="23"/>
  <c r="AM17" i="23"/>
  <c r="AO18" i="23"/>
  <c r="AM18" i="23"/>
  <c r="AO26" i="23"/>
  <c r="AM26" i="23"/>
  <c r="AL18" i="23"/>
  <c r="AH18" i="23"/>
  <c r="AK18" i="23"/>
  <c r="AJ18" i="23"/>
  <c r="AH12" i="23"/>
  <c r="AJ12" i="23"/>
  <c r="AL12" i="23"/>
  <c r="AK12" i="23"/>
  <c r="AH27" i="23"/>
  <c r="AL27" i="23"/>
  <c r="AK27" i="23"/>
  <c r="AJ27" i="23"/>
  <c r="AH19" i="23"/>
  <c r="AL19" i="23"/>
  <c r="AJ19" i="23"/>
  <c r="AK19" i="23"/>
  <c r="AH20" i="23"/>
  <c r="AL20" i="23"/>
  <c r="AJ20" i="23"/>
  <c r="AK20" i="23"/>
  <c r="AH28" i="23"/>
  <c r="AL28" i="23"/>
  <c r="AJ28" i="23"/>
  <c r="AK28" i="23"/>
  <c r="AJ13" i="23"/>
  <c r="AK13" i="23"/>
  <c r="AH13" i="23"/>
  <c r="AL13" i="23"/>
  <c r="AJ21" i="23"/>
  <c r="AH21" i="23"/>
  <c r="AL21" i="23"/>
  <c r="AK21" i="23"/>
  <c r="AJ14" i="23"/>
  <c r="AH14" i="23"/>
  <c r="AL14" i="23"/>
  <c r="AK14" i="23"/>
  <c r="AJ22" i="23"/>
  <c r="AH22" i="23"/>
  <c r="AK22" i="23"/>
  <c r="AL22" i="23"/>
  <c r="AH11" i="23"/>
  <c r="AJ11" i="23"/>
  <c r="AL11" i="23"/>
  <c r="AK11" i="23"/>
  <c r="AK23" i="23"/>
  <c r="AJ23" i="23"/>
  <c r="AH23" i="23"/>
  <c r="AL23" i="23"/>
  <c r="AL26" i="23"/>
  <c r="AK26" i="23"/>
  <c r="AH26" i="23"/>
  <c r="AJ26" i="23"/>
  <c r="AK15" i="23"/>
  <c r="AJ15" i="23"/>
  <c r="AH15" i="23"/>
  <c r="AL15" i="23"/>
  <c r="AK16" i="23"/>
  <c r="AL16" i="23"/>
  <c r="AJ16" i="23"/>
  <c r="AH16" i="23"/>
  <c r="AK24" i="23"/>
  <c r="AJ24" i="23"/>
  <c r="AL24" i="23"/>
  <c r="AH24" i="23"/>
  <c r="AL17" i="23"/>
  <c r="AH17" i="23"/>
  <c r="AK17" i="23"/>
  <c r="AJ17" i="23"/>
  <c r="AL25" i="23"/>
  <c r="AK25" i="23"/>
  <c r="AH25" i="23"/>
  <c r="AJ25" i="23"/>
  <c r="AI19" i="23"/>
  <c r="AG19" i="23"/>
  <c r="AF19" i="23"/>
  <c r="AI12" i="23"/>
  <c r="AG12" i="23"/>
  <c r="AF12" i="23"/>
  <c r="AI11" i="23"/>
  <c r="AF11" i="23"/>
  <c r="AG11" i="23"/>
  <c r="AG20" i="23"/>
  <c r="AI20" i="23"/>
  <c r="AF20" i="23"/>
  <c r="AI28" i="23"/>
  <c r="AG28" i="23"/>
  <c r="AF28" i="23"/>
  <c r="AF21" i="23"/>
  <c r="AI21" i="23"/>
  <c r="AG21" i="23"/>
  <c r="AG7" i="23"/>
  <c r="AF7" i="23"/>
  <c r="AI27" i="23"/>
  <c r="AF27" i="23"/>
  <c r="AG27" i="23"/>
  <c r="AF6" i="23"/>
  <c r="AG6" i="23"/>
  <c r="AF14" i="23"/>
  <c r="AG14" i="23"/>
  <c r="AI14" i="23"/>
  <c r="AF22" i="23"/>
  <c r="AG22" i="23"/>
  <c r="AI22" i="23"/>
  <c r="AG15" i="23"/>
  <c r="AF15" i="23"/>
  <c r="AI15" i="23"/>
  <c r="AG23" i="23"/>
  <c r="AF23" i="23"/>
  <c r="AI23" i="23"/>
  <c r="AG8" i="23"/>
  <c r="AF8" i="23"/>
  <c r="AI24" i="23"/>
  <c r="AG24" i="23"/>
  <c r="AF24" i="23"/>
  <c r="AG4" i="23"/>
  <c r="AF4" i="23"/>
  <c r="AF5" i="23"/>
  <c r="AG5" i="23"/>
  <c r="AI16" i="23"/>
  <c r="AG16" i="23"/>
  <c r="AF16" i="23"/>
  <c r="AG9" i="23"/>
  <c r="AF9" i="23"/>
  <c r="AI17" i="23"/>
  <c r="AF17" i="23"/>
  <c r="AG17" i="23"/>
  <c r="AI25" i="23"/>
  <c r="AG25" i="23"/>
  <c r="AF25" i="23"/>
  <c r="AF3" i="23"/>
  <c r="AG3" i="23"/>
  <c r="AF13" i="23"/>
  <c r="AI13" i="23"/>
  <c r="AG13" i="23"/>
  <c r="AG10" i="23"/>
  <c r="AF10" i="23"/>
  <c r="AG18" i="23"/>
  <c r="AI18" i="23"/>
  <c r="AF18" i="23"/>
  <c r="AG26" i="23"/>
  <c r="AI26" i="23"/>
  <c r="AF26" i="23"/>
  <c r="ER9" i="24"/>
  <c r="EK34" i="24"/>
  <c r="EK36" i="24"/>
  <c r="EK35" i="24"/>
  <c r="ER11" i="24"/>
  <c r="ET11" i="24" s="1"/>
  <c r="EV11" i="24" s="1"/>
  <c r="ER12" i="24"/>
  <c r="ET12" i="24" s="1"/>
  <c r="EV12" i="24" s="1"/>
  <c r="ER22" i="24"/>
  <c r="ET22" i="24" s="1"/>
  <c r="EV22" i="24" s="1"/>
  <c r="ER29" i="24"/>
  <c r="ET29" i="24" s="1"/>
  <c r="EV29" i="24" s="1"/>
  <c r="ER27" i="24"/>
  <c r="ET27" i="24" s="1"/>
  <c r="EV27" i="24" s="1"/>
  <c r="ER30" i="24"/>
  <c r="ET30" i="24" s="1"/>
  <c r="EV30" i="24" s="1"/>
  <c r="ER31" i="24"/>
  <c r="ET31" i="24" s="1"/>
  <c r="EV31" i="24" s="1"/>
  <c r="ER16" i="24"/>
  <c r="ET16" i="24" s="1"/>
  <c r="EV16" i="24" s="1"/>
  <c r="ER28" i="24"/>
  <c r="ET28" i="24" s="1"/>
  <c r="EV28" i="24" s="1"/>
  <c r="ER15" i="24"/>
  <c r="ET15" i="24" s="1"/>
  <c r="EV15" i="24" s="1"/>
  <c r="ER26" i="24"/>
  <c r="ET26" i="24" s="1"/>
  <c r="EV26" i="24" s="1"/>
  <c r="ER32" i="24"/>
  <c r="ET32" i="24" s="1"/>
  <c r="EV32" i="24" s="1"/>
  <c r="ER19" i="24"/>
  <c r="ET19" i="24" s="1"/>
  <c r="EV19" i="24" s="1"/>
  <c r="ER20" i="24"/>
  <c r="ET20" i="24" s="1"/>
  <c r="EV20" i="24" s="1"/>
  <c r="ER17" i="24"/>
  <c r="ET17" i="24" s="1"/>
  <c r="EV17" i="24" s="1"/>
  <c r="ER21" i="24"/>
  <c r="ET21" i="24" s="1"/>
  <c r="EV21" i="24" s="1"/>
  <c r="ER18" i="24"/>
  <c r="ET18" i="24" s="1"/>
  <c r="EV18" i="24" s="1"/>
  <c r="ER13" i="24"/>
  <c r="ET13" i="24" s="1"/>
  <c r="EV13" i="24" s="1"/>
  <c r="ER23" i="24"/>
  <c r="ET23" i="24" s="1"/>
  <c r="EV23" i="24" s="1"/>
  <c r="ER14" i="24"/>
  <c r="ET14" i="24" s="1"/>
  <c r="EV14" i="24" s="1"/>
  <c r="ER24" i="24"/>
  <c r="ET24" i="24" s="1"/>
  <c r="EV24" i="24" s="1"/>
  <c r="ER25" i="24"/>
  <c r="ET25" i="24" s="1"/>
  <c r="EV25" i="24" s="1"/>
  <c r="ER10" i="24"/>
  <c r="ER6" i="24"/>
  <c r="ER4" i="24"/>
  <c r="ET4" i="24" s="1"/>
  <c r="EV4" i="24" s="1"/>
  <c r="ER8" i="24"/>
  <c r="ET8" i="24" s="1"/>
  <c r="EV8" i="24" s="1"/>
  <c r="ER3" i="24"/>
  <c r="ER5" i="24"/>
  <c r="ET5" i="24" s="1"/>
  <c r="EV5" i="24" s="1"/>
  <c r="ER7" i="24"/>
  <c r="AQ44" i="17"/>
  <c r="F32" i="23" l="1"/>
  <c r="F30" i="23" s="1"/>
  <c r="X32" i="23"/>
  <c r="X30" i="23" s="1"/>
  <c r="I32" i="23"/>
  <c r="I30" i="23" s="1"/>
  <c r="U32" i="23"/>
  <c r="U30" i="23" s="1"/>
  <c r="AD32" i="23"/>
  <c r="AD30" i="23" s="1"/>
  <c r="Y30" i="23"/>
  <c r="J30" i="23"/>
  <c r="V30" i="23"/>
  <c r="R32" i="23"/>
  <c r="R30" i="23" s="1"/>
  <c r="I36" i="23"/>
  <c r="I37" i="23" s="1"/>
  <c r="I38" i="23" s="1"/>
  <c r="I39" i="23" s="1"/>
  <c r="I40" i="23" s="1"/>
  <c r="I41" i="23" s="1"/>
  <c r="I42" i="23" s="1"/>
  <c r="EK38" i="24"/>
  <c r="EK37" i="24"/>
  <c r="ER36" i="24"/>
  <c r="ER35" i="24"/>
  <c r="ER38" i="24"/>
  <c r="ER37" i="24"/>
  <c r="ER34" i="24"/>
  <c r="ET3" i="24"/>
  <c r="J26" i="23"/>
  <c r="J23" i="23"/>
  <c r="J11" i="23"/>
  <c r="J19" i="23"/>
  <c r="J27" i="23"/>
  <c r="J12" i="23"/>
  <c r="J15" i="23"/>
  <c r="J13" i="23"/>
  <c r="J21" i="23"/>
  <c r="J22" i="23"/>
  <c r="J16" i="23"/>
  <c r="J24" i="23"/>
  <c r="J17" i="23"/>
  <c r="J25" i="23"/>
  <c r="AB11" i="23"/>
  <c r="AB19" i="23"/>
  <c r="AB26" i="23"/>
  <c r="AB22" i="23"/>
  <c r="AB24" i="23"/>
  <c r="AB14" i="23"/>
  <c r="AB12" i="23"/>
  <c r="AB21" i="23"/>
  <c r="AB23" i="23"/>
  <c r="AB16" i="23"/>
  <c r="AB27" i="23"/>
  <c r="AB28" i="23"/>
  <c r="AB25" i="23"/>
  <c r="AB18" i="23"/>
  <c r="AB20" i="23"/>
  <c r="AB15" i="23"/>
  <c r="AB13" i="23"/>
  <c r="AB17" i="23"/>
  <c r="M13" i="23"/>
  <c r="M11" i="23"/>
  <c r="M21" i="23"/>
  <c r="M27" i="23"/>
  <c r="M19" i="23"/>
  <c r="M28" i="23"/>
  <c r="J20" i="23"/>
  <c r="V20" i="23"/>
  <c r="V28" i="23"/>
  <c r="M12" i="23"/>
  <c r="V17" i="23"/>
  <c r="J18" i="23"/>
  <c r="M24" i="23"/>
  <c r="V23" i="23"/>
  <c r="V15" i="23"/>
  <c r="V25" i="23"/>
  <c r="M22" i="23"/>
  <c r="M14" i="23"/>
  <c r="M16" i="23"/>
  <c r="M23" i="23"/>
  <c r="M15" i="23"/>
  <c r="V16" i="23"/>
  <c r="M17" i="23"/>
  <c r="V22" i="23"/>
  <c r="V13" i="23"/>
  <c r="V24" i="23"/>
  <c r="J14" i="23"/>
  <c r="M25" i="23"/>
  <c r="V26" i="23"/>
  <c r="V21" i="23"/>
  <c r="J28" i="23"/>
  <c r="V27" i="23"/>
  <c r="V19" i="23"/>
  <c r="V11" i="23"/>
  <c r="V14" i="23"/>
  <c r="V18" i="23"/>
  <c r="M20" i="23"/>
  <c r="M26" i="23"/>
  <c r="M18" i="23"/>
  <c r="V12" i="23"/>
  <c r="T32" i="23" l="1"/>
  <c r="W32" i="23"/>
  <c r="X31" i="23"/>
  <c r="U31" i="23"/>
  <c r="H32" i="23"/>
  <c r="I31" i="23"/>
  <c r="C31" i="23"/>
  <c r="ET35" i="24"/>
  <c r="ET38" i="24"/>
  <c r="EV3" i="24"/>
  <c r="ET37" i="24"/>
  <c r="ET34" i="24"/>
  <c r="ET36" i="24"/>
  <c r="AB6" i="23"/>
  <c r="AB3" i="23"/>
  <c r="AB10" i="23"/>
  <c r="AB7" i="23"/>
  <c r="AB5" i="23"/>
  <c r="AB8" i="23"/>
  <c r="AB9" i="23"/>
  <c r="AB4" i="23"/>
  <c r="V10" i="23"/>
  <c r="M9" i="23"/>
  <c r="M10" i="23"/>
  <c r="V5" i="23"/>
  <c r="J10" i="23"/>
  <c r="M5" i="23"/>
  <c r="J5" i="23"/>
  <c r="V7" i="23"/>
  <c r="J3" i="23"/>
  <c r="V9" i="23"/>
  <c r="M3" i="23"/>
  <c r="M6" i="23"/>
  <c r="V8" i="23"/>
  <c r="J7" i="23"/>
  <c r="V6" i="23"/>
  <c r="M8" i="23"/>
  <c r="J4" i="23"/>
  <c r="M7" i="23"/>
  <c r="J8" i="23"/>
  <c r="J9" i="23"/>
  <c r="V3" i="23"/>
  <c r="J6" i="23"/>
  <c r="M4" i="23"/>
  <c r="V4" i="23"/>
  <c r="EC4" i="9"/>
  <c r="EC5" i="9"/>
  <c r="EC6" i="9"/>
  <c r="EC7" i="9"/>
  <c r="EC8" i="9"/>
  <c r="EC9" i="9"/>
  <c r="EC10" i="9"/>
  <c r="EC11" i="9"/>
  <c r="EC12" i="9"/>
  <c r="EC13" i="9"/>
  <c r="EC14" i="9"/>
  <c r="EC15" i="9"/>
  <c r="EC16" i="9"/>
  <c r="EC17" i="9"/>
  <c r="EC18" i="9"/>
  <c r="EC19" i="9"/>
  <c r="EC20" i="9"/>
  <c r="EC21" i="9"/>
  <c r="EC22" i="9"/>
  <c r="EC23" i="9"/>
  <c r="EC24" i="9"/>
  <c r="EC25" i="9"/>
  <c r="EC26" i="9"/>
  <c r="EC27" i="9"/>
  <c r="EC28" i="9"/>
  <c r="EC29" i="9"/>
  <c r="EC30" i="9"/>
  <c r="EC31" i="9"/>
  <c r="EC32" i="9"/>
  <c r="EC3" i="9"/>
  <c r="P30" i="23" l="1"/>
  <c r="AE30" i="23"/>
  <c r="S30" i="23"/>
  <c r="G30" i="23"/>
  <c r="J32" i="23"/>
  <c r="AB30" i="23"/>
  <c r="AB32" i="23"/>
  <c r="AA32" i="23"/>
  <c r="AA30" i="23" s="1"/>
  <c r="V32" i="23"/>
  <c r="M32" i="23"/>
  <c r="L32" i="23"/>
  <c r="L30" i="23" s="1"/>
  <c r="M30" i="23"/>
  <c r="AJ10" i="23"/>
  <c r="AK3" i="23"/>
  <c r="AJ3" i="23"/>
  <c r="AL3" i="23"/>
  <c r="AK5" i="23"/>
  <c r="AL5" i="23"/>
  <c r="AJ5" i="23"/>
  <c r="AJ6" i="23"/>
  <c r="AK6" i="23"/>
  <c r="AL6" i="23"/>
  <c r="AJ7" i="23"/>
  <c r="AL7" i="23"/>
  <c r="AK7" i="23"/>
  <c r="AK10" i="23"/>
  <c r="AL10" i="23"/>
  <c r="AJ9" i="23"/>
  <c r="AK9" i="23"/>
  <c r="AL9" i="23"/>
  <c r="AL4" i="23"/>
  <c r="AK4" i="23"/>
  <c r="AJ4" i="23"/>
  <c r="AJ8" i="23"/>
  <c r="AL8" i="23"/>
  <c r="AK8" i="23"/>
  <c r="EH3" i="9"/>
  <c r="E32" i="23" l="1"/>
  <c r="F31" i="23"/>
  <c r="R31" i="23"/>
  <c r="Q32" i="23"/>
  <c r="AC32" i="23"/>
  <c r="AD31" i="23"/>
  <c r="O31" i="23"/>
  <c r="N32" i="23"/>
  <c r="K32" i="23"/>
  <c r="L31" i="23"/>
  <c r="Z32" i="23"/>
  <c r="AA31" i="23"/>
  <c r="B34" i="23"/>
  <c r="AH3" i="23"/>
  <c r="AH4" i="23"/>
  <c r="AH5" i="23"/>
  <c r="AH6" i="23"/>
  <c r="AH9" i="23"/>
  <c r="AH10" i="23"/>
  <c r="AH8" i="23"/>
  <c r="AH7" i="23"/>
  <c r="A37" i="9" a="1"/>
  <c r="A37" i="9" s="1"/>
  <c r="B38" i="9" s="1"/>
  <c r="K2" i="17" s="1"/>
  <c r="B35" i="23" l="1"/>
  <c r="C35" i="23" s="1"/>
  <c r="AI6" i="23"/>
  <c r="AO6" i="23" s="1"/>
  <c r="AI8" i="23"/>
  <c r="AO8" i="23" s="1"/>
  <c r="AI10" i="23"/>
  <c r="AO10" i="23" s="1"/>
  <c r="AI9" i="23"/>
  <c r="AO9" i="23" s="1"/>
  <c r="AI7" i="23"/>
  <c r="AO7" i="23" s="1"/>
  <c r="AI5" i="23"/>
  <c r="AO5" i="23" s="1"/>
  <c r="AI3" i="23"/>
  <c r="AI4" i="23"/>
  <c r="AO4" i="23" s="1"/>
  <c r="C37" i="23"/>
  <c r="DZ4" i="9"/>
  <c r="DZ5" i="9"/>
  <c r="DZ6" i="9"/>
  <c r="DZ7" i="9"/>
  <c r="DZ8" i="9"/>
  <c r="DZ9" i="9"/>
  <c r="DZ10" i="9"/>
  <c r="DZ11" i="9"/>
  <c r="DZ12" i="9"/>
  <c r="DZ13" i="9"/>
  <c r="DZ14" i="9"/>
  <c r="DZ15" i="9"/>
  <c r="DZ16" i="9"/>
  <c r="DZ17" i="9"/>
  <c r="DZ18" i="9"/>
  <c r="DZ19" i="9"/>
  <c r="DZ20" i="9"/>
  <c r="DZ21" i="9"/>
  <c r="DZ22" i="9"/>
  <c r="DZ23" i="9"/>
  <c r="DZ24" i="9"/>
  <c r="DZ25" i="9"/>
  <c r="DZ26" i="9"/>
  <c r="DZ27" i="9"/>
  <c r="DZ28" i="9"/>
  <c r="DZ29" i="9"/>
  <c r="EA29" i="9" s="1"/>
  <c r="DZ30" i="9"/>
  <c r="EA30" i="9" s="1"/>
  <c r="DZ31" i="9"/>
  <c r="EA31" i="9" s="1"/>
  <c r="DZ32" i="9"/>
  <c r="EA32" i="9" s="1"/>
  <c r="DZ33" i="9"/>
  <c r="EA33" i="9" s="1"/>
  <c r="DZ3" i="9"/>
  <c r="D35" i="23" l="1"/>
  <c r="F35" i="23" s="1"/>
  <c r="C34" i="23"/>
  <c r="D34" i="23" s="1"/>
  <c r="F34" i="23" s="1"/>
  <c r="AU5" i="17" s="1"/>
  <c r="AO3" i="23"/>
  <c r="AN3" i="23" s="1"/>
  <c r="EA25" i="9"/>
  <c r="EA17" i="9"/>
  <c r="EA22" i="9"/>
  <c r="EA14" i="9"/>
  <c r="EA27" i="9"/>
  <c r="EA19" i="9"/>
  <c r="EA11" i="9"/>
  <c r="EA26" i="9"/>
  <c r="EA23" i="9"/>
  <c r="EA15" i="9"/>
  <c r="EA21" i="9"/>
  <c r="EA13" i="9"/>
  <c r="EA18" i="9"/>
  <c r="EA24" i="9"/>
  <c r="EA16" i="9"/>
  <c r="EA20" i="9"/>
  <c r="EA12" i="9"/>
  <c r="EA6" i="9"/>
  <c r="AG11" i="17" s="1"/>
  <c r="EA10" i="9"/>
  <c r="AG15" i="17" s="1"/>
  <c r="EA9" i="9"/>
  <c r="AG14" i="17" s="1"/>
  <c r="EA4" i="9"/>
  <c r="AG8" i="17" s="1"/>
  <c r="EA5" i="9"/>
  <c r="AG9" i="17" s="1"/>
  <c r="EA3" i="9"/>
  <c r="AG7" i="17" s="1"/>
  <c r="EA8" i="9"/>
  <c r="AG13" i="17" s="1"/>
  <c r="EA7" i="9"/>
  <c r="AG12" i="17" s="1"/>
  <c r="EA28" i="9"/>
  <c r="AN8" i="23" l="1"/>
  <c r="AN10" i="23"/>
  <c r="AN4" i="23"/>
  <c r="AN6" i="23"/>
  <c r="AN9" i="23"/>
  <c r="AN7" i="23"/>
  <c r="AN5" i="23"/>
  <c r="A6" i="17"/>
  <c r="G35" i="23"/>
  <c r="G34" i="23"/>
  <c r="AM3" i="23" s="1"/>
  <c r="AM8" i="23" l="1"/>
  <c r="AM6" i="23"/>
  <c r="AM9" i="23"/>
  <c r="AM10" i="23"/>
  <c r="AM5" i="23"/>
  <c r="AM7" i="23"/>
  <c r="AM4" i="23"/>
  <c r="EF4" i="9"/>
  <c r="EF5" i="9"/>
  <c r="EF6" i="9"/>
  <c r="EF7" i="9"/>
  <c r="EF11" i="9"/>
  <c r="EF12" i="9"/>
  <c r="EF14" i="9"/>
  <c r="EF16" i="9"/>
  <c r="EF19" i="9"/>
  <c r="EF20" i="9"/>
  <c r="EF21" i="9"/>
  <c r="EF25" i="9"/>
  <c r="EF27" i="9"/>
  <c r="EF28" i="9"/>
  <c r="ED29" i="9" l="1"/>
  <c r="EF29" i="9"/>
  <c r="ED13" i="9"/>
  <c r="EF13" i="9"/>
  <c r="ED26" i="9"/>
  <c r="EF26" i="9"/>
  <c r="ED18" i="9"/>
  <c r="EF18" i="9"/>
  <c r="ED10" i="9"/>
  <c r="EF10" i="9"/>
  <c r="ED17" i="9"/>
  <c r="EF17" i="9"/>
  <c r="ED9" i="9"/>
  <c r="EF9" i="9"/>
  <c r="ED8" i="9"/>
  <c r="EF8" i="9"/>
  <c r="ED3" i="9"/>
  <c r="EF3" i="9"/>
  <c r="ED32" i="9"/>
  <c r="ER32" i="9" s="1"/>
  <c r="EF32" i="9"/>
  <c r="ED24" i="9"/>
  <c r="EF24" i="9"/>
  <c r="ED31" i="9"/>
  <c r="EF31" i="9"/>
  <c r="ED23" i="9"/>
  <c r="EF23" i="9"/>
  <c r="ED15" i="9"/>
  <c r="EF15" i="9"/>
  <c r="ED30" i="9"/>
  <c r="EF30" i="9"/>
  <c r="ED22" i="9"/>
  <c r="EF22" i="9"/>
  <c r="ED25" i="9"/>
  <c r="ED16" i="9"/>
  <c r="ED7" i="9"/>
  <c r="ED14" i="9"/>
  <c r="ED6" i="9"/>
  <c r="ED21" i="9"/>
  <c r="ED5" i="9"/>
  <c r="ED4" i="9"/>
  <c r="ED28" i="9"/>
  <c r="ED20" i="9"/>
  <c r="ED12" i="9"/>
  <c r="ED27" i="9"/>
  <c r="ED19" i="9"/>
  <c r="ED11" i="9"/>
  <c r="ER22" i="9" l="1"/>
  <c r="ER11" i="9"/>
  <c r="ER17" i="9"/>
  <c r="ER31" i="9"/>
  <c r="ER21" i="9"/>
  <c r="ER19" i="9"/>
  <c r="ER30" i="9"/>
  <c r="ER24" i="9"/>
  <c r="ER26" i="9"/>
  <c r="ER27" i="9"/>
  <c r="ER14" i="9"/>
  <c r="ER18" i="9"/>
  <c r="ER15" i="9"/>
  <c r="ER16" i="9"/>
  <c r="ER12" i="9"/>
  <c r="EX32" i="9"/>
  <c r="ET32" i="9"/>
  <c r="EW32" i="9" s="1"/>
  <c r="ER13" i="9"/>
  <c r="ER20" i="9"/>
  <c r="ER28" i="9"/>
  <c r="ER25" i="9"/>
  <c r="ER23" i="9"/>
  <c r="ER29" i="9"/>
  <c r="EL11" i="9"/>
  <c r="EL21" i="9"/>
  <c r="EL4" i="9"/>
  <c r="EL5" i="9"/>
  <c r="EL19" i="9"/>
  <c r="EL6" i="9"/>
  <c r="EL14" i="9"/>
  <c r="EL27" i="9"/>
  <c r="EL12" i="9"/>
  <c r="EL7" i="9"/>
  <c r="EL20" i="9"/>
  <c r="EL16" i="9"/>
  <c r="EL28" i="9"/>
  <c r="EL25" i="9"/>
  <c r="EL3" i="9"/>
  <c r="EL10" i="9"/>
  <c r="EL29" i="9"/>
  <c r="EL23" i="9"/>
  <c r="EL17" i="9"/>
  <c r="EL13" i="9"/>
  <c r="EL31" i="9"/>
  <c r="EL8" i="9"/>
  <c r="EL18" i="9"/>
  <c r="EL22" i="9"/>
  <c r="EL30" i="9"/>
  <c r="EL24" i="9"/>
  <c r="EL9" i="9"/>
  <c r="EL26" i="9"/>
  <c r="EL15" i="9"/>
  <c r="EL32" i="9"/>
  <c r="ED37" i="9"/>
  <c r="ED34" i="9"/>
  <c r="ED38" i="9"/>
  <c r="ED35" i="9"/>
  <c r="ED40" i="9"/>
  <c r="ED39" i="9"/>
  <c r="ED36" i="9"/>
  <c r="CD19" i="21"/>
  <c r="EX16" i="9" l="1"/>
  <c r="ET16" i="9"/>
  <c r="EW16" i="9" s="1"/>
  <c r="EU16" i="9"/>
  <c r="EV16" i="9" s="1"/>
  <c r="EX30" i="9"/>
  <c r="ET30" i="9"/>
  <c r="EW30" i="9" s="1"/>
  <c r="EU30" i="9"/>
  <c r="EV30" i="9" s="1"/>
  <c r="EX20" i="9"/>
  <c r="ET20" i="9"/>
  <c r="EW20" i="9" s="1"/>
  <c r="EU20" i="9"/>
  <c r="EV20" i="9" s="1"/>
  <c r="ET19" i="9"/>
  <c r="EW19" i="9" s="1"/>
  <c r="EX19" i="9"/>
  <c r="EU19" i="9"/>
  <c r="EV19" i="9" s="1"/>
  <c r="EX24" i="9"/>
  <c r="ET24" i="9"/>
  <c r="EW24" i="9" s="1"/>
  <c r="EU24" i="9"/>
  <c r="EV24" i="9" s="1"/>
  <c r="EX13" i="9"/>
  <c r="ET13" i="9"/>
  <c r="EW13" i="9" s="1"/>
  <c r="EU13" i="9"/>
  <c r="EV13" i="9" s="1"/>
  <c r="ET14" i="9"/>
  <c r="EW14" i="9" s="1"/>
  <c r="EX14" i="9"/>
  <c r="EU14" i="9"/>
  <c r="EV14" i="9" s="1"/>
  <c r="EX17" i="9"/>
  <c r="ET17" i="9"/>
  <c r="EW17" i="9" s="1"/>
  <c r="EU17" i="9"/>
  <c r="EV17" i="9" s="1"/>
  <c r="ET23" i="9"/>
  <c r="EW23" i="9" s="1"/>
  <c r="EU23" i="9"/>
  <c r="EV23" i="9" s="1"/>
  <c r="EX23" i="9"/>
  <c r="EX21" i="9"/>
  <c r="ET21" i="9"/>
  <c r="EW21" i="9" s="1"/>
  <c r="EU21" i="9"/>
  <c r="EV21" i="9" s="1"/>
  <c r="ET27" i="9"/>
  <c r="EW27" i="9" s="1"/>
  <c r="EX27" i="9"/>
  <c r="EU27" i="9"/>
  <c r="EV27" i="9" s="1"/>
  <c r="ET31" i="9"/>
  <c r="EW31" i="9" s="1"/>
  <c r="EX31" i="9"/>
  <c r="EX11" i="9"/>
  <c r="ET11" i="9"/>
  <c r="EW11" i="9" s="1"/>
  <c r="EU11" i="9"/>
  <c r="EV11" i="9" s="1"/>
  <c r="EX18" i="9"/>
  <c r="ET18" i="9"/>
  <c r="EW18" i="9" s="1"/>
  <c r="EU18" i="9"/>
  <c r="EV18" i="9" s="1"/>
  <c r="EX25" i="9"/>
  <c r="ET25" i="9"/>
  <c r="EW25" i="9" s="1"/>
  <c r="EU25" i="9"/>
  <c r="EV25" i="9" s="1"/>
  <c r="EX28" i="9"/>
  <c r="ET28" i="9"/>
  <c r="EW28" i="9" s="1"/>
  <c r="EU28" i="9"/>
  <c r="EV28" i="9" s="1"/>
  <c r="EX12" i="9"/>
  <c r="ET12" i="9"/>
  <c r="EW12" i="9" s="1"/>
  <c r="EU12" i="9"/>
  <c r="EV12" i="9" s="1"/>
  <c r="ET15" i="9"/>
  <c r="EW15" i="9" s="1"/>
  <c r="EX15" i="9"/>
  <c r="EU15" i="9"/>
  <c r="EV15" i="9" s="1"/>
  <c r="EU29" i="9"/>
  <c r="EV29" i="9" s="1"/>
  <c r="EX29" i="9"/>
  <c r="ET29" i="9"/>
  <c r="EW29" i="9" s="1"/>
  <c r="EX26" i="9"/>
  <c r="ET26" i="9"/>
  <c r="EW26" i="9" s="1"/>
  <c r="EU26" i="9"/>
  <c r="EV26" i="9" s="1"/>
  <c r="ET22" i="9"/>
  <c r="EW22" i="9" s="1"/>
  <c r="EX22" i="9"/>
  <c r="EU22" i="9"/>
  <c r="EV22" i="9" s="1"/>
  <c r="ED41" i="9"/>
  <c r="L5" i="17"/>
  <c r="AA44" i="17" l="1"/>
  <c r="AU6" i="17"/>
  <c r="AE44" i="17"/>
  <c r="EH4" i="9" l="1"/>
  <c r="EH5" i="9"/>
  <c r="EH6" i="9"/>
  <c r="EH7" i="9"/>
  <c r="EH8" i="9"/>
  <c r="EH9" i="9"/>
  <c r="EH10" i="9"/>
  <c r="EH11" i="9"/>
  <c r="EH12" i="9"/>
  <c r="EH13" i="9"/>
  <c r="EH14" i="9"/>
  <c r="EH15" i="9"/>
  <c r="EH16" i="9"/>
  <c r="EH17" i="9"/>
  <c r="EH18" i="9"/>
  <c r="EH19" i="9"/>
  <c r="EH20" i="9"/>
  <c r="EH21" i="9"/>
  <c r="EH22" i="9"/>
  <c r="EH23" i="9"/>
  <c r="EH24" i="9"/>
  <c r="EH25" i="9"/>
  <c r="EH26" i="9"/>
  <c r="EH27" i="9"/>
  <c r="EH28" i="9"/>
  <c r="EH29" i="9"/>
  <c r="EH30" i="9"/>
  <c r="EH31" i="9"/>
  <c r="EH32" i="9"/>
  <c r="EH34" i="9" l="1"/>
  <c r="EH35" i="9"/>
  <c r="EH36" i="9"/>
  <c r="B48" i="18"/>
  <c r="EH37" i="9" l="1"/>
  <c r="EH38" i="9"/>
  <c r="EL35" i="9"/>
  <c r="EL34" i="9"/>
  <c r="EL36" i="9"/>
  <c r="EI3" i="9" l="1"/>
  <c r="EJ3" i="9" s="1"/>
  <c r="EI18" i="9"/>
  <c r="EJ18" i="9" s="1"/>
  <c r="EK18" i="9" s="1"/>
  <c r="EN18" i="9" s="1"/>
  <c r="EP18" i="9" s="1"/>
  <c r="EI16" i="9"/>
  <c r="EI6" i="9"/>
  <c r="EJ6" i="9" s="1"/>
  <c r="EI28" i="9"/>
  <c r="EJ28" i="9" s="1"/>
  <c r="EK28" i="9" s="1"/>
  <c r="EN28" i="9" s="1"/>
  <c r="EP28" i="9" s="1"/>
  <c r="EI26" i="9"/>
  <c r="EJ26" i="9" s="1"/>
  <c r="EK26" i="9" s="1"/>
  <c r="EN26" i="9" s="1"/>
  <c r="EP26" i="9" s="1"/>
  <c r="EI20" i="9"/>
  <c r="EJ20" i="9" s="1"/>
  <c r="EK20" i="9" s="1"/>
  <c r="EN20" i="9" s="1"/>
  <c r="EP20" i="9" s="1"/>
  <c r="EI27" i="9"/>
  <c r="EJ27" i="9" s="1"/>
  <c r="EK27" i="9" s="1"/>
  <c r="EN27" i="9" s="1"/>
  <c r="EP27" i="9" s="1"/>
  <c r="EI29" i="9"/>
  <c r="EJ29" i="9" s="1"/>
  <c r="EK29" i="9" s="1"/>
  <c r="EN29" i="9" s="1"/>
  <c r="EP29" i="9" s="1"/>
  <c r="EI5" i="9"/>
  <c r="EJ5" i="9" s="1"/>
  <c r="EK5" i="9" s="1"/>
  <c r="EN5" i="9" s="1"/>
  <c r="EI21" i="9"/>
  <c r="EI22" i="9"/>
  <c r="EJ22" i="9" s="1"/>
  <c r="EK22" i="9" s="1"/>
  <c r="EN22" i="9" s="1"/>
  <c r="EP22" i="9" s="1"/>
  <c r="EI8" i="9"/>
  <c r="EJ8" i="9" s="1"/>
  <c r="EI17" i="9"/>
  <c r="EJ17" i="9" s="1"/>
  <c r="EK17" i="9" s="1"/>
  <c r="EN17" i="9" s="1"/>
  <c r="EP17" i="9" s="1"/>
  <c r="EI12" i="9"/>
  <c r="EJ12" i="9" s="1"/>
  <c r="EK12" i="9" s="1"/>
  <c r="EN12" i="9" s="1"/>
  <c r="EP12" i="9" s="1"/>
  <c r="EI15" i="9"/>
  <c r="EJ15" i="9" s="1"/>
  <c r="EK15" i="9" s="1"/>
  <c r="EN15" i="9" s="1"/>
  <c r="EP15" i="9" s="1"/>
  <c r="EI7" i="9"/>
  <c r="EJ7" i="9" s="1"/>
  <c r="EK7" i="9" s="1"/>
  <c r="EN7" i="9" s="1"/>
  <c r="EI19" i="9"/>
  <c r="EJ19" i="9" s="1"/>
  <c r="EK19" i="9" s="1"/>
  <c r="EN19" i="9" s="1"/>
  <c r="EP19" i="9" s="1"/>
  <c r="EI31" i="9"/>
  <c r="EI13" i="9"/>
  <c r="EJ13" i="9" s="1"/>
  <c r="EK13" i="9" s="1"/>
  <c r="EN13" i="9" s="1"/>
  <c r="EP13" i="9" s="1"/>
  <c r="EI4" i="9"/>
  <c r="EJ4" i="9" s="1"/>
  <c r="EK4" i="9" s="1"/>
  <c r="EN4" i="9" s="1"/>
  <c r="EI25" i="9"/>
  <c r="EJ25" i="9" s="1"/>
  <c r="EK25" i="9" s="1"/>
  <c r="EN25" i="9" s="1"/>
  <c r="EP25" i="9" s="1"/>
  <c r="EI10" i="9"/>
  <c r="EJ10" i="9" s="1"/>
  <c r="EK10" i="9" s="1"/>
  <c r="EN10" i="9" s="1"/>
  <c r="EI9" i="9"/>
  <c r="EJ9" i="9" s="1"/>
  <c r="EK9" i="9" s="1"/>
  <c r="EN9" i="9" s="1"/>
  <c r="EI14" i="9"/>
  <c r="EJ14" i="9" s="1"/>
  <c r="EK14" i="9" s="1"/>
  <c r="EN14" i="9" s="1"/>
  <c r="EP14" i="9" s="1"/>
  <c r="EI24" i="9"/>
  <c r="EJ24" i="9" s="1"/>
  <c r="EK24" i="9" s="1"/>
  <c r="EN24" i="9" s="1"/>
  <c r="EP24" i="9" s="1"/>
  <c r="EI30" i="9"/>
  <c r="EI11" i="9"/>
  <c r="EJ11" i="9" s="1"/>
  <c r="EK11" i="9" s="1"/>
  <c r="EN11" i="9" s="1"/>
  <c r="EP11" i="9" s="1"/>
  <c r="EI23" i="9"/>
  <c r="EJ23" i="9" s="1"/>
  <c r="EK23" i="9" s="1"/>
  <c r="EN23" i="9" s="1"/>
  <c r="EP23" i="9" s="1"/>
  <c r="EJ30" i="9"/>
  <c r="EK30" i="9" s="1"/>
  <c r="EN30" i="9" s="1"/>
  <c r="EP30" i="9" s="1"/>
  <c r="EI32" i="9"/>
  <c r="EJ32" i="9" s="1"/>
  <c r="EK32" i="9" s="1"/>
  <c r="EN32" i="9" s="1"/>
  <c r="EP32" i="9" s="1"/>
  <c r="EJ16" i="9"/>
  <c r="EK16" i="9" s="1"/>
  <c r="EN16" i="9" s="1"/>
  <c r="EP16" i="9" s="1"/>
  <c r="EJ21" i="9"/>
  <c r="EK21" i="9" s="1"/>
  <c r="EN21" i="9" s="1"/>
  <c r="EP21" i="9" s="1"/>
  <c r="EJ31" i="9"/>
  <c r="EK31" i="9" s="1"/>
  <c r="EN31" i="9" s="1"/>
  <c r="EP31" i="9" s="1"/>
  <c r="EU31" i="9" s="1"/>
  <c r="EV31" i="9" s="1"/>
  <c r="CN25" i="21"/>
  <c r="CN24" i="21"/>
  <c r="CN23" i="21"/>
  <c r="CN22" i="21"/>
  <c r="CN21" i="21"/>
  <c r="CN20" i="21"/>
  <c r="EP10" i="9" l="1"/>
  <c r="ER10" i="9" s="1"/>
  <c r="EP5" i="9"/>
  <c r="ER5" i="9" s="1"/>
  <c r="EP7" i="9"/>
  <c r="ER7" i="9" s="1"/>
  <c r="EP4" i="9"/>
  <c r="ER4" i="9" s="1"/>
  <c r="EP9" i="9"/>
  <c r="ER9" i="9" s="1"/>
  <c r="EU32" i="9"/>
  <c r="EI36" i="9"/>
  <c r="EI34" i="9"/>
  <c r="EI35" i="9"/>
  <c r="EK8" i="9"/>
  <c r="EN8" i="9" s="1"/>
  <c r="EK3" i="9"/>
  <c r="EN3" i="9" s="1"/>
  <c r="EK6" i="9"/>
  <c r="EN6" i="9" s="1"/>
  <c r="EJ35" i="9"/>
  <c r="EJ36" i="9"/>
  <c r="EJ34" i="9"/>
  <c r="N3" i="18"/>
  <c r="ET5" i="9" l="1"/>
  <c r="EW5" i="9" s="1"/>
  <c r="ET4" i="9"/>
  <c r="EW4" i="9" s="1"/>
  <c r="ET7" i="9"/>
  <c r="EW7" i="9" s="1"/>
  <c r="ET10" i="9"/>
  <c r="EW10" i="9" s="1"/>
  <c r="EP3" i="9"/>
  <c r="ER3" i="9" s="1"/>
  <c r="ET9" i="9"/>
  <c r="EW9" i="9" s="1"/>
  <c r="EP6" i="9"/>
  <c r="ER6" i="9" s="1"/>
  <c r="EP8" i="9"/>
  <c r="ER8" i="9" s="1"/>
  <c r="EN38" i="9"/>
  <c r="EN37" i="9"/>
  <c r="EN35" i="9"/>
  <c r="EN36" i="9"/>
  <c r="EN34" i="9"/>
  <c r="EK35" i="9"/>
  <c r="EK36" i="9"/>
  <c r="EK34" i="9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7" i="17"/>
  <c r="BB16" i="17" l="1"/>
  <c r="AE16" i="17"/>
  <c r="BA16" i="17"/>
  <c r="BA23" i="17"/>
  <c r="AE23" i="17"/>
  <c r="BB23" i="17"/>
  <c r="BA29" i="17"/>
  <c r="BB29" i="17"/>
  <c r="AE29" i="17"/>
  <c r="BA21" i="17"/>
  <c r="BB21" i="17"/>
  <c r="AE21" i="17"/>
  <c r="BB24" i="17"/>
  <c r="AE24" i="17"/>
  <c r="BA24" i="17"/>
  <c r="BB28" i="17"/>
  <c r="AE28" i="17"/>
  <c r="BA28" i="17"/>
  <c r="BB20" i="17"/>
  <c r="AE20" i="17"/>
  <c r="BA20" i="17"/>
  <c r="BA30" i="17"/>
  <c r="BB30" i="17"/>
  <c r="AE30" i="17"/>
  <c r="AE27" i="17"/>
  <c r="BA27" i="17"/>
  <c r="BB27" i="17"/>
  <c r="AE19" i="17"/>
  <c r="BA19" i="17"/>
  <c r="BB19" i="17"/>
  <c r="BA22" i="17"/>
  <c r="BB22" i="17"/>
  <c r="AE22" i="17"/>
  <c r="AE26" i="17"/>
  <c r="BA26" i="17"/>
  <c r="BB26" i="17"/>
  <c r="AE18" i="17"/>
  <c r="BA18" i="17"/>
  <c r="BB18" i="17"/>
  <c r="AE10" i="17"/>
  <c r="BA10" i="17"/>
  <c r="BB10" i="17"/>
  <c r="AE25" i="17"/>
  <c r="BA25" i="17"/>
  <c r="BB25" i="17"/>
  <c r="AE17" i="17"/>
  <c r="BA17" i="17"/>
  <c r="BB17" i="17"/>
  <c r="BY21" i="17"/>
  <c r="BY30" i="17"/>
  <c r="BY20" i="17"/>
  <c r="BY27" i="17"/>
  <c r="BY19" i="17"/>
  <c r="BY28" i="17"/>
  <c r="BY26" i="17"/>
  <c r="BY18" i="17"/>
  <c r="BY10" i="17"/>
  <c r="BY22" i="17"/>
  <c r="BY25" i="17"/>
  <c r="BY17" i="17"/>
  <c r="BY23" i="17"/>
  <c r="BY29" i="17"/>
  <c r="BY24" i="17"/>
  <c r="BY16" i="17"/>
  <c r="BJ29" i="17"/>
  <c r="BJ21" i="17"/>
  <c r="BJ20" i="17"/>
  <c r="BJ23" i="17"/>
  <c r="BJ28" i="17"/>
  <c r="BJ19" i="17"/>
  <c r="BJ22" i="17"/>
  <c r="BJ18" i="17"/>
  <c r="BJ10" i="17"/>
  <c r="BJ26" i="17"/>
  <c r="BJ17" i="17"/>
  <c r="BJ30" i="17"/>
  <c r="BJ27" i="17"/>
  <c r="BJ25" i="17"/>
  <c r="BJ24" i="17"/>
  <c r="BJ16" i="17"/>
  <c r="AM30" i="17"/>
  <c r="AM22" i="17"/>
  <c r="AM29" i="17"/>
  <c r="AM21" i="17"/>
  <c r="AM27" i="17"/>
  <c r="AM26" i="17"/>
  <c r="AM18" i="17"/>
  <c r="AM10" i="17"/>
  <c r="AM23" i="17"/>
  <c r="AM28" i="17"/>
  <c r="AM19" i="17"/>
  <c r="AM25" i="17"/>
  <c r="AM17" i="17"/>
  <c r="AM20" i="17"/>
  <c r="AM24" i="17"/>
  <c r="AM16" i="17"/>
  <c r="ET3" i="9"/>
  <c r="EW3" i="9" s="1"/>
  <c r="ET6" i="9"/>
  <c r="EW6" i="9" s="1"/>
  <c r="I14" i="17"/>
  <c r="I29" i="17"/>
  <c r="I7" i="17"/>
  <c r="D7" i="17"/>
  <c r="I23" i="17"/>
  <c r="I15" i="17"/>
  <c r="I21" i="17"/>
  <c r="I28" i="17"/>
  <c r="I20" i="17"/>
  <c r="I12" i="17"/>
  <c r="I30" i="17"/>
  <c r="I13" i="17"/>
  <c r="I27" i="17"/>
  <c r="I19" i="17"/>
  <c r="I11" i="17"/>
  <c r="I18" i="17"/>
  <c r="ET8" i="9"/>
  <c r="EW8" i="9" s="1"/>
  <c r="I25" i="17"/>
  <c r="I17" i="17"/>
  <c r="I9" i="17"/>
  <c r="I22" i="17"/>
  <c r="I26" i="17"/>
  <c r="I10" i="17"/>
  <c r="I24" i="17"/>
  <c r="I16" i="17"/>
  <c r="I8" i="17"/>
  <c r="EP38" i="9"/>
  <c r="EP37" i="9"/>
  <c r="EP35" i="9"/>
  <c r="EP36" i="9"/>
  <c r="EP34" i="9"/>
  <c r="BO29" i="17"/>
  <c r="BP29" i="17"/>
  <c r="BQ29" i="17"/>
  <c r="BO21" i="17"/>
  <c r="BP21" i="17"/>
  <c r="BQ21" i="17"/>
  <c r="BO28" i="17"/>
  <c r="BP28" i="17"/>
  <c r="BQ28" i="17"/>
  <c r="BO20" i="17"/>
  <c r="BP20" i="17"/>
  <c r="BQ20" i="17"/>
  <c r="BP30" i="17"/>
  <c r="BO30" i="17"/>
  <c r="BQ30" i="17"/>
  <c r="BO19" i="17"/>
  <c r="BP19" i="17"/>
  <c r="BQ19" i="17"/>
  <c r="BO26" i="17"/>
  <c r="BP26" i="17"/>
  <c r="BQ26" i="17"/>
  <c r="BQ22" i="17"/>
  <c r="BP22" i="17"/>
  <c r="BO22" i="17"/>
  <c r="BO27" i="17"/>
  <c r="BP27" i="17"/>
  <c r="BQ27" i="17"/>
  <c r="BO18" i="17"/>
  <c r="BP18" i="17"/>
  <c r="BQ18" i="17"/>
  <c r="BO10" i="17"/>
  <c r="BP10" i="17"/>
  <c r="BQ10" i="17"/>
  <c r="BO25" i="17"/>
  <c r="BP25" i="17"/>
  <c r="BQ25" i="17"/>
  <c r="BO17" i="17"/>
  <c r="BP17" i="17"/>
  <c r="BQ17" i="17"/>
  <c r="BP24" i="17"/>
  <c r="BO24" i="17"/>
  <c r="BQ24" i="17"/>
  <c r="BP16" i="17"/>
  <c r="BO16" i="17"/>
  <c r="BQ16" i="17"/>
  <c r="BO23" i="17"/>
  <c r="BQ23" i="17"/>
  <c r="BP23" i="17"/>
  <c r="BM16" i="17"/>
  <c r="BL16" i="17"/>
  <c r="BM30" i="17"/>
  <c r="BL30" i="17"/>
  <c r="BM29" i="17"/>
  <c r="BL29" i="17"/>
  <c r="BM28" i="17"/>
  <c r="BL28" i="17"/>
  <c r="BM20" i="17"/>
  <c r="BL20" i="17"/>
  <c r="BM24" i="17"/>
  <c r="BL24" i="17"/>
  <c r="BL23" i="17"/>
  <c r="BM23" i="17"/>
  <c r="BM21" i="17"/>
  <c r="BL21" i="17"/>
  <c r="BM22" i="17"/>
  <c r="BL22" i="17"/>
  <c r="BM27" i="17"/>
  <c r="BL27" i="17"/>
  <c r="BL19" i="17"/>
  <c r="BM19" i="17"/>
  <c r="BM26" i="17"/>
  <c r="BL26" i="17"/>
  <c r="BM18" i="17"/>
  <c r="BL18" i="17"/>
  <c r="BM10" i="17"/>
  <c r="BL10" i="17"/>
  <c r="BM25" i="17"/>
  <c r="BL25" i="17"/>
  <c r="BM17" i="17"/>
  <c r="BL17" i="17"/>
  <c r="BI21" i="17"/>
  <c r="BI20" i="17"/>
  <c r="BI22" i="17"/>
  <c r="BI29" i="17"/>
  <c r="BI19" i="17"/>
  <c r="BI30" i="17"/>
  <c r="BI27" i="17"/>
  <c r="BI18" i="17"/>
  <c r="BI25" i="17"/>
  <c r="BI17" i="17"/>
  <c r="BI28" i="17"/>
  <c r="BI26" i="17"/>
  <c r="BI24" i="17"/>
  <c r="BI16" i="17"/>
  <c r="BI10" i="17"/>
  <c r="BI23" i="17"/>
  <c r="BV29" i="17"/>
  <c r="BV21" i="17"/>
  <c r="BV30" i="17"/>
  <c r="BV28" i="17"/>
  <c r="BV20" i="17"/>
  <c r="BV22" i="17"/>
  <c r="BV10" i="17"/>
  <c r="BV27" i="17"/>
  <c r="BV18" i="17"/>
  <c r="BV17" i="17"/>
  <c r="BV24" i="17"/>
  <c r="BV16" i="17"/>
  <c r="BV19" i="17"/>
  <c r="BV26" i="17"/>
  <c r="BV25" i="17"/>
  <c r="BV23" i="17"/>
  <c r="AU21" i="17"/>
  <c r="D21" i="17"/>
  <c r="BN21" i="17" s="1"/>
  <c r="AU13" i="17"/>
  <c r="D13" i="17"/>
  <c r="AU28" i="17"/>
  <c r="D28" i="17"/>
  <c r="BN28" i="17" s="1"/>
  <c r="AU11" i="17"/>
  <c r="D11" i="17"/>
  <c r="AU18" i="17"/>
  <c r="D18" i="17"/>
  <c r="BN18" i="17" s="1"/>
  <c r="AU22" i="17"/>
  <c r="D22" i="17"/>
  <c r="BN22" i="17" s="1"/>
  <c r="AU29" i="17"/>
  <c r="D29" i="17"/>
  <c r="BN29" i="17" s="1"/>
  <c r="D27" i="17"/>
  <c r="BN27" i="17" s="1"/>
  <c r="AU27" i="17"/>
  <c r="AU26" i="17"/>
  <c r="D26" i="17"/>
  <c r="BN26" i="17" s="1"/>
  <c r="AU10" i="17"/>
  <c r="D10" i="17"/>
  <c r="BN10" i="17" s="1"/>
  <c r="AU25" i="17"/>
  <c r="D25" i="17"/>
  <c r="BN25" i="17" s="1"/>
  <c r="AU17" i="17"/>
  <c r="D17" i="17"/>
  <c r="BN17" i="17" s="1"/>
  <c r="AU9" i="17"/>
  <c r="D9" i="17"/>
  <c r="AU14" i="17"/>
  <c r="D14" i="17"/>
  <c r="AU12" i="17"/>
  <c r="D12" i="17"/>
  <c r="AU16" i="17"/>
  <c r="D16" i="17"/>
  <c r="BN16" i="17" s="1"/>
  <c r="AU8" i="17"/>
  <c r="D8" i="17"/>
  <c r="AU30" i="17"/>
  <c r="D30" i="17"/>
  <c r="BN30" i="17" s="1"/>
  <c r="D20" i="17"/>
  <c r="BN20" i="17" s="1"/>
  <c r="AU20" i="17"/>
  <c r="AU19" i="17"/>
  <c r="D19" i="17"/>
  <c r="BN19" i="17" s="1"/>
  <c r="AU24" i="17"/>
  <c r="D24" i="17"/>
  <c r="BN24" i="17" s="1"/>
  <c r="AU7" i="17"/>
  <c r="AU23" i="17"/>
  <c r="D23" i="17"/>
  <c r="BN23" i="17" s="1"/>
  <c r="AU15" i="17"/>
  <c r="D15" i="17"/>
  <c r="BC22" i="17"/>
  <c r="BC29" i="17"/>
  <c r="BC21" i="17"/>
  <c r="BC30" i="17"/>
  <c r="BC27" i="17"/>
  <c r="BC26" i="17"/>
  <c r="BC18" i="17"/>
  <c r="BC10" i="17"/>
  <c r="BC20" i="17"/>
  <c r="BC25" i="17"/>
  <c r="BC17" i="17"/>
  <c r="BC19" i="17"/>
  <c r="BC24" i="17"/>
  <c r="BC16" i="17"/>
  <c r="BC28" i="17"/>
  <c r="BC23" i="17"/>
  <c r="AH22" i="17"/>
  <c r="AH29" i="17"/>
  <c r="AH21" i="17"/>
  <c r="AH20" i="17"/>
  <c r="AH27" i="17"/>
  <c r="AH19" i="17"/>
  <c r="AH10" i="17"/>
  <c r="AH28" i="17"/>
  <c r="AH18" i="17"/>
  <c r="AH25" i="17"/>
  <c r="AH17" i="17"/>
  <c r="AH30" i="17"/>
  <c r="AH26" i="17"/>
  <c r="AH24" i="17"/>
  <c r="AH16" i="17"/>
  <c r="AH23" i="17"/>
  <c r="AZ30" i="17"/>
  <c r="AZ28" i="17"/>
  <c r="AZ20" i="17"/>
  <c r="AZ22" i="17"/>
  <c r="AZ19" i="17"/>
  <c r="AZ26" i="17"/>
  <c r="AZ18" i="17"/>
  <c r="AZ25" i="17"/>
  <c r="AZ17" i="17"/>
  <c r="AZ23" i="17"/>
  <c r="AZ29" i="17"/>
  <c r="AZ21" i="17"/>
  <c r="AZ27" i="17"/>
  <c r="AZ10" i="17"/>
  <c r="AZ24" i="17"/>
  <c r="AZ16" i="17"/>
  <c r="AJ28" i="17"/>
  <c r="AJ20" i="17"/>
  <c r="AJ12" i="17"/>
  <c r="AJ11" i="17"/>
  <c r="AJ22" i="17"/>
  <c r="AJ27" i="17"/>
  <c r="AJ26" i="17"/>
  <c r="AJ10" i="17"/>
  <c r="AJ30" i="17"/>
  <c r="AJ14" i="17"/>
  <c r="AJ19" i="17"/>
  <c r="AJ18" i="17"/>
  <c r="AJ25" i="17"/>
  <c r="AJ17" i="17"/>
  <c r="AJ9" i="17"/>
  <c r="AJ29" i="17"/>
  <c r="AJ13" i="17"/>
  <c r="AJ16" i="17"/>
  <c r="AJ8" i="17"/>
  <c r="AJ21" i="17"/>
  <c r="AJ24" i="17"/>
  <c r="AJ23" i="17"/>
  <c r="AJ15" i="17"/>
  <c r="EK38" i="9"/>
  <c r="EK37" i="9"/>
  <c r="AJ7" i="17"/>
  <c r="U44" i="17"/>
  <c r="I36" i="17" l="1"/>
  <c r="BN35" i="17"/>
  <c r="BJ35" i="17"/>
  <c r="EX8" i="9"/>
  <c r="EX5" i="9"/>
  <c r="EX4" i="9"/>
  <c r="EX6" i="9"/>
  <c r="EX3" i="9"/>
  <c r="EX10" i="9"/>
  <c r="EX9" i="9"/>
  <c r="EX7" i="9"/>
  <c r="ER38" i="9"/>
  <c r="ER36" i="9"/>
  <c r="ER37" i="9"/>
  <c r="ER35" i="9"/>
  <c r="ER34" i="9"/>
  <c r="AE37" i="17"/>
  <c r="AE33" i="17"/>
  <c r="AE34" i="17"/>
  <c r="AE36" i="17"/>
  <c r="AE32" i="17"/>
  <c r="AE35" i="17"/>
  <c r="J7" i="17"/>
  <c r="AK23" i="17"/>
  <c r="AQ23" i="17"/>
  <c r="AK27" i="17"/>
  <c r="AQ27" i="17"/>
  <c r="AK25" i="17"/>
  <c r="AQ25" i="17"/>
  <c r="AK22" i="17"/>
  <c r="AQ22" i="17"/>
  <c r="AK8" i="17"/>
  <c r="AQ8" i="17"/>
  <c r="AK19" i="17"/>
  <c r="AQ19" i="17"/>
  <c r="AK12" i="17"/>
  <c r="AQ12" i="17"/>
  <c r="AK7" i="17"/>
  <c r="AQ7" i="17"/>
  <c r="AK13" i="17"/>
  <c r="AQ13" i="17"/>
  <c r="AK29" i="17"/>
  <c r="AQ29" i="17"/>
  <c r="AK10" i="17"/>
  <c r="AQ10" i="17"/>
  <c r="AK16" i="17"/>
  <c r="AQ16" i="17"/>
  <c r="AK20" i="17"/>
  <c r="AQ20" i="17"/>
  <c r="AK30" i="17"/>
  <c r="AQ30" i="17"/>
  <c r="AK28" i="17"/>
  <c r="AQ28" i="17"/>
  <c r="AK15" i="17"/>
  <c r="AQ15" i="17"/>
  <c r="AK9" i="17"/>
  <c r="AQ9" i="17"/>
  <c r="AK26" i="17"/>
  <c r="AQ26" i="17"/>
  <c r="AK14" i="17"/>
  <c r="AQ14" i="17"/>
  <c r="AK17" i="17"/>
  <c r="AQ17" i="17"/>
  <c r="AK24" i="17"/>
  <c r="AQ24" i="17"/>
  <c r="AK21" i="17"/>
  <c r="AQ21" i="17"/>
  <c r="AK18" i="17"/>
  <c r="AQ18" i="17"/>
  <c r="AK11" i="17"/>
  <c r="AQ11" i="17"/>
  <c r="AU32" i="17"/>
  <c r="AU38" i="17"/>
  <c r="AU36" i="17"/>
  <c r="AU37" i="17"/>
  <c r="AU35" i="17"/>
  <c r="AU34" i="17"/>
  <c r="AU33" i="17"/>
  <c r="AO15" i="17"/>
  <c r="AJ33" i="17"/>
  <c r="AJ32" i="17"/>
  <c r="AJ34" i="17"/>
  <c r="AJ35" i="17"/>
  <c r="CO13" i="21"/>
  <c r="BJ7" i="17" l="1"/>
  <c r="ET35" i="9"/>
  <c r="ET34" i="9"/>
  <c r="ET41" i="9"/>
  <c r="EU41" i="9" s="1"/>
  <c r="ET40" i="9"/>
  <c r="EU40" i="9" s="1"/>
  <c r="ET36" i="9"/>
  <c r="EV32" i="9"/>
  <c r="AU39" i="17"/>
  <c r="Z7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Z9" i="13"/>
  <c r="Z8" i="13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7" i="16"/>
  <c r="ET39" i="9" l="1"/>
  <c r="ET37" i="9"/>
  <c r="EV43" i="9"/>
  <c r="ET38" i="9"/>
  <c r="ET43" i="9"/>
  <c r="ET42" i="9"/>
  <c r="DE39" i="15"/>
  <c r="DE38" i="15" s="1"/>
  <c r="EU5" i="9" l="1"/>
  <c r="EV5" i="9" s="1"/>
  <c r="EU8" i="9"/>
  <c r="EV8" i="9" s="1"/>
  <c r="EU4" i="9"/>
  <c r="EV4" i="9" s="1"/>
  <c r="EU6" i="9"/>
  <c r="EV6" i="9" s="1"/>
  <c r="EU10" i="9"/>
  <c r="EV10" i="9" s="1"/>
  <c r="EU9" i="9"/>
  <c r="EV9" i="9" s="1"/>
  <c r="EU7" i="9"/>
  <c r="EV7" i="9" s="1"/>
  <c r="K4" i="17"/>
  <c r="EU3" i="9"/>
  <c r="EV3" i="9" s="1"/>
  <c r="EW40" i="9"/>
  <c r="EW41" i="9"/>
  <c r="EW38" i="9"/>
  <c r="EW35" i="9"/>
  <c r="EW37" i="9"/>
  <c r="EW36" i="9"/>
  <c r="EW34" i="9"/>
  <c r="AL33" i="17"/>
  <c r="AL35" i="17"/>
  <c r="AL34" i="17"/>
  <c r="AL32" i="17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EW43" i="9" l="1"/>
  <c r="EW42" i="9"/>
  <c r="EW39" i="9"/>
  <c r="BY37" i="15"/>
  <c r="DG2" i="15" s="1"/>
  <c r="CB50" i="21" l="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EV42" i="9" l="1"/>
  <c r="B47" i="18"/>
  <c r="B46" i="18"/>
  <c r="B45" i="18"/>
  <c r="B44" i="18"/>
  <c r="B43" i="18"/>
  <c r="A50" i="21" l="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20" i="21"/>
  <c r="A21" i="21"/>
  <c r="DN21" i="21" s="1"/>
  <c r="A22" i="21"/>
  <c r="DN22" i="21" s="1"/>
  <c r="A23" i="21"/>
  <c r="DN23" i="21" s="1"/>
  <c r="A24" i="21"/>
  <c r="DN24" i="21" s="1"/>
  <c r="A25" i="21"/>
  <c r="DN25" i="21" s="1"/>
  <c r="A26" i="21"/>
  <c r="DN26" i="21" s="1"/>
  <c r="A27" i="21"/>
  <c r="DN27" i="21" s="1"/>
  <c r="A28" i="21"/>
  <c r="DN28" i="21" s="1"/>
  <c r="A29" i="21"/>
  <c r="DN29" i="21" s="1"/>
  <c r="A30" i="21"/>
  <c r="DN30" i="21" s="1"/>
  <c r="A31" i="21"/>
  <c r="DN31" i="21" s="1"/>
  <c r="A32" i="21"/>
  <c r="DN32" i="21" s="1"/>
  <c r="A33" i="21"/>
  <c r="DN33" i="21" s="1"/>
  <c r="A34" i="21"/>
  <c r="DN34" i="21" s="1"/>
  <c r="A35" i="21"/>
  <c r="DN35" i="21" s="1"/>
  <c r="A36" i="21"/>
  <c r="DN36" i="21" s="1"/>
  <c r="A37" i="21"/>
  <c r="DN37" i="21" s="1"/>
  <c r="A38" i="21"/>
  <c r="DN38" i="21" s="1"/>
  <c r="A39" i="21"/>
  <c r="DN39" i="21" s="1"/>
  <c r="A40" i="21"/>
  <c r="DN40" i="21" s="1"/>
  <c r="A41" i="21"/>
  <c r="DN41" i="21" s="1"/>
  <c r="A42" i="21"/>
  <c r="DN42" i="21" s="1"/>
  <c r="A43" i="21"/>
  <c r="DN43" i="21" s="1"/>
  <c r="A44" i="21"/>
  <c r="DN44" i="21" s="1"/>
  <c r="A45" i="21"/>
  <c r="CB20" i="21"/>
  <c r="CW20" i="21" s="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AM13" i="17" l="1"/>
  <c r="AM12" i="17"/>
  <c r="AM11" i="17"/>
  <c r="AM8" i="17"/>
  <c r="AM14" i="17"/>
  <c r="AM15" i="17"/>
  <c r="AM9" i="17"/>
  <c r="AD10" i="17"/>
  <c r="AL10" i="17" s="1"/>
  <c r="AD16" i="17"/>
  <c r="AL16" i="17" s="1"/>
  <c r="AD20" i="17"/>
  <c r="AL20" i="17" s="1"/>
  <c r="AD24" i="17"/>
  <c r="AL24" i="17" s="1"/>
  <c r="AD28" i="17"/>
  <c r="AL28" i="17" s="1"/>
  <c r="AD17" i="17"/>
  <c r="AL17" i="17" s="1"/>
  <c r="AD21" i="17"/>
  <c r="AL21" i="17" s="1"/>
  <c r="AD29" i="17"/>
  <c r="AL29" i="17" s="1"/>
  <c r="AD23" i="17"/>
  <c r="AL23" i="17" s="1"/>
  <c r="AD25" i="17"/>
  <c r="AL25" i="17" s="1"/>
  <c r="AD18" i="17"/>
  <c r="AL18" i="17" s="1"/>
  <c r="AD22" i="17"/>
  <c r="AL22" i="17" s="1"/>
  <c r="AD26" i="17"/>
  <c r="AL26" i="17" s="1"/>
  <c r="AD30" i="17"/>
  <c r="AL30" i="17" s="1"/>
  <c r="AD19" i="17"/>
  <c r="AL19" i="17" s="1"/>
  <c r="AD27" i="17"/>
  <c r="AL27" i="17" s="1"/>
  <c r="DN20" i="21"/>
  <c r="AM7" i="17" s="1"/>
  <c r="CW39" i="21"/>
  <c r="CQ39" i="21"/>
  <c r="CW31" i="21"/>
  <c r="CQ31" i="21"/>
  <c r="CW23" i="21"/>
  <c r="CQ23" i="21"/>
  <c r="CW38" i="21"/>
  <c r="CQ38" i="21"/>
  <c r="CW30" i="21"/>
  <c r="CQ30" i="21"/>
  <c r="CQ22" i="21"/>
  <c r="CW22" i="21"/>
  <c r="CQ45" i="21"/>
  <c r="CW45" i="21"/>
  <c r="CQ41" i="21"/>
  <c r="CW41" i="21"/>
  <c r="CQ37" i="21"/>
  <c r="CW37" i="21"/>
  <c r="CW33" i="21"/>
  <c r="CQ33" i="21"/>
  <c r="CQ29" i="21"/>
  <c r="CW29" i="21"/>
  <c r="CW25" i="21"/>
  <c r="CQ25" i="21"/>
  <c r="CW21" i="21"/>
  <c r="CQ21" i="21"/>
  <c r="CW43" i="21"/>
  <c r="CQ43" i="21"/>
  <c r="CQ35" i="21"/>
  <c r="CW35" i="21"/>
  <c r="CQ27" i="21"/>
  <c r="CW27" i="21"/>
  <c r="CW42" i="21"/>
  <c r="CQ42" i="21"/>
  <c r="CQ34" i="21"/>
  <c r="CW34" i="21"/>
  <c r="CW26" i="21"/>
  <c r="CQ26" i="21"/>
  <c r="CQ44" i="21"/>
  <c r="CW44" i="21"/>
  <c r="CQ40" i="21"/>
  <c r="CW40" i="21"/>
  <c r="CQ36" i="21"/>
  <c r="CW36" i="21"/>
  <c r="CW32" i="21"/>
  <c r="CQ32" i="21"/>
  <c r="CQ28" i="21"/>
  <c r="CW28" i="21"/>
  <c r="CQ24" i="21"/>
  <c r="CW24" i="21"/>
  <c r="CQ20" i="21"/>
  <c r="D16" i="16"/>
  <c r="D20" i="16"/>
  <c r="D24" i="16"/>
  <c r="D28" i="16"/>
  <c r="D17" i="16"/>
  <c r="D21" i="16"/>
  <c r="D25" i="16"/>
  <c r="D29" i="16"/>
  <c r="D23" i="16"/>
  <c r="D10" i="16"/>
  <c r="D18" i="16"/>
  <c r="D22" i="16"/>
  <c r="D26" i="16"/>
  <c r="D30" i="16"/>
  <c r="D19" i="16"/>
  <c r="D27" i="16"/>
  <c r="CB12" i="21"/>
  <c r="CB15" i="21"/>
  <c r="B15" i="21"/>
  <c r="F15" i="21"/>
  <c r="J15" i="21"/>
  <c r="N15" i="21"/>
  <c r="R15" i="21"/>
  <c r="V15" i="21"/>
  <c r="Z15" i="21"/>
  <c r="AD15" i="21"/>
  <c r="AH15" i="21"/>
  <c r="AL15" i="21"/>
  <c r="AP15" i="21"/>
  <c r="AT15" i="21"/>
  <c r="AX15" i="21"/>
  <c r="BB15" i="21"/>
  <c r="BF15" i="21"/>
  <c r="BJ15" i="21"/>
  <c r="BN15" i="21"/>
  <c r="BR15" i="21"/>
  <c r="BV15" i="21"/>
  <c r="BZ15" i="21"/>
  <c r="G15" i="21"/>
  <c r="K15" i="21"/>
  <c r="O15" i="21"/>
  <c r="W15" i="21"/>
  <c r="AA15" i="21"/>
  <c r="AI15" i="21"/>
  <c r="AQ15" i="21"/>
  <c r="AU15" i="21"/>
  <c r="BC15" i="21"/>
  <c r="BK15" i="21"/>
  <c r="BS15" i="21"/>
  <c r="BW15" i="21"/>
  <c r="D15" i="21"/>
  <c r="L15" i="21"/>
  <c r="T15" i="21"/>
  <c r="AB15" i="21"/>
  <c r="AJ15" i="21"/>
  <c r="AR15" i="21"/>
  <c r="AZ15" i="21"/>
  <c r="BH15" i="21"/>
  <c r="BP15" i="21"/>
  <c r="BX15" i="21"/>
  <c r="I15" i="21"/>
  <c r="M15" i="21"/>
  <c r="U15" i="21"/>
  <c r="AC15" i="21"/>
  <c r="AK15" i="21"/>
  <c r="AS15" i="21"/>
  <c r="BA15" i="21"/>
  <c r="BI15" i="21"/>
  <c r="BQ15" i="21"/>
  <c r="BY15" i="21"/>
  <c r="C15" i="21"/>
  <c r="S15" i="21"/>
  <c r="AE15" i="21"/>
  <c r="AM15" i="21"/>
  <c r="AY15" i="21"/>
  <c r="BG15" i="21"/>
  <c r="BO15" i="21"/>
  <c r="CA15" i="21"/>
  <c r="H15" i="21"/>
  <c r="P15" i="21"/>
  <c r="X15" i="21"/>
  <c r="AF15" i="21"/>
  <c r="AN15" i="21"/>
  <c r="AV15" i="21"/>
  <c r="BD15" i="21"/>
  <c r="BL15" i="21"/>
  <c r="BT15" i="21"/>
  <c r="E15" i="21"/>
  <c r="Q15" i="21"/>
  <c r="Y15" i="21"/>
  <c r="AG15" i="21"/>
  <c r="AO15" i="21"/>
  <c r="AW15" i="21"/>
  <c r="BE15" i="21"/>
  <c r="BM15" i="21"/>
  <c r="BU15" i="21"/>
  <c r="B16" i="21" a="1"/>
  <c r="B16" i="21" s="1"/>
  <c r="B17" i="21"/>
  <c r="A16" i="21" s="1"/>
  <c r="A17" i="21" s="1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3" i="18"/>
  <c r="AJ37" i="17" l="1"/>
  <c r="Y22" i="17"/>
  <c r="Y27" i="17"/>
  <c r="Y17" i="17"/>
  <c r="Y28" i="17"/>
  <c r="Y18" i="17"/>
  <c r="Y20" i="17"/>
  <c r="Y10" i="17"/>
  <c r="Y16" i="17"/>
  <c r="Y24" i="17"/>
  <c r="Y23" i="17"/>
  <c r="Y29" i="17"/>
  <c r="Y26" i="17"/>
  <c r="Y30" i="17"/>
  <c r="Y25" i="17"/>
  <c r="Y19" i="17"/>
  <c r="Y21" i="17"/>
  <c r="CB11" i="21"/>
  <c r="CB10" i="21"/>
  <c r="CB9" i="21"/>
  <c r="C7" i="13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7" i="16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16" i="13"/>
  <c r="D20" i="13"/>
  <c r="D21" i="13"/>
  <c r="D22" i="13"/>
  <c r="D23" i="13"/>
  <c r="D24" i="13"/>
  <c r="D25" i="13"/>
  <c r="D26" i="13"/>
  <c r="D27" i="13"/>
  <c r="D28" i="13"/>
  <c r="D29" i="13"/>
  <c r="D30" i="13"/>
  <c r="C5" i="17" l="1"/>
  <c r="AM37" i="17" s="1"/>
  <c r="Y10" i="16"/>
  <c r="Y17" i="16"/>
  <c r="Y18" i="16"/>
  <c r="Y19" i="16"/>
  <c r="Y26" i="16"/>
  <c r="Y22" i="16"/>
  <c r="Y29" i="16"/>
  <c r="Z29" i="17" s="1"/>
  <c r="Y25" i="16"/>
  <c r="Y21" i="16"/>
  <c r="Y28" i="16"/>
  <c r="Y24" i="16"/>
  <c r="Y20" i="16"/>
  <c r="Y16" i="16"/>
  <c r="Y30" i="16"/>
  <c r="Y27" i="16"/>
  <c r="Y23" i="16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3" i="15"/>
  <c r="A10" i="16" l="1"/>
  <c r="A19" i="16"/>
  <c r="A23" i="16"/>
  <c r="A27" i="16"/>
  <c r="A16" i="16"/>
  <c r="A20" i="16"/>
  <c r="A24" i="16"/>
  <c r="A28" i="16"/>
  <c r="A17" i="16"/>
  <c r="A21" i="16"/>
  <c r="A25" i="16"/>
  <c r="A29" i="16"/>
  <c r="A18" i="16"/>
  <c r="A22" i="16"/>
  <c r="A26" i="16"/>
  <c r="A30" i="16"/>
  <c r="AI23" i="15"/>
  <c r="AI11" i="15"/>
  <c r="AI22" i="15"/>
  <c r="AI18" i="15"/>
  <c r="AI10" i="15"/>
  <c r="AI6" i="15"/>
  <c r="AI17" i="15"/>
  <c r="AI9" i="15"/>
  <c r="AI5" i="15"/>
  <c r="AI3" i="15"/>
  <c r="AI19" i="15"/>
  <c r="AI15" i="15"/>
  <c r="AI7" i="15"/>
  <c r="AI26" i="15"/>
  <c r="AI14" i="15"/>
  <c r="AI25" i="15"/>
  <c r="AI21" i="15"/>
  <c r="AI13" i="15"/>
  <c r="AI24" i="15"/>
  <c r="AI20" i="15"/>
  <c r="AI16" i="15"/>
  <c r="AI12" i="15"/>
  <c r="AI8" i="15"/>
  <c r="AI4" i="15"/>
  <c r="B20" i="15"/>
  <c r="B3" i="15"/>
  <c r="B19" i="15"/>
  <c r="B11" i="15"/>
  <c r="B7" i="15"/>
  <c r="B26" i="15"/>
  <c r="B22" i="15"/>
  <c r="B18" i="15"/>
  <c r="B14" i="15"/>
  <c r="B10" i="15"/>
  <c r="B6" i="15"/>
  <c r="B16" i="15"/>
  <c r="B23" i="15"/>
  <c r="B15" i="15"/>
  <c r="B25" i="15"/>
  <c r="B21" i="15"/>
  <c r="B17" i="15"/>
  <c r="B13" i="15"/>
  <c r="B9" i="15"/>
  <c r="B5" i="15"/>
  <c r="B24" i="15"/>
  <c r="B12" i="15"/>
  <c r="B8" i="15"/>
  <c r="B4" i="15"/>
  <c r="E22" i="15"/>
  <c r="D22" i="15"/>
  <c r="E18" i="15"/>
  <c r="D18" i="15"/>
  <c r="E10" i="15"/>
  <c r="D10" i="15"/>
  <c r="D6" i="15"/>
  <c r="E6" i="15"/>
  <c r="D25" i="15"/>
  <c r="E25" i="15"/>
  <c r="D17" i="15"/>
  <c r="E17" i="15"/>
  <c r="E13" i="15"/>
  <c r="D13" i="15"/>
  <c r="E5" i="15"/>
  <c r="D5" i="15"/>
  <c r="E20" i="15"/>
  <c r="D20" i="15"/>
  <c r="E16" i="15"/>
  <c r="D16" i="15"/>
  <c r="E12" i="15"/>
  <c r="D12" i="15"/>
  <c r="E8" i="15"/>
  <c r="D8" i="15"/>
  <c r="E4" i="15"/>
  <c r="D4" i="15"/>
  <c r="E26" i="15"/>
  <c r="D26" i="15"/>
  <c r="E14" i="15"/>
  <c r="D14" i="15"/>
  <c r="E21" i="15"/>
  <c r="D21" i="15"/>
  <c r="D9" i="15"/>
  <c r="E9" i="15"/>
  <c r="E24" i="15"/>
  <c r="D24" i="15"/>
  <c r="D3" i="15"/>
  <c r="E3" i="15"/>
  <c r="D23" i="15"/>
  <c r="E23" i="15"/>
  <c r="D19" i="15"/>
  <c r="E19" i="15"/>
  <c r="D15" i="15"/>
  <c r="E15" i="15"/>
  <c r="D11" i="15"/>
  <c r="E11" i="15"/>
  <c r="D7" i="15"/>
  <c r="E7" i="15"/>
  <c r="F25" i="15"/>
  <c r="AU25" i="15"/>
  <c r="W25" i="15"/>
  <c r="C25" i="15"/>
  <c r="AU17" i="15"/>
  <c r="W17" i="15"/>
  <c r="C17" i="15"/>
  <c r="F17" i="15"/>
  <c r="AU13" i="15"/>
  <c r="W13" i="15"/>
  <c r="C13" i="15"/>
  <c r="AU9" i="15"/>
  <c r="W9" i="15"/>
  <c r="C9" i="15"/>
  <c r="AU5" i="15"/>
  <c r="W5" i="15"/>
  <c r="C5" i="15"/>
  <c r="AU24" i="15"/>
  <c r="W24" i="15"/>
  <c r="C24" i="15"/>
  <c r="F24" i="15"/>
  <c r="AU20" i="15"/>
  <c r="W20" i="15"/>
  <c r="C20" i="15"/>
  <c r="F20" i="15"/>
  <c r="AU16" i="15"/>
  <c r="W16" i="15"/>
  <c r="C16" i="15"/>
  <c r="F16" i="15"/>
  <c r="AU12" i="15"/>
  <c r="W12" i="15"/>
  <c r="C12" i="15"/>
  <c r="AU8" i="15"/>
  <c r="W8" i="15"/>
  <c r="C8" i="15"/>
  <c r="AU4" i="15"/>
  <c r="W4" i="15"/>
  <c r="C4" i="15"/>
  <c r="AU21" i="15"/>
  <c r="W21" i="15"/>
  <c r="C21" i="15"/>
  <c r="F21" i="15"/>
  <c r="AU3" i="15"/>
  <c r="W3" i="15"/>
  <c r="C3" i="15"/>
  <c r="AU23" i="15"/>
  <c r="W23" i="15"/>
  <c r="C23" i="15"/>
  <c r="F23" i="15"/>
  <c r="AU19" i="15"/>
  <c r="W19" i="15"/>
  <c r="C19" i="15"/>
  <c r="F19" i="15"/>
  <c r="AU15" i="15"/>
  <c r="W15" i="15"/>
  <c r="C15" i="15"/>
  <c r="F15" i="15"/>
  <c r="AU11" i="15"/>
  <c r="W11" i="15"/>
  <c r="C11" i="15"/>
  <c r="AU7" i="15"/>
  <c r="W7" i="15"/>
  <c r="C7" i="15"/>
  <c r="AU26" i="15"/>
  <c r="W26" i="15"/>
  <c r="C26" i="15"/>
  <c r="F26" i="15"/>
  <c r="AU22" i="15"/>
  <c r="W22" i="15"/>
  <c r="C22" i="15"/>
  <c r="F22" i="15"/>
  <c r="F18" i="15"/>
  <c r="W18" i="15"/>
  <c r="C18" i="15"/>
  <c r="AU18" i="15"/>
  <c r="F14" i="15"/>
  <c r="AU14" i="15"/>
  <c r="W14" i="15"/>
  <c r="C14" i="15"/>
  <c r="AU10" i="15"/>
  <c r="W10" i="15"/>
  <c r="C10" i="15"/>
  <c r="AU6" i="15"/>
  <c r="W6" i="15"/>
  <c r="C6" i="15"/>
  <c r="FB4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3" i="18"/>
  <c r="EX28" i="18"/>
  <c r="EX27" i="18"/>
  <c r="EX26" i="18"/>
  <c r="EX25" i="18"/>
  <c r="EX24" i="18"/>
  <c r="EX23" i="18"/>
  <c r="EX22" i="18"/>
  <c r="EX21" i="18"/>
  <c r="EX20" i="18"/>
  <c r="EX19" i="18"/>
  <c r="EX18" i="18"/>
  <c r="EX17" i="18"/>
  <c r="EX16" i="18"/>
  <c r="EX15" i="18"/>
  <c r="EX14" i="18"/>
  <c r="EX13" i="18"/>
  <c r="EX12" i="18"/>
  <c r="EX11" i="18"/>
  <c r="EX10" i="18"/>
  <c r="EX9" i="18"/>
  <c r="EX8" i="18"/>
  <c r="EX7" i="18"/>
  <c r="EX6" i="18"/>
  <c r="EX5" i="18"/>
  <c r="EX4" i="18"/>
  <c r="EX3" i="18"/>
  <c r="EV28" i="18"/>
  <c r="EW28" i="18" s="1"/>
  <c r="EV27" i="18"/>
  <c r="EW27" i="18" s="1"/>
  <c r="EV26" i="18"/>
  <c r="EW26" i="18" s="1"/>
  <c r="EV25" i="18"/>
  <c r="EW25" i="18" s="1"/>
  <c r="EV24" i="18"/>
  <c r="EW24" i="18" s="1"/>
  <c r="EV23" i="18"/>
  <c r="EW23" i="18" s="1"/>
  <c r="EV22" i="18"/>
  <c r="EW22" i="18" s="1"/>
  <c r="EV21" i="18"/>
  <c r="EW21" i="18" s="1"/>
  <c r="EV20" i="18"/>
  <c r="EW20" i="18" s="1"/>
  <c r="EV19" i="18"/>
  <c r="EW19" i="18" s="1"/>
  <c r="EV18" i="18"/>
  <c r="EW18" i="18" s="1"/>
  <c r="EV17" i="18"/>
  <c r="EW17" i="18" s="1"/>
  <c r="EV16" i="18"/>
  <c r="EW16" i="18" s="1"/>
  <c r="EV15" i="18"/>
  <c r="EW15" i="18" s="1"/>
  <c r="EV14" i="18"/>
  <c r="EW14" i="18" s="1"/>
  <c r="EV13" i="18"/>
  <c r="EV12" i="18"/>
  <c r="EV11" i="18"/>
  <c r="EV10" i="18"/>
  <c r="EV9" i="18"/>
  <c r="EV8" i="18"/>
  <c r="EV7" i="18"/>
  <c r="EV6" i="18"/>
  <c r="EV5" i="18"/>
  <c r="EV4" i="18"/>
  <c r="EV3" i="18"/>
  <c r="ET28" i="18"/>
  <c r="EU28" i="18" s="1"/>
  <c r="ET27" i="18"/>
  <c r="EU27" i="18" s="1"/>
  <c r="ET26" i="18"/>
  <c r="EU26" i="18" s="1"/>
  <c r="ET25" i="18"/>
  <c r="EU25" i="18" s="1"/>
  <c r="ET24" i="18"/>
  <c r="EU24" i="18" s="1"/>
  <c r="ET23" i="18"/>
  <c r="EU23" i="18" s="1"/>
  <c r="ET22" i="18"/>
  <c r="EU22" i="18" s="1"/>
  <c r="ET21" i="18"/>
  <c r="EU21" i="18" s="1"/>
  <c r="ET20" i="18"/>
  <c r="EU20" i="18" s="1"/>
  <c r="ET19" i="18"/>
  <c r="EU19" i="18" s="1"/>
  <c r="ET18" i="18"/>
  <c r="EU18" i="18" s="1"/>
  <c r="ET17" i="18"/>
  <c r="EU17" i="18" s="1"/>
  <c r="ET16" i="18"/>
  <c r="EU16" i="18" s="1"/>
  <c r="ET15" i="18"/>
  <c r="EU15" i="18" s="1"/>
  <c r="ET14" i="18"/>
  <c r="EU14" i="18" s="1"/>
  <c r="ET13" i="18"/>
  <c r="EU13" i="18" s="1"/>
  <c r="ET12" i="18"/>
  <c r="EU12" i="18" s="1"/>
  <c r="ET11" i="18"/>
  <c r="EU11" i="18" s="1"/>
  <c r="ET10" i="18"/>
  <c r="ET9" i="18"/>
  <c r="ET8" i="18"/>
  <c r="ET7" i="18"/>
  <c r="ET6" i="18"/>
  <c r="ET5" i="18"/>
  <c r="ET4" i="18"/>
  <c r="ET3" i="18"/>
  <c r="ER28" i="18"/>
  <c r="ES28" i="18" s="1"/>
  <c r="ER27" i="18"/>
  <c r="ES27" i="18" s="1"/>
  <c r="ER26" i="18"/>
  <c r="ES26" i="18" s="1"/>
  <c r="ER25" i="18"/>
  <c r="ES25" i="18" s="1"/>
  <c r="ER24" i="18"/>
  <c r="ES24" i="18" s="1"/>
  <c r="ER23" i="18"/>
  <c r="ES23" i="18" s="1"/>
  <c r="ER22" i="18"/>
  <c r="ES22" i="18" s="1"/>
  <c r="ER21" i="18"/>
  <c r="ES21" i="18" s="1"/>
  <c r="ER20" i="18"/>
  <c r="ES20" i="18" s="1"/>
  <c r="ER19" i="18"/>
  <c r="ES19" i="18" s="1"/>
  <c r="ER18" i="18"/>
  <c r="ES18" i="18" s="1"/>
  <c r="ER17" i="18"/>
  <c r="ES17" i="18" s="1"/>
  <c r="ER16" i="18"/>
  <c r="ES16" i="18" s="1"/>
  <c r="ER15" i="18"/>
  <c r="ES15" i="18" s="1"/>
  <c r="ER14" i="18"/>
  <c r="ES14" i="18" s="1"/>
  <c r="ER13" i="18"/>
  <c r="ES13" i="18" s="1"/>
  <c r="ER12" i="18"/>
  <c r="ES12" i="18" s="1"/>
  <c r="ER11" i="18"/>
  <c r="ES11" i="18" s="1"/>
  <c r="ER10" i="18"/>
  <c r="ER9" i="18"/>
  <c r="ER8" i="18"/>
  <c r="ER7" i="18"/>
  <c r="ER6" i="18"/>
  <c r="ER5" i="18"/>
  <c r="ER4" i="18"/>
  <c r="ER3" i="18"/>
  <c r="EP28" i="18"/>
  <c r="EP27" i="18"/>
  <c r="EP26" i="18"/>
  <c r="EP25" i="18"/>
  <c r="EP24" i="18"/>
  <c r="EP23" i="18"/>
  <c r="EP22" i="18"/>
  <c r="EP21" i="18"/>
  <c r="EP20" i="18"/>
  <c r="EP19" i="18"/>
  <c r="EP18" i="18"/>
  <c r="EP17" i="18"/>
  <c r="EP16" i="18"/>
  <c r="EP15" i="18"/>
  <c r="EP14" i="18"/>
  <c r="EP13" i="18"/>
  <c r="EP12" i="18"/>
  <c r="EP11" i="18"/>
  <c r="EP10" i="18"/>
  <c r="EP9" i="18"/>
  <c r="EP8" i="18"/>
  <c r="EP7" i="18"/>
  <c r="EP6" i="18"/>
  <c r="EP5" i="18"/>
  <c r="EP4" i="18"/>
  <c r="EP3" i="18"/>
  <c r="EN28" i="18"/>
  <c r="EN27" i="18"/>
  <c r="EN26" i="18"/>
  <c r="EN25" i="18"/>
  <c r="EN24" i="18"/>
  <c r="EN23" i="18"/>
  <c r="EN22" i="18"/>
  <c r="EN21" i="18"/>
  <c r="EN20" i="18"/>
  <c r="EN19" i="18"/>
  <c r="EN18" i="18"/>
  <c r="EN17" i="18"/>
  <c r="EN16" i="18"/>
  <c r="EN15" i="18"/>
  <c r="EN14" i="18"/>
  <c r="EN13" i="18"/>
  <c r="EN12" i="18"/>
  <c r="EN11" i="18"/>
  <c r="EN10" i="18"/>
  <c r="EN9" i="18"/>
  <c r="EN8" i="18"/>
  <c r="EN7" i="18"/>
  <c r="EN6" i="18"/>
  <c r="EN5" i="18"/>
  <c r="EN4" i="18"/>
  <c r="EN3" i="18"/>
  <c r="EL28" i="18"/>
  <c r="EL27" i="18"/>
  <c r="EL26" i="18"/>
  <c r="EL25" i="18"/>
  <c r="EL24" i="18"/>
  <c r="EL23" i="18"/>
  <c r="EL22" i="18"/>
  <c r="EL21" i="18"/>
  <c r="EL20" i="18"/>
  <c r="EL19" i="18"/>
  <c r="EL18" i="18"/>
  <c r="EL17" i="18"/>
  <c r="EL16" i="18"/>
  <c r="EL15" i="18"/>
  <c r="EL14" i="18"/>
  <c r="EL13" i="18"/>
  <c r="EL12" i="18"/>
  <c r="EL11" i="18"/>
  <c r="EL10" i="18"/>
  <c r="EL9" i="18"/>
  <c r="EL8" i="18"/>
  <c r="EL7" i="18"/>
  <c r="EL6" i="18"/>
  <c r="EL5" i="18"/>
  <c r="EL4" i="18"/>
  <c r="EL3" i="18"/>
  <c r="EJ28" i="18"/>
  <c r="EJ27" i="18"/>
  <c r="EJ26" i="18"/>
  <c r="EJ25" i="18"/>
  <c r="EJ24" i="18"/>
  <c r="EJ23" i="18"/>
  <c r="EJ22" i="18"/>
  <c r="EJ21" i="18"/>
  <c r="EJ20" i="18"/>
  <c r="EJ19" i="18"/>
  <c r="EJ18" i="18"/>
  <c r="EJ17" i="18"/>
  <c r="EJ16" i="18"/>
  <c r="EJ15" i="18"/>
  <c r="EJ14" i="18"/>
  <c r="EJ13" i="18"/>
  <c r="EJ12" i="18"/>
  <c r="EJ11" i="18"/>
  <c r="EJ10" i="18"/>
  <c r="EJ9" i="18"/>
  <c r="EJ8" i="18"/>
  <c r="EJ7" i="18"/>
  <c r="EJ6" i="18"/>
  <c r="EJ5" i="18"/>
  <c r="EJ4" i="18"/>
  <c r="EJ3" i="18"/>
  <c r="EH28" i="18"/>
  <c r="EH27" i="18"/>
  <c r="EH26" i="18"/>
  <c r="EH25" i="18"/>
  <c r="EH24" i="18"/>
  <c r="EH23" i="18"/>
  <c r="EH22" i="18"/>
  <c r="EH21" i="18"/>
  <c r="EH20" i="18"/>
  <c r="EH19" i="18"/>
  <c r="EH18" i="18"/>
  <c r="EH17" i="18"/>
  <c r="EH16" i="18"/>
  <c r="EH15" i="18"/>
  <c r="EH14" i="18"/>
  <c r="EH13" i="18"/>
  <c r="EH12" i="18"/>
  <c r="EH11" i="18"/>
  <c r="EH10" i="18"/>
  <c r="EH9" i="18"/>
  <c r="EH8" i="18"/>
  <c r="EH7" i="18"/>
  <c r="EH6" i="18"/>
  <c r="EH5" i="18"/>
  <c r="EH4" i="18"/>
  <c r="EH3" i="18"/>
  <c r="EF28" i="18"/>
  <c r="EF27" i="18"/>
  <c r="EF26" i="18"/>
  <c r="EF25" i="18"/>
  <c r="EF24" i="18"/>
  <c r="EF23" i="18"/>
  <c r="EF22" i="18"/>
  <c r="EF21" i="18"/>
  <c r="EF20" i="18"/>
  <c r="EF19" i="18"/>
  <c r="EF18" i="18"/>
  <c r="EF17" i="18"/>
  <c r="EF16" i="18"/>
  <c r="EF15" i="18"/>
  <c r="EF14" i="18"/>
  <c r="EF13" i="18"/>
  <c r="EF12" i="18"/>
  <c r="EF11" i="18"/>
  <c r="EF10" i="18"/>
  <c r="EF9" i="18"/>
  <c r="EF8" i="18"/>
  <c r="EF7" i="18"/>
  <c r="EF6" i="18"/>
  <c r="EF5" i="18"/>
  <c r="EF4" i="18"/>
  <c r="EF3" i="18"/>
  <c r="ED28" i="18"/>
  <c r="ED27" i="18"/>
  <c r="ED26" i="18"/>
  <c r="ED25" i="18"/>
  <c r="ED24" i="18"/>
  <c r="ED23" i="18"/>
  <c r="ED22" i="18"/>
  <c r="ED21" i="18"/>
  <c r="ED20" i="18"/>
  <c r="ED19" i="18"/>
  <c r="ED18" i="18"/>
  <c r="ED17" i="18"/>
  <c r="ED16" i="18"/>
  <c r="ED15" i="18"/>
  <c r="ED14" i="18"/>
  <c r="ED13" i="18"/>
  <c r="ED12" i="18"/>
  <c r="ED11" i="18"/>
  <c r="ED10" i="18"/>
  <c r="ED9" i="18"/>
  <c r="ED8" i="18"/>
  <c r="ED7" i="18"/>
  <c r="ED6" i="18"/>
  <c r="ED5" i="18"/>
  <c r="ED4" i="18"/>
  <c r="ED3" i="18"/>
  <c r="EB28" i="18"/>
  <c r="EB27" i="18"/>
  <c r="EB26" i="18"/>
  <c r="EB25" i="18"/>
  <c r="EB24" i="18"/>
  <c r="EB23" i="18"/>
  <c r="EB22" i="18"/>
  <c r="EB21" i="18"/>
  <c r="EB20" i="18"/>
  <c r="EB19" i="18"/>
  <c r="EB18" i="18"/>
  <c r="EB17" i="18"/>
  <c r="EB16" i="18"/>
  <c r="EB15" i="18"/>
  <c r="EB14" i="18"/>
  <c r="EB13" i="18"/>
  <c r="EB12" i="18"/>
  <c r="EB11" i="18"/>
  <c r="EB10" i="18"/>
  <c r="EB9" i="18"/>
  <c r="EB8" i="18"/>
  <c r="EB7" i="18"/>
  <c r="EB6" i="18"/>
  <c r="EB5" i="18"/>
  <c r="EB4" i="18"/>
  <c r="EB3" i="18"/>
  <c r="DZ28" i="18"/>
  <c r="DZ27" i="18"/>
  <c r="DZ26" i="18"/>
  <c r="DZ25" i="18"/>
  <c r="DZ24" i="18"/>
  <c r="DZ23" i="18"/>
  <c r="DZ22" i="18"/>
  <c r="DZ21" i="18"/>
  <c r="DZ20" i="18"/>
  <c r="DZ19" i="18"/>
  <c r="DZ18" i="18"/>
  <c r="DZ17" i="18"/>
  <c r="DZ16" i="18"/>
  <c r="DZ15" i="18"/>
  <c r="DZ14" i="18"/>
  <c r="DZ13" i="18"/>
  <c r="DZ12" i="18"/>
  <c r="DZ11" i="18"/>
  <c r="DZ10" i="18"/>
  <c r="DZ9" i="18"/>
  <c r="DZ8" i="18"/>
  <c r="DZ7" i="18"/>
  <c r="DZ6" i="18"/>
  <c r="DZ5" i="18"/>
  <c r="DZ4" i="18"/>
  <c r="DZ3" i="18"/>
  <c r="DX28" i="18"/>
  <c r="DX27" i="18"/>
  <c r="DX26" i="18"/>
  <c r="DX25" i="18"/>
  <c r="DX24" i="18"/>
  <c r="DX23" i="18"/>
  <c r="DX22" i="18"/>
  <c r="DX21" i="18"/>
  <c r="DX20" i="18"/>
  <c r="DX19" i="18"/>
  <c r="DX18" i="18"/>
  <c r="DX17" i="18"/>
  <c r="DX16" i="18"/>
  <c r="DX15" i="18"/>
  <c r="DX14" i="18"/>
  <c r="DX13" i="18"/>
  <c r="DX12" i="18"/>
  <c r="DX11" i="18"/>
  <c r="DX10" i="18"/>
  <c r="DX9" i="18"/>
  <c r="DX8" i="18"/>
  <c r="DX7" i="18"/>
  <c r="DX6" i="18"/>
  <c r="DX5" i="18"/>
  <c r="DX4" i="18"/>
  <c r="DX3" i="18"/>
  <c r="DV28" i="18"/>
  <c r="DV27" i="18"/>
  <c r="DV26" i="18"/>
  <c r="DV25" i="18"/>
  <c r="DV24" i="18"/>
  <c r="DV23" i="18"/>
  <c r="DV22" i="18"/>
  <c r="DV21" i="18"/>
  <c r="DV20" i="18"/>
  <c r="DV19" i="18"/>
  <c r="DV18" i="18"/>
  <c r="DV17" i="18"/>
  <c r="DV16" i="18"/>
  <c r="DV15" i="18"/>
  <c r="DV14" i="18"/>
  <c r="DV13" i="18"/>
  <c r="DV12" i="18"/>
  <c r="DV11" i="18"/>
  <c r="DV10" i="18"/>
  <c r="DV9" i="18"/>
  <c r="DV8" i="18"/>
  <c r="DV7" i="18"/>
  <c r="DV6" i="18"/>
  <c r="DV5" i="18"/>
  <c r="DV4" i="18"/>
  <c r="DV3" i="18"/>
  <c r="DT28" i="18"/>
  <c r="DT27" i="18"/>
  <c r="DT26" i="18"/>
  <c r="DT25" i="18"/>
  <c r="DT24" i="18"/>
  <c r="DT23" i="18"/>
  <c r="DT22" i="18"/>
  <c r="DT21" i="18"/>
  <c r="DT20" i="18"/>
  <c r="DT19" i="18"/>
  <c r="DT18" i="18"/>
  <c r="DT17" i="18"/>
  <c r="DT16" i="18"/>
  <c r="DT15" i="18"/>
  <c r="DT14" i="18"/>
  <c r="DT13" i="18"/>
  <c r="DT12" i="18"/>
  <c r="DT11" i="18"/>
  <c r="DT10" i="18"/>
  <c r="DT9" i="18"/>
  <c r="DT8" i="18"/>
  <c r="DT7" i="18"/>
  <c r="DT6" i="18"/>
  <c r="DT5" i="18"/>
  <c r="DT4" i="18"/>
  <c r="DT3" i="18"/>
  <c r="DR28" i="18"/>
  <c r="DR27" i="18"/>
  <c r="DR26" i="18"/>
  <c r="DR25" i="18"/>
  <c r="DR24" i="18"/>
  <c r="DR23" i="18"/>
  <c r="DR22" i="18"/>
  <c r="DR21" i="18"/>
  <c r="DR20" i="18"/>
  <c r="DR19" i="18"/>
  <c r="DR18" i="18"/>
  <c r="DR17" i="18"/>
  <c r="DR16" i="18"/>
  <c r="DR15" i="18"/>
  <c r="DR14" i="18"/>
  <c r="DR13" i="18"/>
  <c r="DR12" i="18"/>
  <c r="DR11" i="18"/>
  <c r="DR10" i="18"/>
  <c r="DR9" i="18"/>
  <c r="DR8" i="18"/>
  <c r="DR7" i="18"/>
  <c r="DR6" i="18"/>
  <c r="DR5" i="18"/>
  <c r="DR4" i="18"/>
  <c r="DR3" i="18"/>
  <c r="DP28" i="18"/>
  <c r="DP27" i="18"/>
  <c r="DP26" i="18"/>
  <c r="DP25" i="18"/>
  <c r="DP24" i="18"/>
  <c r="DP23" i="18"/>
  <c r="DP22" i="18"/>
  <c r="DP21" i="18"/>
  <c r="DP20" i="18"/>
  <c r="DP19" i="18"/>
  <c r="DP18" i="18"/>
  <c r="DP17" i="18"/>
  <c r="DP16" i="18"/>
  <c r="DP15" i="18"/>
  <c r="DP14" i="18"/>
  <c r="DP13" i="18"/>
  <c r="DP12" i="18"/>
  <c r="DP11" i="18"/>
  <c r="DP10" i="18"/>
  <c r="DP9" i="18"/>
  <c r="DP8" i="18"/>
  <c r="DP7" i="18"/>
  <c r="DP6" i="18"/>
  <c r="DP5" i="18"/>
  <c r="DP4" i="18"/>
  <c r="DP3" i="18"/>
  <c r="DN28" i="18"/>
  <c r="DN27" i="18"/>
  <c r="DN26" i="18"/>
  <c r="DN25" i="18"/>
  <c r="DN24" i="18"/>
  <c r="DN23" i="18"/>
  <c r="DN22" i="18"/>
  <c r="DN21" i="18"/>
  <c r="DN20" i="18"/>
  <c r="DN19" i="18"/>
  <c r="DN18" i="18"/>
  <c r="DN17" i="18"/>
  <c r="DN16" i="18"/>
  <c r="DN15" i="18"/>
  <c r="DN14" i="18"/>
  <c r="DN13" i="18"/>
  <c r="DN12" i="18"/>
  <c r="DN11" i="18"/>
  <c r="DN10" i="18"/>
  <c r="DN9" i="18"/>
  <c r="DN8" i="18"/>
  <c r="DN7" i="18"/>
  <c r="DN6" i="18"/>
  <c r="DN5" i="18"/>
  <c r="DN4" i="18"/>
  <c r="DN3" i="18"/>
  <c r="DL28" i="18"/>
  <c r="DL27" i="18"/>
  <c r="DL26" i="18"/>
  <c r="DL25" i="18"/>
  <c r="DL24" i="18"/>
  <c r="DL23" i="18"/>
  <c r="DL22" i="18"/>
  <c r="DL21" i="18"/>
  <c r="DL20" i="18"/>
  <c r="DL19" i="18"/>
  <c r="DL18" i="18"/>
  <c r="DL17" i="18"/>
  <c r="DL16" i="18"/>
  <c r="DL15" i="18"/>
  <c r="DL14" i="18"/>
  <c r="DL13" i="18"/>
  <c r="DL12" i="18"/>
  <c r="DL11" i="18"/>
  <c r="DL10" i="18"/>
  <c r="DL9" i="18"/>
  <c r="DL8" i="18"/>
  <c r="DL7" i="18"/>
  <c r="DL6" i="18"/>
  <c r="DL5" i="18"/>
  <c r="DL4" i="18"/>
  <c r="DL3" i="18"/>
  <c r="DJ28" i="18"/>
  <c r="DJ27" i="18"/>
  <c r="DJ26" i="18"/>
  <c r="DJ25" i="18"/>
  <c r="DJ24" i="18"/>
  <c r="DJ23" i="18"/>
  <c r="DJ22" i="18"/>
  <c r="DJ21" i="18"/>
  <c r="DJ20" i="18"/>
  <c r="DJ19" i="18"/>
  <c r="DJ18" i="18"/>
  <c r="DJ17" i="18"/>
  <c r="DJ16" i="18"/>
  <c r="DJ15" i="18"/>
  <c r="DJ14" i="18"/>
  <c r="DJ13" i="18"/>
  <c r="DJ12" i="18"/>
  <c r="DJ11" i="18"/>
  <c r="DJ10" i="18"/>
  <c r="DJ9" i="18"/>
  <c r="DJ8" i="18"/>
  <c r="DJ7" i="18"/>
  <c r="DJ6" i="18"/>
  <c r="DJ5" i="18"/>
  <c r="DJ4" i="18"/>
  <c r="DJ3" i="18"/>
  <c r="DH28" i="18"/>
  <c r="DH27" i="18"/>
  <c r="DH26" i="18"/>
  <c r="DH25" i="18"/>
  <c r="DH24" i="18"/>
  <c r="DH23" i="18"/>
  <c r="DH22" i="18"/>
  <c r="DH21" i="18"/>
  <c r="DH20" i="18"/>
  <c r="DH19" i="18"/>
  <c r="DH18" i="18"/>
  <c r="DH17" i="18"/>
  <c r="DH16" i="18"/>
  <c r="DH15" i="18"/>
  <c r="DH14" i="18"/>
  <c r="DH13" i="18"/>
  <c r="DH12" i="18"/>
  <c r="DH11" i="18"/>
  <c r="DH10" i="18"/>
  <c r="DH9" i="18"/>
  <c r="DH8" i="18"/>
  <c r="DH7" i="18"/>
  <c r="DH6" i="18"/>
  <c r="DH5" i="18"/>
  <c r="DH4" i="18"/>
  <c r="DH3" i="18"/>
  <c r="DF28" i="18"/>
  <c r="DF27" i="18"/>
  <c r="DF26" i="18"/>
  <c r="DF25" i="18"/>
  <c r="DF24" i="18"/>
  <c r="DF23" i="18"/>
  <c r="DF22" i="18"/>
  <c r="DF21" i="18"/>
  <c r="DF20" i="18"/>
  <c r="DF19" i="18"/>
  <c r="DF18" i="18"/>
  <c r="DF17" i="18"/>
  <c r="DF16" i="18"/>
  <c r="DF15" i="18"/>
  <c r="DF14" i="18"/>
  <c r="DF13" i="18"/>
  <c r="DF12" i="18"/>
  <c r="DF11" i="18"/>
  <c r="DF10" i="18"/>
  <c r="DF9" i="18"/>
  <c r="DF8" i="18"/>
  <c r="DF7" i="18"/>
  <c r="DF6" i="18"/>
  <c r="DF5" i="18"/>
  <c r="DF4" i="18"/>
  <c r="DF3" i="18"/>
  <c r="DD28" i="18"/>
  <c r="DD27" i="18"/>
  <c r="DD26" i="18"/>
  <c r="DD25" i="18"/>
  <c r="DD24" i="18"/>
  <c r="DD23" i="18"/>
  <c r="DD22" i="18"/>
  <c r="DD21" i="18"/>
  <c r="DD20" i="18"/>
  <c r="DD19" i="18"/>
  <c r="DD18" i="18"/>
  <c r="DD17" i="18"/>
  <c r="DD16" i="18"/>
  <c r="DD15" i="18"/>
  <c r="DD14" i="18"/>
  <c r="DD13" i="18"/>
  <c r="DD12" i="18"/>
  <c r="DD11" i="18"/>
  <c r="DD10" i="18"/>
  <c r="DD9" i="18"/>
  <c r="DD8" i="18"/>
  <c r="DD7" i="18"/>
  <c r="DD6" i="18"/>
  <c r="DD5" i="18"/>
  <c r="DD4" i="18"/>
  <c r="DD3" i="18"/>
  <c r="DB28" i="18"/>
  <c r="DB27" i="18"/>
  <c r="DB26" i="18"/>
  <c r="DB25" i="18"/>
  <c r="DB24" i="18"/>
  <c r="DB23" i="18"/>
  <c r="DB22" i="18"/>
  <c r="DB21" i="18"/>
  <c r="DB20" i="18"/>
  <c r="DB19" i="18"/>
  <c r="DB18" i="18"/>
  <c r="DB17" i="18"/>
  <c r="DB16" i="18"/>
  <c r="DB15" i="18"/>
  <c r="DB14" i="18"/>
  <c r="DB13" i="18"/>
  <c r="DB12" i="18"/>
  <c r="DB11" i="18"/>
  <c r="DB10" i="18"/>
  <c r="DB9" i="18"/>
  <c r="DB8" i="18"/>
  <c r="DB7" i="18"/>
  <c r="DB6" i="18"/>
  <c r="DB5" i="18"/>
  <c r="DB4" i="18"/>
  <c r="DB3" i="18"/>
  <c r="CZ28" i="18"/>
  <c r="CZ27" i="18"/>
  <c r="CZ26" i="18"/>
  <c r="CZ25" i="18"/>
  <c r="CZ24" i="18"/>
  <c r="CZ23" i="18"/>
  <c r="CZ22" i="18"/>
  <c r="CZ21" i="18"/>
  <c r="CZ20" i="18"/>
  <c r="CZ19" i="18"/>
  <c r="CZ18" i="18"/>
  <c r="CZ17" i="18"/>
  <c r="CZ16" i="18"/>
  <c r="CZ15" i="18"/>
  <c r="CZ14" i="18"/>
  <c r="CZ13" i="18"/>
  <c r="CZ12" i="18"/>
  <c r="CZ11" i="18"/>
  <c r="CZ10" i="18"/>
  <c r="CZ9" i="18"/>
  <c r="CZ8" i="18"/>
  <c r="CZ7" i="18"/>
  <c r="CZ6" i="18"/>
  <c r="CZ5" i="18"/>
  <c r="CZ4" i="18"/>
  <c r="CZ3" i="18"/>
  <c r="CX28" i="18"/>
  <c r="CX27" i="18"/>
  <c r="CX26" i="18"/>
  <c r="CX25" i="18"/>
  <c r="CX24" i="18"/>
  <c r="CX23" i="18"/>
  <c r="CX22" i="18"/>
  <c r="CX21" i="18"/>
  <c r="CX20" i="18"/>
  <c r="CX19" i="18"/>
  <c r="CX18" i="18"/>
  <c r="CX17" i="18"/>
  <c r="CX16" i="18"/>
  <c r="CX15" i="18"/>
  <c r="CX14" i="18"/>
  <c r="CX13" i="18"/>
  <c r="CX12" i="18"/>
  <c r="CX11" i="18"/>
  <c r="CX10" i="18"/>
  <c r="CX9" i="18"/>
  <c r="CX8" i="18"/>
  <c r="CX7" i="18"/>
  <c r="CX6" i="18"/>
  <c r="CX5" i="18"/>
  <c r="CX4" i="18"/>
  <c r="CX3" i="18"/>
  <c r="CV28" i="18"/>
  <c r="CV27" i="18"/>
  <c r="CV26" i="18"/>
  <c r="CV25" i="18"/>
  <c r="CV24" i="18"/>
  <c r="CV23" i="18"/>
  <c r="CV22" i="18"/>
  <c r="CV21" i="18"/>
  <c r="CV20" i="18"/>
  <c r="CV19" i="18"/>
  <c r="CV18" i="18"/>
  <c r="CV17" i="18"/>
  <c r="CV16" i="18"/>
  <c r="CV15" i="18"/>
  <c r="CV14" i="18"/>
  <c r="CV13" i="18"/>
  <c r="CV12" i="18"/>
  <c r="CV11" i="18"/>
  <c r="CV10" i="18"/>
  <c r="CV9" i="18"/>
  <c r="CV8" i="18"/>
  <c r="CV7" i="18"/>
  <c r="CV6" i="18"/>
  <c r="CV5" i="18"/>
  <c r="CV4" i="18"/>
  <c r="CV3" i="18"/>
  <c r="CT28" i="18"/>
  <c r="CT27" i="18"/>
  <c r="CT26" i="18"/>
  <c r="CT25" i="18"/>
  <c r="CT24" i="18"/>
  <c r="CT23" i="18"/>
  <c r="CT22" i="18"/>
  <c r="CT21" i="18"/>
  <c r="CT20" i="18"/>
  <c r="CT19" i="18"/>
  <c r="CT18" i="18"/>
  <c r="CT17" i="18"/>
  <c r="CT16" i="18"/>
  <c r="CT15" i="18"/>
  <c r="CT14" i="18"/>
  <c r="CT13" i="18"/>
  <c r="CT12" i="18"/>
  <c r="CT11" i="18"/>
  <c r="CT10" i="18"/>
  <c r="CT9" i="18"/>
  <c r="CT8" i="18"/>
  <c r="CT7" i="18"/>
  <c r="CT6" i="18"/>
  <c r="CT5" i="18"/>
  <c r="CT4" i="18"/>
  <c r="CT3" i="18"/>
  <c r="CR28" i="18"/>
  <c r="CR27" i="18"/>
  <c r="CR26" i="18"/>
  <c r="CR25" i="18"/>
  <c r="CR24" i="18"/>
  <c r="CR23" i="18"/>
  <c r="CR22" i="18"/>
  <c r="CR21" i="18"/>
  <c r="CR20" i="18"/>
  <c r="CR19" i="18"/>
  <c r="CR18" i="18"/>
  <c r="CR17" i="18"/>
  <c r="CR16" i="18"/>
  <c r="CR15" i="18"/>
  <c r="CR14" i="18"/>
  <c r="CR13" i="18"/>
  <c r="CR12" i="18"/>
  <c r="CR11" i="18"/>
  <c r="CR10" i="18"/>
  <c r="CR9" i="18"/>
  <c r="CR8" i="18"/>
  <c r="CR7" i="18"/>
  <c r="CR6" i="18"/>
  <c r="CR5" i="18"/>
  <c r="CR4" i="18"/>
  <c r="CR3" i="18"/>
  <c r="CP28" i="18"/>
  <c r="CP27" i="18"/>
  <c r="CP26" i="18"/>
  <c r="CP25" i="18"/>
  <c r="CP24" i="18"/>
  <c r="CP23" i="18"/>
  <c r="CP22" i="18"/>
  <c r="CP21" i="18"/>
  <c r="CP20" i="18"/>
  <c r="CP19" i="18"/>
  <c r="CP18" i="18"/>
  <c r="CP17" i="18"/>
  <c r="CP16" i="18"/>
  <c r="CP15" i="18"/>
  <c r="CP14" i="18"/>
  <c r="CP13" i="18"/>
  <c r="CP12" i="18"/>
  <c r="CP11" i="18"/>
  <c r="CP10" i="18"/>
  <c r="CP9" i="18"/>
  <c r="CP8" i="18"/>
  <c r="CP7" i="18"/>
  <c r="CP6" i="18"/>
  <c r="CP5" i="18"/>
  <c r="CP4" i="18"/>
  <c r="CP3" i="18"/>
  <c r="CN28" i="18"/>
  <c r="CN27" i="18"/>
  <c r="CN26" i="18"/>
  <c r="CN25" i="18"/>
  <c r="CN24" i="18"/>
  <c r="CN23" i="18"/>
  <c r="CN22" i="18"/>
  <c r="CN21" i="18"/>
  <c r="CN20" i="18"/>
  <c r="CN19" i="18"/>
  <c r="CN18" i="18"/>
  <c r="CN17" i="18"/>
  <c r="CN16" i="18"/>
  <c r="CN15" i="18"/>
  <c r="CN14" i="18"/>
  <c r="CN13" i="18"/>
  <c r="CN12" i="18"/>
  <c r="CN11" i="18"/>
  <c r="CN10" i="18"/>
  <c r="CN9" i="18"/>
  <c r="CN8" i="18"/>
  <c r="CN7" i="18"/>
  <c r="CN6" i="18"/>
  <c r="CN5" i="18"/>
  <c r="CN4" i="18"/>
  <c r="CN3" i="18"/>
  <c r="CL28" i="18"/>
  <c r="CL27" i="18"/>
  <c r="CL26" i="18"/>
  <c r="CL25" i="18"/>
  <c r="CL24" i="18"/>
  <c r="CL23" i="18"/>
  <c r="CL22" i="18"/>
  <c r="CL21" i="18"/>
  <c r="CL20" i="18"/>
  <c r="CL19" i="18"/>
  <c r="CL18" i="18"/>
  <c r="CL17" i="18"/>
  <c r="CL16" i="18"/>
  <c r="CL15" i="18"/>
  <c r="CL14" i="18"/>
  <c r="CL13" i="18"/>
  <c r="CL12" i="18"/>
  <c r="CL11" i="18"/>
  <c r="CL10" i="18"/>
  <c r="CL9" i="18"/>
  <c r="CL8" i="18"/>
  <c r="CL7" i="18"/>
  <c r="CL6" i="18"/>
  <c r="CL5" i="18"/>
  <c r="CL4" i="18"/>
  <c r="CL3" i="18"/>
  <c r="CJ28" i="18"/>
  <c r="CJ27" i="18"/>
  <c r="CJ26" i="18"/>
  <c r="CJ25" i="18"/>
  <c r="CJ24" i="18"/>
  <c r="CJ23" i="18"/>
  <c r="CJ22" i="18"/>
  <c r="CJ21" i="18"/>
  <c r="CJ20" i="18"/>
  <c r="CJ19" i="18"/>
  <c r="CJ18" i="18"/>
  <c r="CJ17" i="18"/>
  <c r="CJ16" i="18"/>
  <c r="CJ15" i="18"/>
  <c r="CJ14" i="18"/>
  <c r="CJ13" i="18"/>
  <c r="CJ12" i="18"/>
  <c r="CJ11" i="18"/>
  <c r="CJ10" i="18"/>
  <c r="CJ9" i="18"/>
  <c r="CJ8" i="18"/>
  <c r="CJ7" i="18"/>
  <c r="CJ6" i="18"/>
  <c r="CJ5" i="18"/>
  <c r="CJ4" i="18"/>
  <c r="CJ3" i="18"/>
  <c r="CH28" i="18"/>
  <c r="CH27" i="18"/>
  <c r="CH26" i="18"/>
  <c r="CH25" i="18"/>
  <c r="CH24" i="18"/>
  <c r="CH23" i="18"/>
  <c r="CH22" i="18"/>
  <c r="CH21" i="18"/>
  <c r="CH20" i="18"/>
  <c r="CH19" i="18"/>
  <c r="CH18" i="18"/>
  <c r="CH17" i="18"/>
  <c r="CH16" i="18"/>
  <c r="CH15" i="18"/>
  <c r="CH14" i="18"/>
  <c r="CH13" i="18"/>
  <c r="CH12" i="18"/>
  <c r="CH11" i="18"/>
  <c r="CH10" i="18"/>
  <c r="CH9" i="18"/>
  <c r="CH8" i="18"/>
  <c r="CH7" i="18"/>
  <c r="CH6" i="18"/>
  <c r="CH5" i="18"/>
  <c r="CH4" i="18"/>
  <c r="CH3" i="18"/>
  <c r="CF28" i="18"/>
  <c r="CF27" i="18"/>
  <c r="CF26" i="18"/>
  <c r="CF25" i="18"/>
  <c r="CF24" i="18"/>
  <c r="CF23" i="18"/>
  <c r="CF22" i="18"/>
  <c r="CF21" i="18"/>
  <c r="CF20" i="18"/>
  <c r="CF19" i="18"/>
  <c r="CF18" i="18"/>
  <c r="CF17" i="18"/>
  <c r="CF16" i="18"/>
  <c r="CF15" i="18"/>
  <c r="CF14" i="18"/>
  <c r="CF13" i="18"/>
  <c r="CF12" i="18"/>
  <c r="CF11" i="18"/>
  <c r="CF10" i="18"/>
  <c r="CF9" i="18"/>
  <c r="CF8" i="18"/>
  <c r="CF7" i="18"/>
  <c r="CF6" i="18"/>
  <c r="CF5" i="18"/>
  <c r="CF4" i="18"/>
  <c r="CF3" i="18"/>
  <c r="CD28" i="18"/>
  <c r="CD27" i="18"/>
  <c r="CD26" i="18"/>
  <c r="CD25" i="18"/>
  <c r="CD24" i="18"/>
  <c r="CD23" i="18"/>
  <c r="CD22" i="18"/>
  <c r="CD21" i="18"/>
  <c r="CD20" i="18"/>
  <c r="CD19" i="18"/>
  <c r="CD18" i="18"/>
  <c r="CD17" i="18"/>
  <c r="CD16" i="18"/>
  <c r="CD15" i="18"/>
  <c r="CD14" i="18"/>
  <c r="CD13" i="18"/>
  <c r="CD12" i="18"/>
  <c r="CD11" i="18"/>
  <c r="CD10" i="18"/>
  <c r="CD9" i="18"/>
  <c r="CD8" i="18"/>
  <c r="CD7" i="18"/>
  <c r="CD6" i="18"/>
  <c r="CD5" i="18"/>
  <c r="CD4" i="18"/>
  <c r="CD3" i="18"/>
  <c r="CB28" i="18"/>
  <c r="CB27" i="18"/>
  <c r="CB26" i="18"/>
  <c r="CB25" i="18"/>
  <c r="CB24" i="18"/>
  <c r="CB23" i="18"/>
  <c r="CB22" i="18"/>
  <c r="CB21" i="18"/>
  <c r="CB20" i="18"/>
  <c r="CB19" i="18"/>
  <c r="CB18" i="18"/>
  <c r="CB17" i="18"/>
  <c r="CB16" i="18"/>
  <c r="CB15" i="18"/>
  <c r="CB14" i="18"/>
  <c r="CB13" i="18"/>
  <c r="CB12" i="18"/>
  <c r="CB11" i="18"/>
  <c r="CB10" i="18"/>
  <c r="CB9" i="18"/>
  <c r="CB8" i="18"/>
  <c r="CB7" i="18"/>
  <c r="CB6" i="18"/>
  <c r="CB5" i="18"/>
  <c r="CB4" i="18"/>
  <c r="CB3" i="18"/>
  <c r="BZ28" i="18"/>
  <c r="BZ27" i="18"/>
  <c r="BZ26" i="18"/>
  <c r="BZ25" i="18"/>
  <c r="BZ24" i="18"/>
  <c r="BZ23" i="18"/>
  <c r="BZ22" i="18"/>
  <c r="BZ21" i="18"/>
  <c r="BZ20" i="18"/>
  <c r="BZ19" i="18"/>
  <c r="BZ18" i="18"/>
  <c r="BZ17" i="18"/>
  <c r="BZ16" i="18"/>
  <c r="BZ15" i="18"/>
  <c r="BZ14" i="18"/>
  <c r="BZ13" i="18"/>
  <c r="BZ12" i="18"/>
  <c r="BZ11" i="18"/>
  <c r="BZ10" i="18"/>
  <c r="BZ9" i="18"/>
  <c r="BZ8" i="18"/>
  <c r="BZ7" i="18"/>
  <c r="BZ6" i="18"/>
  <c r="BZ5" i="18"/>
  <c r="BZ4" i="18"/>
  <c r="BZ3" i="18"/>
  <c r="BX28" i="18"/>
  <c r="BX27" i="18"/>
  <c r="BX26" i="18"/>
  <c r="BX25" i="18"/>
  <c r="BX24" i="18"/>
  <c r="BX23" i="18"/>
  <c r="BX22" i="18"/>
  <c r="BX21" i="18"/>
  <c r="BX20" i="18"/>
  <c r="BX19" i="18"/>
  <c r="BX18" i="18"/>
  <c r="BX17" i="18"/>
  <c r="BX16" i="18"/>
  <c r="BX15" i="18"/>
  <c r="BX14" i="18"/>
  <c r="BX13" i="18"/>
  <c r="BX12" i="18"/>
  <c r="BX11" i="18"/>
  <c r="BX10" i="18"/>
  <c r="BX9" i="18"/>
  <c r="BX8" i="18"/>
  <c r="BX7" i="18"/>
  <c r="BX6" i="18"/>
  <c r="BX5" i="18"/>
  <c r="BX4" i="18"/>
  <c r="BX3" i="18"/>
  <c r="BV28" i="18"/>
  <c r="BV27" i="18"/>
  <c r="BV26" i="18"/>
  <c r="BV25" i="18"/>
  <c r="BV24" i="18"/>
  <c r="BV23" i="18"/>
  <c r="BV22" i="18"/>
  <c r="BV21" i="18"/>
  <c r="BV20" i="18"/>
  <c r="BV19" i="18"/>
  <c r="BV18" i="18"/>
  <c r="BV17" i="18"/>
  <c r="BV16" i="18"/>
  <c r="BV15" i="18"/>
  <c r="BV14" i="18"/>
  <c r="BV13" i="18"/>
  <c r="BV12" i="18"/>
  <c r="BV11" i="18"/>
  <c r="BV10" i="18"/>
  <c r="BV9" i="18"/>
  <c r="BV8" i="18"/>
  <c r="BV7" i="18"/>
  <c r="BV6" i="18"/>
  <c r="BV5" i="18"/>
  <c r="BV4" i="18"/>
  <c r="BV3" i="18"/>
  <c r="BT28" i="18"/>
  <c r="BT27" i="18"/>
  <c r="BT26" i="18"/>
  <c r="BT25" i="18"/>
  <c r="BT24" i="18"/>
  <c r="BT23" i="18"/>
  <c r="BT22" i="18"/>
  <c r="BT21" i="18"/>
  <c r="BT20" i="18"/>
  <c r="BT19" i="18"/>
  <c r="BT18" i="18"/>
  <c r="BT17" i="18"/>
  <c r="BT16" i="18"/>
  <c r="BT15" i="18"/>
  <c r="BT14" i="18"/>
  <c r="BT13" i="18"/>
  <c r="BT12" i="18"/>
  <c r="BT11" i="18"/>
  <c r="BT10" i="18"/>
  <c r="BT9" i="18"/>
  <c r="BT8" i="18"/>
  <c r="BT7" i="18"/>
  <c r="BT6" i="18"/>
  <c r="BT5" i="18"/>
  <c r="BT4" i="18"/>
  <c r="BT3" i="18"/>
  <c r="BR28" i="18"/>
  <c r="BR27" i="18"/>
  <c r="BR26" i="18"/>
  <c r="BR25" i="18"/>
  <c r="BR24" i="18"/>
  <c r="BR23" i="18"/>
  <c r="BR22" i="18"/>
  <c r="BR21" i="18"/>
  <c r="BR20" i="18"/>
  <c r="BR19" i="18"/>
  <c r="BR18" i="18"/>
  <c r="BR17" i="18"/>
  <c r="BR16" i="18"/>
  <c r="BR15" i="18"/>
  <c r="BR14" i="18"/>
  <c r="BR13" i="18"/>
  <c r="BR12" i="18"/>
  <c r="BR11" i="18"/>
  <c r="BR10" i="18"/>
  <c r="BR9" i="18"/>
  <c r="BR8" i="18"/>
  <c r="BR7" i="18"/>
  <c r="BR6" i="18"/>
  <c r="BR5" i="18"/>
  <c r="BR4" i="18"/>
  <c r="BR3" i="18"/>
  <c r="BP28" i="18"/>
  <c r="BP27" i="18"/>
  <c r="BP26" i="18"/>
  <c r="BP25" i="18"/>
  <c r="BP24" i="18"/>
  <c r="BP23" i="18"/>
  <c r="BP22" i="18"/>
  <c r="BP21" i="18"/>
  <c r="BP20" i="18"/>
  <c r="BP19" i="18"/>
  <c r="BP18" i="18"/>
  <c r="BP17" i="18"/>
  <c r="BP16" i="18"/>
  <c r="BP15" i="18"/>
  <c r="BP14" i="18"/>
  <c r="BP13" i="18"/>
  <c r="BP12" i="18"/>
  <c r="BP11" i="18"/>
  <c r="BP10" i="18"/>
  <c r="BP9" i="18"/>
  <c r="BP8" i="18"/>
  <c r="BP7" i="18"/>
  <c r="BP6" i="18"/>
  <c r="BP5" i="18"/>
  <c r="BP4" i="18"/>
  <c r="BP3" i="18"/>
  <c r="BN28" i="18"/>
  <c r="BN27" i="18"/>
  <c r="BN26" i="18"/>
  <c r="BN25" i="18"/>
  <c r="BN24" i="18"/>
  <c r="BN23" i="18"/>
  <c r="BN22" i="18"/>
  <c r="BN21" i="18"/>
  <c r="BN20" i="18"/>
  <c r="BN19" i="18"/>
  <c r="BN18" i="18"/>
  <c r="BN17" i="18"/>
  <c r="BN16" i="18"/>
  <c r="BN15" i="18"/>
  <c r="BN14" i="18"/>
  <c r="BN13" i="18"/>
  <c r="BN12" i="18"/>
  <c r="BN11" i="18"/>
  <c r="BN10" i="18"/>
  <c r="BN9" i="18"/>
  <c r="BN8" i="18"/>
  <c r="BN7" i="18"/>
  <c r="BN6" i="18"/>
  <c r="BN5" i="18"/>
  <c r="BN4" i="18"/>
  <c r="BN3" i="18"/>
  <c r="BL28" i="18"/>
  <c r="BL27" i="18"/>
  <c r="BL26" i="18"/>
  <c r="BL25" i="18"/>
  <c r="BL24" i="18"/>
  <c r="BL23" i="18"/>
  <c r="BL22" i="18"/>
  <c r="BL21" i="18"/>
  <c r="BL20" i="18"/>
  <c r="BL19" i="18"/>
  <c r="BL18" i="18"/>
  <c r="BL17" i="18"/>
  <c r="BL16" i="18"/>
  <c r="BL15" i="18"/>
  <c r="BL14" i="18"/>
  <c r="BL13" i="18"/>
  <c r="BL12" i="18"/>
  <c r="BL11" i="18"/>
  <c r="BL10" i="18"/>
  <c r="BL9" i="18"/>
  <c r="BL8" i="18"/>
  <c r="BL7" i="18"/>
  <c r="BL6" i="18"/>
  <c r="BL5" i="18"/>
  <c r="BL4" i="18"/>
  <c r="BL3" i="18"/>
  <c r="BJ28" i="18"/>
  <c r="BJ27" i="18"/>
  <c r="BJ26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J4" i="18"/>
  <c r="BJ3" i="18"/>
  <c r="BH28" i="18"/>
  <c r="BH27" i="18"/>
  <c r="BH26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H4" i="18"/>
  <c r="BH3" i="18"/>
  <c r="BF28" i="18"/>
  <c r="BF27" i="18"/>
  <c r="BF26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F4" i="18"/>
  <c r="BF3" i="18"/>
  <c r="BD28" i="18"/>
  <c r="BD27" i="18"/>
  <c r="BD26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D4" i="18"/>
  <c r="BD3" i="18"/>
  <c r="BB28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BB4" i="18"/>
  <c r="BB3" i="18"/>
  <c r="AZ28" i="18"/>
  <c r="AZ27" i="18"/>
  <c r="AZ26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Z4" i="18"/>
  <c r="AZ3" i="18"/>
  <c r="AX28" i="18"/>
  <c r="AX27" i="18"/>
  <c r="AX26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X4" i="18"/>
  <c r="AX3" i="18"/>
  <c r="AV28" i="18"/>
  <c r="AV27" i="18"/>
  <c r="AV26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V4" i="18"/>
  <c r="AV3" i="18"/>
  <c r="AT28" i="18"/>
  <c r="AT27" i="18"/>
  <c r="AT26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T4" i="18"/>
  <c r="AT3" i="18"/>
  <c r="AR28" i="18"/>
  <c r="AR27" i="18"/>
  <c r="AR26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R4" i="18"/>
  <c r="AR3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N28" i="18"/>
  <c r="AN27" i="18"/>
  <c r="AN26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N4" i="18"/>
  <c r="AN3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AL3" i="18"/>
  <c r="AJ28" i="18"/>
  <c r="AJ27" i="18"/>
  <c r="AJ26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J4" i="18"/>
  <c r="AJ3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H4" i="18"/>
  <c r="AH3" i="18"/>
  <c r="AF28" i="18"/>
  <c r="AF27" i="18"/>
  <c r="AF26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F4" i="18"/>
  <c r="AF3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D4" i="18"/>
  <c r="AD3" i="18"/>
  <c r="AB28" i="18"/>
  <c r="AB27" i="18"/>
  <c r="AB26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AB4" i="18"/>
  <c r="AB3" i="18"/>
  <c r="Z28" i="18"/>
  <c r="Z27" i="18"/>
  <c r="Z26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Z4" i="18"/>
  <c r="Z3" i="18"/>
  <c r="X28" i="18"/>
  <c r="X27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X4" i="18"/>
  <c r="X3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T28" i="18"/>
  <c r="T27" i="18"/>
  <c r="T26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T4" i="18"/>
  <c r="T3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R4" i="18"/>
  <c r="R3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P4" i="18"/>
  <c r="P3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N4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3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F3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B3" i="18"/>
  <c r="AF31" i="18" l="1"/>
  <c r="X31" i="18"/>
  <c r="P31" i="18"/>
  <c r="H31" i="18"/>
  <c r="L31" i="18"/>
  <c r="AF30" i="18"/>
  <c r="X30" i="18"/>
  <c r="P30" i="18"/>
  <c r="H30" i="18"/>
  <c r="T31" i="18"/>
  <c r="AD31" i="18"/>
  <c r="V31" i="18"/>
  <c r="N31" i="18"/>
  <c r="F31" i="18"/>
  <c r="AD30" i="18"/>
  <c r="V30" i="18"/>
  <c r="N30" i="18"/>
  <c r="F30" i="18"/>
  <c r="AB31" i="18"/>
  <c r="AB30" i="18"/>
  <c r="T30" i="18"/>
  <c r="L30" i="18"/>
  <c r="Z30" i="18"/>
  <c r="J30" i="18"/>
  <c r="D30" i="18"/>
  <c r="Z31" i="18"/>
  <c r="R31" i="18"/>
  <c r="J31" i="18"/>
  <c r="D31" i="18"/>
  <c r="R30" i="18"/>
  <c r="O17" i="15"/>
  <c r="CU17" i="15"/>
  <c r="O22" i="15"/>
  <c r="CU22" i="15"/>
  <c r="O26" i="15"/>
  <c r="CU26" i="15"/>
  <c r="O14" i="15"/>
  <c r="CU14" i="15"/>
  <c r="O21" i="15"/>
  <c r="CU21" i="15"/>
  <c r="O18" i="15"/>
  <c r="CU18" i="15"/>
  <c r="O15" i="15"/>
  <c r="CU15" i="15"/>
  <c r="O19" i="15"/>
  <c r="CU19" i="15"/>
  <c r="O23" i="15"/>
  <c r="CU23" i="15"/>
  <c r="O16" i="15"/>
  <c r="CU16" i="15"/>
  <c r="O20" i="15"/>
  <c r="CU20" i="15"/>
  <c r="O24" i="15"/>
  <c r="CU24" i="15"/>
  <c r="O25" i="15"/>
  <c r="CU25" i="15"/>
  <c r="ES6" i="18"/>
  <c r="EU4" i="18"/>
  <c r="BX21" i="21" s="1"/>
  <c r="ES10" i="18"/>
  <c r="BW27" i="21" s="1"/>
  <c r="EU8" i="18"/>
  <c r="EW6" i="18"/>
  <c r="BY23" i="21" s="1"/>
  <c r="BY27" i="21"/>
  <c r="EW10" i="18"/>
  <c r="ES3" i="18"/>
  <c r="ES7" i="18"/>
  <c r="BW24" i="21" s="1"/>
  <c r="EU5" i="18"/>
  <c r="EU9" i="18"/>
  <c r="EW3" i="18"/>
  <c r="BY20" i="21" s="1"/>
  <c r="BY24" i="21"/>
  <c r="EW7" i="18"/>
  <c r="EW11" i="18"/>
  <c r="BY28" i="21" s="1"/>
  <c r="ES4" i="18"/>
  <c r="ES8" i="18"/>
  <c r="EU6" i="18"/>
  <c r="EU10" i="18"/>
  <c r="BY21" i="21"/>
  <c r="EW4" i="18"/>
  <c r="EW8" i="18"/>
  <c r="BY25" i="21" s="1"/>
  <c r="BY29" i="21"/>
  <c r="EW12" i="18"/>
  <c r="ES5" i="18"/>
  <c r="ES9" i="18"/>
  <c r="BW26" i="21" s="1"/>
  <c r="EU3" i="18"/>
  <c r="EU7" i="18"/>
  <c r="EW5" i="18"/>
  <c r="BY22" i="21" s="1"/>
  <c r="BY26" i="21"/>
  <c r="EW9" i="18"/>
  <c r="EW13" i="18"/>
  <c r="BY30" i="21" s="1"/>
  <c r="BW23" i="21"/>
  <c r="BX25" i="21"/>
  <c r="BX29" i="21"/>
  <c r="BW20" i="21"/>
  <c r="BW28" i="21"/>
  <c r="BX22" i="21"/>
  <c r="BX26" i="21"/>
  <c r="BX30" i="21"/>
  <c r="BW21" i="21"/>
  <c r="BW25" i="21"/>
  <c r="BW29" i="21"/>
  <c r="BX23" i="21"/>
  <c r="BX27" i="21"/>
  <c r="BW22" i="21"/>
  <c r="BW30" i="21"/>
  <c r="BX20" i="21"/>
  <c r="BX24" i="21"/>
  <c r="BX28" i="21"/>
  <c r="K3" i="15"/>
  <c r="C32" i="21"/>
  <c r="C40" i="21"/>
  <c r="C44" i="21"/>
  <c r="G14" i="18"/>
  <c r="D31" i="21"/>
  <c r="G26" i="18"/>
  <c r="D43" i="21"/>
  <c r="I23" i="18"/>
  <c r="E40" i="21"/>
  <c r="K21" i="18"/>
  <c r="F38" i="21"/>
  <c r="M19" i="18"/>
  <c r="G36" i="21"/>
  <c r="O17" i="18"/>
  <c r="H34" i="21"/>
  <c r="O25" i="18"/>
  <c r="H42" i="21"/>
  <c r="Q19" i="18"/>
  <c r="I36" i="21"/>
  <c r="Q23" i="18"/>
  <c r="I40" i="21"/>
  <c r="Q27" i="18"/>
  <c r="I44" i="21"/>
  <c r="S17" i="18"/>
  <c r="J34" i="21"/>
  <c r="S21" i="18"/>
  <c r="J38" i="21"/>
  <c r="S25" i="18"/>
  <c r="J42" i="21"/>
  <c r="U15" i="18"/>
  <c r="K32" i="21"/>
  <c r="AE17" i="18"/>
  <c r="P34" i="21"/>
  <c r="AE21" i="18"/>
  <c r="P38" i="21"/>
  <c r="AE25" i="18"/>
  <c r="P42" i="21"/>
  <c r="AG15" i="18"/>
  <c r="Q32" i="21"/>
  <c r="AI17" i="18"/>
  <c r="R34" i="21"/>
  <c r="AI21" i="18"/>
  <c r="R38" i="21"/>
  <c r="AI25" i="18"/>
  <c r="R42" i="21"/>
  <c r="AK15" i="18"/>
  <c r="S32" i="21"/>
  <c r="C34" i="21"/>
  <c r="C38" i="21"/>
  <c r="C42" i="21"/>
  <c r="G20" i="18"/>
  <c r="D37" i="21"/>
  <c r="K19" i="18"/>
  <c r="F36" i="21"/>
  <c r="K23" i="18"/>
  <c r="F40" i="21"/>
  <c r="K27" i="18"/>
  <c r="F44" i="21"/>
  <c r="M17" i="18"/>
  <c r="G34" i="21"/>
  <c r="M21" i="18"/>
  <c r="G38" i="21"/>
  <c r="M25" i="18"/>
  <c r="G42" i="21"/>
  <c r="O15" i="18"/>
  <c r="H32" i="21"/>
  <c r="Q17" i="18"/>
  <c r="I34" i="21"/>
  <c r="Q21" i="18"/>
  <c r="I38" i="21"/>
  <c r="Q25" i="18"/>
  <c r="I42" i="21"/>
  <c r="S15" i="18"/>
  <c r="J32" i="21"/>
  <c r="U21" i="18"/>
  <c r="K38" i="21"/>
  <c r="U25" i="18"/>
  <c r="K42" i="21"/>
  <c r="W15" i="18"/>
  <c r="L32" i="21"/>
  <c r="W19" i="18"/>
  <c r="L36" i="21"/>
  <c r="W23" i="18"/>
  <c r="L40" i="21"/>
  <c r="W27" i="18"/>
  <c r="L44" i="21"/>
  <c r="Y17" i="18"/>
  <c r="M34" i="21"/>
  <c r="Y21" i="18"/>
  <c r="M38" i="21"/>
  <c r="Y25" i="18"/>
  <c r="M42" i="21"/>
  <c r="AA15" i="18"/>
  <c r="N32" i="21"/>
  <c r="AA19" i="18"/>
  <c r="N36" i="21"/>
  <c r="AA23" i="18"/>
  <c r="N40" i="21"/>
  <c r="AA27" i="18"/>
  <c r="N44" i="21"/>
  <c r="AC17" i="18"/>
  <c r="O34" i="21"/>
  <c r="AC21" i="18"/>
  <c r="O38" i="21"/>
  <c r="AC25" i="18"/>
  <c r="O42" i="21"/>
  <c r="AE15" i="18"/>
  <c r="P32" i="21"/>
  <c r="AE19" i="18"/>
  <c r="P36" i="21"/>
  <c r="AE23" i="18"/>
  <c r="P40" i="21"/>
  <c r="AE27" i="18"/>
  <c r="P44" i="21"/>
  <c r="AG17" i="18"/>
  <c r="Q34" i="21"/>
  <c r="AG21" i="18"/>
  <c r="Q38" i="21"/>
  <c r="AG25" i="18"/>
  <c r="Q42" i="21"/>
  <c r="AI15" i="18"/>
  <c r="R32" i="21"/>
  <c r="AK21" i="18"/>
  <c r="S38" i="21"/>
  <c r="AK25" i="18"/>
  <c r="S42" i="21"/>
  <c r="AM15" i="18"/>
  <c r="T32" i="21"/>
  <c r="AY19" i="18"/>
  <c r="Z36" i="21"/>
  <c r="AY27" i="18"/>
  <c r="Z44" i="21"/>
  <c r="C31" i="21"/>
  <c r="C35" i="21"/>
  <c r="C39" i="21"/>
  <c r="C43" i="21"/>
  <c r="G17" i="18"/>
  <c r="D34" i="21"/>
  <c r="G21" i="18"/>
  <c r="D38" i="21"/>
  <c r="G25" i="18"/>
  <c r="D42" i="21"/>
  <c r="I14" i="18"/>
  <c r="E31" i="21"/>
  <c r="I18" i="18"/>
  <c r="E35" i="21"/>
  <c r="I22" i="18"/>
  <c r="E39" i="21"/>
  <c r="I26" i="18"/>
  <c r="E43" i="21"/>
  <c r="K16" i="18"/>
  <c r="F33" i="21"/>
  <c r="K20" i="18"/>
  <c r="F37" i="21"/>
  <c r="K24" i="18"/>
  <c r="F41" i="21"/>
  <c r="K28" i="18"/>
  <c r="F45" i="21"/>
  <c r="M14" i="18"/>
  <c r="G31" i="21"/>
  <c r="M18" i="18"/>
  <c r="G35" i="21"/>
  <c r="M22" i="18"/>
  <c r="G39" i="21"/>
  <c r="M26" i="18"/>
  <c r="G43" i="21"/>
  <c r="O16" i="18"/>
  <c r="H33" i="21"/>
  <c r="O20" i="18"/>
  <c r="H37" i="21"/>
  <c r="O24" i="18"/>
  <c r="H41" i="21"/>
  <c r="O28" i="18"/>
  <c r="H45" i="21"/>
  <c r="Q14" i="18"/>
  <c r="I31" i="21"/>
  <c r="Q18" i="18"/>
  <c r="I35" i="21"/>
  <c r="Q22" i="18"/>
  <c r="I39" i="21"/>
  <c r="Q26" i="18"/>
  <c r="I43" i="21"/>
  <c r="S16" i="18"/>
  <c r="J33" i="21"/>
  <c r="S20" i="18"/>
  <c r="J37" i="21"/>
  <c r="S24" i="18"/>
  <c r="J41" i="21"/>
  <c r="S28" i="18"/>
  <c r="J45" i="21"/>
  <c r="U14" i="18"/>
  <c r="K31" i="21"/>
  <c r="U18" i="18"/>
  <c r="K35" i="21"/>
  <c r="U22" i="18"/>
  <c r="K39" i="21"/>
  <c r="U26" i="18"/>
  <c r="K43" i="21"/>
  <c r="W16" i="18"/>
  <c r="L33" i="21"/>
  <c r="W20" i="18"/>
  <c r="L37" i="21"/>
  <c r="W24" i="18"/>
  <c r="L41" i="21"/>
  <c r="W28" i="18"/>
  <c r="L45" i="21"/>
  <c r="Y14" i="18"/>
  <c r="M31" i="21"/>
  <c r="Y18" i="18"/>
  <c r="M35" i="21"/>
  <c r="Y22" i="18"/>
  <c r="M39" i="21"/>
  <c r="Y26" i="18"/>
  <c r="M43" i="21"/>
  <c r="AA16" i="18"/>
  <c r="N33" i="21"/>
  <c r="AA20" i="18"/>
  <c r="N37" i="21"/>
  <c r="AA24" i="18"/>
  <c r="N41" i="21"/>
  <c r="AA28" i="18"/>
  <c r="N45" i="21"/>
  <c r="AC14" i="18"/>
  <c r="O31" i="21"/>
  <c r="AC18" i="18"/>
  <c r="O35" i="21"/>
  <c r="AC22" i="18"/>
  <c r="O39" i="21"/>
  <c r="AC26" i="18"/>
  <c r="O43" i="21"/>
  <c r="AE16" i="18"/>
  <c r="P33" i="21"/>
  <c r="AE20" i="18"/>
  <c r="P37" i="21"/>
  <c r="AE24" i="18"/>
  <c r="P41" i="21"/>
  <c r="AE28" i="18"/>
  <c r="P45" i="21"/>
  <c r="AG14" i="18"/>
  <c r="Q31" i="21"/>
  <c r="AG18" i="18"/>
  <c r="Q35" i="21"/>
  <c r="AG22" i="18"/>
  <c r="Q39" i="21"/>
  <c r="AG26" i="18"/>
  <c r="Q43" i="21"/>
  <c r="AI16" i="18"/>
  <c r="R33" i="21"/>
  <c r="AI20" i="18"/>
  <c r="R37" i="21"/>
  <c r="AI24" i="18"/>
  <c r="R41" i="21"/>
  <c r="AI28" i="18"/>
  <c r="R45" i="21"/>
  <c r="AK14" i="18"/>
  <c r="S31" i="21"/>
  <c r="AK18" i="18"/>
  <c r="S35" i="21"/>
  <c r="AK22" i="18"/>
  <c r="S39" i="21"/>
  <c r="AK26" i="18"/>
  <c r="S43" i="21"/>
  <c r="AM16" i="18"/>
  <c r="T33" i="21"/>
  <c r="AM20" i="18"/>
  <c r="T37" i="21"/>
  <c r="AM24" i="18"/>
  <c r="T41" i="21"/>
  <c r="AM28" i="18"/>
  <c r="T45" i="21"/>
  <c r="AO14" i="18"/>
  <c r="U31" i="21"/>
  <c r="AO18" i="18"/>
  <c r="U35" i="21"/>
  <c r="AO22" i="18"/>
  <c r="U39" i="21"/>
  <c r="AO26" i="18"/>
  <c r="U43" i="21"/>
  <c r="AQ16" i="18"/>
  <c r="V33" i="21"/>
  <c r="AQ20" i="18"/>
  <c r="V37" i="21"/>
  <c r="AQ24" i="18"/>
  <c r="V41" i="21"/>
  <c r="AQ28" i="18"/>
  <c r="V45" i="21"/>
  <c r="AS14" i="18"/>
  <c r="W31" i="21"/>
  <c r="AS18" i="18"/>
  <c r="W35" i="21"/>
  <c r="AS22" i="18"/>
  <c r="W39" i="21"/>
  <c r="AS26" i="18"/>
  <c r="W43" i="21"/>
  <c r="AU16" i="18"/>
  <c r="X33" i="21"/>
  <c r="AU20" i="18"/>
  <c r="X37" i="21"/>
  <c r="AU24" i="18"/>
  <c r="X41" i="21"/>
  <c r="AU28" i="18"/>
  <c r="X45" i="21"/>
  <c r="AW14" i="18"/>
  <c r="Y31" i="21"/>
  <c r="AW18" i="18"/>
  <c r="Y35" i="21"/>
  <c r="AW22" i="18"/>
  <c r="Y39" i="21"/>
  <c r="AW26" i="18"/>
  <c r="Y43" i="21"/>
  <c r="AY16" i="18"/>
  <c r="Z33" i="21"/>
  <c r="AY20" i="18"/>
  <c r="Z37" i="21"/>
  <c r="AY24" i="18"/>
  <c r="Z41" i="21"/>
  <c r="AY28" i="18"/>
  <c r="Z45" i="21"/>
  <c r="BA14" i="18"/>
  <c r="AA31" i="21"/>
  <c r="BA18" i="18"/>
  <c r="AA35" i="21"/>
  <c r="BA22" i="18"/>
  <c r="AA39" i="21"/>
  <c r="BA26" i="18"/>
  <c r="AA43" i="21"/>
  <c r="BC16" i="18"/>
  <c r="AB33" i="21"/>
  <c r="BC20" i="18"/>
  <c r="AB37" i="21"/>
  <c r="BC24" i="18"/>
  <c r="AB41" i="21"/>
  <c r="BC28" i="18"/>
  <c r="AB45" i="21"/>
  <c r="BE14" i="18"/>
  <c r="AC31" i="21"/>
  <c r="BE18" i="18"/>
  <c r="AC35" i="21"/>
  <c r="BE22" i="18"/>
  <c r="AC39" i="21"/>
  <c r="BE26" i="18"/>
  <c r="AC43" i="21"/>
  <c r="BG16" i="18"/>
  <c r="AD33" i="21"/>
  <c r="BG20" i="18"/>
  <c r="AD37" i="21"/>
  <c r="BG24" i="18"/>
  <c r="AD41" i="21"/>
  <c r="BG28" i="18"/>
  <c r="AD45" i="21"/>
  <c r="BI14" i="18"/>
  <c r="AE31" i="21"/>
  <c r="BI18" i="18"/>
  <c r="AE35" i="21"/>
  <c r="BI22" i="18"/>
  <c r="AE39" i="21"/>
  <c r="BI26" i="18"/>
  <c r="AE43" i="21"/>
  <c r="BK16" i="18"/>
  <c r="AF33" i="21"/>
  <c r="BK20" i="18"/>
  <c r="AF37" i="21"/>
  <c r="BK24" i="18"/>
  <c r="AF41" i="21"/>
  <c r="BK28" i="18"/>
  <c r="AF45" i="21"/>
  <c r="BM14" i="18"/>
  <c r="AG31" i="21"/>
  <c r="BM18" i="18"/>
  <c r="AG35" i="21"/>
  <c r="BM22" i="18"/>
  <c r="AG39" i="21"/>
  <c r="BM26" i="18"/>
  <c r="AG43" i="21"/>
  <c r="BO16" i="18"/>
  <c r="AH33" i="21"/>
  <c r="BO20" i="18"/>
  <c r="AH37" i="21"/>
  <c r="BO24" i="18"/>
  <c r="AH41" i="21"/>
  <c r="BO28" i="18"/>
  <c r="AH45" i="21"/>
  <c r="BQ14" i="18"/>
  <c r="AI31" i="21"/>
  <c r="BQ18" i="18"/>
  <c r="AI35" i="21"/>
  <c r="BQ22" i="18"/>
  <c r="AI39" i="21"/>
  <c r="BQ26" i="18"/>
  <c r="AI43" i="21"/>
  <c r="BS16" i="18"/>
  <c r="AJ33" i="21"/>
  <c r="BS20" i="18"/>
  <c r="AJ37" i="21"/>
  <c r="BS24" i="18"/>
  <c r="AJ41" i="21"/>
  <c r="BS28" i="18"/>
  <c r="AJ45" i="21"/>
  <c r="BU14" i="18"/>
  <c r="AK31" i="21"/>
  <c r="BU18" i="18"/>
  <c r="AK35" i="21"/>
  <c r="BU22" i="18"/>
  <c r="AK39" i="21"/>
  <c r="BU26" i="18"/>
  <c r="AK43" i="21"/>
  <c r="BW16" i="18"/>
  <c r="AL33" i="21"/>
  <c r="BW20" i="18"/>
  <c r="AL37" i="21"/>
  <c r="BW24" i="18"/>
  <c r="AL41" i="21"/>
  <c r="BW28" i="18"/>
  <c r="AL45" i="21"/>
  <c r="BY14" i="18"/>
  <c r="AM31" i="21"/>
  <c r="BY18" i="18"/>
  <c r="AM35" i="21"/>
  <c r="BY22" i="18"/>
  <c r="AM39" i="21"/>
  <c r="BY26" i="18"/>
  <c r="AM43" i="21"/>
  <c r="CA16" i="18"/>
  <c r="AN33" i="21"/>
  <c r="CA20" i="18"/>
  <c r="AN37" i="21"/>
  <c r="CA24" i="18"/>
  <c r="AN41" i="21"/>
  <c r="CA28" i="18"/>
  <c r="AN45" i="21"/>
  <c r="CC14" i="18"/>
  <c r="AO31" i="21"/>
  <c r="CC18" i="18"/>
  <c r="AO35" i="21"/>
  <c r="CC22" i="18"/>
  <c r="AO39" i="21"/>
  <c r="CC26" i="18"/>
  <c r="AO43" i="21"/>
  <c r="CE16" i="18"/>
  <c r="AP33" i="21"/>
  <c r="CE20" i="18"/>
  <c r="AP37" i="21"/>
  <c r="CE24" i="18"/>
  <c r="AP41" i="21"/>
  <c r="CE28" i="18"/>
  <c r="AP45" i="21"/>
  <c r="CG14" i="18"/>
  <c r="AQ31" i="21"/>
  <c r="CG18" i="18"/>
  <c r="AQ35" i="21"/>
  <c r="CG22" i="18"/>
  <c r="AQ39" i="21"/>
  <c r="CG26" i="18"/>
  <c r="AQ43" i="21"/>
  <c r="CI16" i="18"/>
  <c r="AR33" i="21"/>
  <c r="CI20" i="18"/>
  <c r="AR37" i="21"/>
  <c r="CI24" i="18"/>
  <c r="AR41" i="21"/>
  <c r="CI28" i="18"/>
  <c r="AR45" i="21"/>
  <c r="CK14" i="18"/>
  <c r="AS31" i="21"/>
  <c r="CK18" i="18"/>
  <c r="AS35" i="21"/>
  <c r="CK22" i="18"/>
  <c r="AS39" i="21"/>
  <c r="CK26" i="18"/>
  <c r="AS43" i="21"/>
  <c r="CM16" i="18"/>
  <c r="AT33" i="21"/>
  <c r="CM20" i="18"/>
  <c r="AT37" i="21"/>
  <c r="CM24" i="18"/>
  <c r="AT41" i="21"/>
  <c r="CM28" i="18"/>
  <c r="AT45" i="21"/>
  <c r="CO14" i="18"/>
  <c r="AU31" i="21"/>
  <c r="CO18" i="18"/>
  <c r="AU35" i="21"/>
  <c r="CO22" i="18"/>
  <c r="AU39" i="21"/>
  <c r="CO26" i="18"/>
  <c r="AU43" i="21"/>
  <c r="CQ16" i="18"/>
  <c r="AV33" i="21"/>
  <c r="CQ20" i="18"/>
  <c r="AV37" i="21"/>
  <c r="CQ24" i="18"/>
  <c r="AV41" i="21"/>
  <c r="CQ28" i="18"/>
  <c r="AV45" i="21"/>
  <c r="CS14" i="18"/>
  <c r="AW31" i="21"/>
  <c r="CS18" i="18"/>
  <c r="AW35" i="21"/>
  <c r="CS22" i="18"/>
  <c r="AW39" i="21"/>
  <c r="CS26" i="18"/>
  <c r="AW43" i="21"/>
  <c r="CU16" i="18"/>
  <c r="AX33" i="21"/>
  <c r="CU20" i="18"/>
  <c r="AX37" i="21"/>
  <c r="CU24" i="18"/>
  <c r="AX41" i="21"/>
  <c r="CU28" i="18"/>
  <c r="AX45" i="21"/>
  <c r="CW14" i="18"/>
  <c r="AY31" i="21"/>
  <c r="CW18" i="18"/>
  <c r="AY35" i="21"/>
  <c r="CW22" i="18"/>
  <c r="AY39" i="21"/>
  <c r="CW26" i="18"/>
  <c r="AY43" i="21"/>
  <c r="CY16" i="18"/>
  <c r="AZ33" i="21"/>
  <c r="CY20" i="18"/>
  <c r="AZ37" i="21"/>
  <c r="CY24" i="18"/>
  <c r="AZ41" i="21"/>
  <c r="CY28" i="18"/>
  <c r="AZ45" i="21"/>
  <c r="DA14" i="18"/>
  <c r="BA31" i="21"/>
  <c r="DA18" i="18"/>
  <c r="BA35" i="21"/>
  <c r="DA22" i="18"/>
  <c r="BA39" i="21"/>
  <c r="DA26" i="18"/>
  <c r="BA43" i="21"/>
  <c r="DC16" i="18"/>
  <c r="BB33" i="21"/>
  <c r="DC20" i="18"/>
  <c r="BB37" i="21"/>
  <c r="DC24" i="18"/>
  <c r="BB41" i="21"/>
  <c r="DC28" i="18"/>
  <c r="BB45" i="21"/>
  <c r="DE14" i="18"/>
  <c r="BC31" i="21"/>
  <c r="DE18" i="18"/>
  <c r="BC35" i="21"/>
  <c r="DE22" i="18"/>
  <c r="BC39" i="21"/>
  <c r="DE26" i="18"/>
  <c r="BC43" i="21"/>
  <c r="DG16" i="18"/>
  <c r="BD33" i="21"/>
  <c r="DG20" i="18"/>
  <c r="BD37" i="21"/>
  <c r="DG24" i="18"/>
  <c r="BD41" i="21"/>
  <c r="DG28" i="18"/>
  <c r="BD45" i="21"/>
  <c r="DI14" i="18"/>
  <c r="BE31" i="21"/>
  <c r="DI18" i="18"/>
  <c r="BE35" i="21"/>
  <c r="DI22" i="18"/>
  <c r="BE39" i="21"/>
  <c r="DI26" i="18"/>
  <c r="BE43" i="21"/>
  <c r="DK16" i="18"/>
  <c r="BF33" i="21"/>
  <c r="DK20" i="18"/>
  <c r="BF37" i="21"/>
  <c r="DK24" i="18"/>
  <c r="BF41" i="21"/>
  <c r="DK28" i="18"/>
  <c r="BF45" i="21"/>
  <c r="DM14" i="18"/>
  <c r="BG31" i="21"/>
  <c r="DM18" i="18"/>
  <c r="BG35" i="21"/>
  <c r="DM22" i="18"/>
  <c r="BG39" i="21"/>
  <c r="DM26" i="18"/>
  <c r="BG43" i="21"/>
  <c r="DO16" i="18"/>
  <c r="BH33" i="21"/>
  <c r="DO20" i="18"/>
  <c r="BH37" i="21"/>
  <c r="DO24" i="18"/>
  <c r="BH41" i="21"/>
  <c r="DO28" i="18"/>
  <c r="BH45" i="21"/>
  <c r="DQ14" i="18"/>
  <c r="BI31" i="21"/>
  <c r="DQ18" i="18"/>
  <c r="BI35" i="21"/>
  <c r="DQ22" i="18"/>
  <c r="BI39" i="21"/>
  <c r="DQ26" i="18"/>
  <c r="BI43" i="21"/>
  <c r="DS16" i="18"/>
  <c r="BJ33" i="21"/>
  <c r="DS20" i="18"/>
  <c r="BJ37" i="21"/>
  <c r="DS24" i="18"/>
  <c r="BJ41" i="21"/>
  <c r="DS28" i="18"/>
  <c r="BJ45" i="21"/>
  <c r="DU14" i="18"/>
  <c r="BK31" i="21"/>
  <c r="DU18" i="18"/>
  <c r="BK35" i="21"/>
  <c r="DU22" i="18"/>
  <c r="BK39" i="21"/>
  <c r="DU26" i="18"/>
  <c r="BK43" i="21"/>
  <c r="DW16" i="18"/>
  <c r="BL33" i="21"/>
  <c r="DW20" i="18"/>
  <c r="BL37" i="21"/>
  <c r="DW24" i="18"/>
  <c r="BL41" i="21"/>
  <c r="DW28" i="18"/>
  <c r="BL45" i="21"/>
  <c r="DY14" i="18"/>
  <c r="BM31" i="21"/>
  <c r="DY18" i="18"/>
  <c r="BM35" i="21"/>
  <c r="DY22" i="18"/>
  <c r="BM39" i="21"/>
  <c r="DY26" i="18"/>
  <c r="BM43" i="21"/>
  <c r="EA16" i="18"/>
  <c r="BN33" i="21"/>
  <c r="EA20" i="18"/>
  <c r="BN37" i="21"/>
  <c r="EA24" i="18"/>
  <c r="BN41" i="21"/>
  <c r="EA28" i="18"/>
  <c r="BN45" i="21"/>
  <c r="EC14" i="18"/>
  <c r="BO31" i="21"/>
  <c r="EC18" i="18"/>
  <c r="BO35" i="21"/>
  <c r="EC22" i="18"/>
  <c r="BO39" i="21"/>
  <c r="EC26" i="18"/>
  <c r="BO43" i="21"/>
  <c r="EE16" i="18"/>
  <c r="BP33" i="21"/>
  <c r="EE20" i="18"/>
  <c r="BP37" i="21"/>
  <c r="EE24" i="18"/>
  <c r="BP41" i="21"/>
  <c r="EE28" i="18"/>
  <c r="BP45" i="21"/>
  <c r="EG14" i="18"/>
  <c r="BQ31" i="21"/>
  <c r="EG18" i="18"/>
  <c r="BQ35" i="21"/>
  <c r="EG22" i="18"/>
  <c r="BQ39" i="21"/>
  <c r="EG26" i="18"/>
  <c r="BQ43" i="21"/>
  <c r="EI16" i="18"/>
  <c r="BR33" i="21"/>
  <c r="EI20" i="18"/>
  <c r="BR37" i="21"/>
  <c r="EI24" i="18"/>
  <c r="BR41" i="21"/>
  <c r="EI28" i="18"/>
  <c r="BR45" i="21"/>
  <c r="EK14" i="18"/>
  <c r="BS31" i="21"/>
  <c r="EK18" i="18"/>
  <c r="BS35" i="21"/>
  <c r="EK22" i="18"/>
  <c r="BS39" i="21"/>
  <c r="EK26" i="18"/>
  <c r="BS43" i="21"/>
  <c r="EM16" i="18"/>
  <c r="BT33" i="21"/>
  <c r="EM20" i="18"/>
  <c r="BT37" i="21"/>
  <c r="EM24" i="18"/>
  <c r="BT41" i="21"/>
  <c r="EM28" i="18"/>
  <c r="BT45" i="21"/>
  <c r="EO14" i="18"/>
  <c r="BU31" i="21"/>
  <c r="EO18" i="18"/>
  <c r="BU35" i="21"/>
  <c r="EO22" i="18"/>
  <c r="BU39" i="21"/>
  <c r="EO26" i="18"/>
  <c r="BU43" i="21"/>
  <c r="EQ16" i="18"/>
  <c r="BV33" i="21"/>
  <c r="EQ20" i="18"/>
  <c r="BV37" i="21"/>
  <c r="EQ24" i="18"/>
  <c r="BV41" i="21"/>
  <c r="EQ28" i="18"/>
  <c r="BV45" i="21"/>
  <c r="BW31" i="21"/>
  <c r="BW35" i="21"/>
  <c r="BW39" i="21"/>
  <c r="BW43" i="21"/>
  <c r="BX33" i="21"/>
  <c r="BX37" i="21"/>
  <c r="BX41" i="21"/>
  <c r="BX45" i="21"/>
  <c r="BY31" i="21"/>
  <c r="BY35" i="21"/>
  <c r="BY39" i="21"/>
  <c r="BY43" i="21"/>
  <c r="EY12" i="18"/>
  <c r="BZ29" i="21"/>
  <c r="EY16" i="18"/>
  <c r="BZ33" i="21"/>
  <c r="EY20" i="18"/>
  <c r="BZ37" i="21"/>
  <c r="EY24" i="18"/>
  <c r="BZ41" i="21"/>
  <c r="EY28" i="18"/>
  <c r="BZ45" i="21"/>
  <c r="Y19" i="18"/>
  <c r="M36" i="21"/>
  <c r="Y23" i="18"/>
  <c r="M40" i="21"/>
  <c r="Y27" i="18"/>
  <c r="M44" i="21"/>
  <c r="AA17" i="18"/>
  <c r="N34" i="21"/>
  <c r="AA21" i="18"/>
  <c r="N38" i="21"/>
  <c r="AA25" i="18"/>
  <c r="N42" i="21"/>
  <c r="AC15" i="18"/>
  <c r="O32" i="21"/>
  <c r="AC19" i="18"/>
  <c r="O36" i="21"/>
  <c r="AC23" i="18"/>
  <c r="O40" i="21"/>
  <c r="AC27" i="18"/>
  <c r="O44" i="21"/>
  <c r="AG19" i="18"/>
  <c r="Q36" i="21"/>
  <c r="AG23" i="18"/>
  <c r="Q40" i="21"/>
  <c r="AG27" i="18"/>
  <c r="Q44" i="21"/>
  <c r="AO23" i="18"/>
  <c r="U40" i="21"/>
  <c r="AQ21" i="18"/>
  <c r="V38" i="21"/>
  <c r="AQ25" i="18"/>
  <c r="V42" i="21"/>
  <c r="AS19" i="18"/>
  <c r="W36" i="21"/>
  <c r="AS23" i="18"/>
  <c r="W40" i="21"/>
  <c r="AS27" i="18"/>
  <c r="W44" i="21"/>
  <c r="AU17" i="18"/>
  <c r="X34" i="21"/>
  <c r="AU21" i="18"/>
  <c r="X38" i="21"/>
  <c r="AU25" i="18"/>
  <c r="X42" i="21"/>
  <c r="AW15" i="18"/>
  <c r="Y32" i="21"/>
  <c r="AY17" i="18"/>
  <c r="Z34" i="21"/>
  <c r="AY21" i="18"/>
  <c r="Z38" i="21"/>
  <c r="AY25" i="18"/>
  <c r="Z42" i="21"/>
  <c r="BA15" i="18"/>
  <c r="AA32" i="21"/>
  <c r="BA19" i="18"/>
  <c r="AA36" i="21"/>
  <c r="BA23" i="18"/>
  <c r="AA40" i="21"/>
  <c r="BA27" i="18"/>
  <c r="AA44" i="21"/>
  <c r="BE19" i="18"/>
  <c r="AC36" i="21"/>
  <c r="BE27" i="18"/>
  <c r="AC44" i="21"/>
  <c r="BG17" i="18"/>
  <c r="AD34" i="21"/>
  <c r="BG21" i="18"/>
  <c r="AD38" i="21"/>
  <c r="BG25" i="18"/>
  <c r="AD42" i="21"/>
  <c r="BI15" i="18"/>
  <c r="AE32" i="21"/>
  <c r="BI19" i="18"/>
  <c r="AE36" i="21"/>
  <c r="BI23" i="18"/>
  <c r="AE40" i="21"/>
  <c r="BI27" i="18"/>
  <c r="AE44" i="21"/>
  <c r="BK17" i="18"/>
  <c r="AF34" i="21"/>
  <c r="BK21" i="18"/>
  <c r="AF38" i="21"/>
  <c r="BK25" i="18"/>
  <c r="AF42" i="21"/>
  <c r="BM15" i="18"/>
  <c r="AG32" i="21"/>
  <c r="BO17" i="18"/>
  <c r="AH34" i="21"/>
  <c r="BO21" i="18"/>
  <c r="AH38" i="21"/>
  <c r="BO25" i="18"/>
  <c r="AH42" i="21"/>
  <c r="BQ15" i="18"/>
  <c r="AI32" i="21"/>
  <c r="BQ19" i="18"/>
  <c r="AI36" i="21"/>
  <c r="BQ23" i="18"/>
  <c r="AI40" i="21"/>
  <c r="BQ27" i="18"/>
  <c r="AI44" i="21"/>
  <c r="BS17" i="18"/>
  <c r="AJ34" i="21"/>
  <c r="BS21" i="18"/>
  <c r="AJ38" i="21"/>
  <c r="BS25" i="18"/>
  <c r="AJ42" i="21"/>
  <c r="CA17" i="18"/>
  <c r="AN34" i="21"/>
  <c r="CA21" i="18"/>
  <c r="AN38" i="21"/>
  <c r="CA25" i="18"/>
  <c r="AN42" i="21"/>
  <c r="CG15" i="18"/>
  <c r="AQ32" i="21"/>
  <c r="CG19" i="18"/>
  <c r="AQ36" i="21"/>
  <c r="CG27" i="18"/>
  <c r="AQ44" i="21"/>
  <c r="CI17" i="18"/>
  <c r="AR34" i="21"/>
  <c r="CI21" i="18"/>
  <c r="AR38" i="21"/>
  <c r="CI25" i="18"/>
  <c r="AR42" i="21"/>
  <c r="CK15" i="18"/>
  <c r="AS32" i="21"/>
  <c r="CK19" i="18"/>
  <c r="AS36" i="21"/>
  <c r="CK23" i="18"/>
  <c r="AS40" i="21"/>
  <c r="CK27" i="18"/>
  <c r="AS44" i="21"/>
  <c r="CM17" i="18"/>
  <c r="AT34" i="21"/>
  <c r="CM21" i="18"/>
  <c r="AT38" i="21"/>
  <c r="CM25" i="18"/>
  <c r="AT42" i="21"/>
  <c r="CO15" i="18"/>
  <c r="AU32" i="21"/>
  <c r="CO19" i="18"/>
  <c r="AU36" i="21"/>
  <c r="CO23" i="18"/>
  <c r="AU40" i="21"/>
  <c r="CO27" i="18"/>
  <c r="AU44" i="21"/>
  <c r="CQ17" i="18"/>
  <c r="AV34" i="21"/>
  <c r="CQ21" i="18"/>
  <c r="AV38" i="21"/>
  <c r="CQ25" i="18"/>
  <c r="AV42" i="21"/>
  <c r="CS15" i="18"/>
  <c r="AW32" i="21"/>
  <c r="CS19" i="18"/>
  <c r="AW36" i="21"/>
  <c r="CS23" i="18"/>
  <c r="AW40" i="21"/>
  <c r="CS27" i="18"/>
  <c r="AW44" i="21"/>
  <c r="CU17" i="18"/>
  <c r="AX34" i="21"/>
  <c r="CU21" i="18"/>
  <c r="AX38" i="21"/>
  <c r="CU25" i="18"/>
  <c r="AX42" i="21"/>
  <c r="CW15" i="18"/>
  <c r="AY32" i="21"/>
  <c r="CW19" i="18"/>
  <c r="AY36" i="21"/>
  <c r="CW23" i="18"/>
  <c r="AY40" i="21"/>
  <c r="CW27" i="18"/>
  <c r="AY44" i="21"/>
  <c r="CY17" i="18"/>
  <c r="AZ34" i="21"/>
  <c r="CY21" i="18"/>
  <c r="AZ38" i="21"/>
  <c r="CY25" i="18"/>
  <c r="AZ42" i="21"/>
  <c r="DA15" i="18"/>
  <c r="BA32" i="21"/>
  <c r="DA19" i="18"/>
  <c r="BA36" i="21"/>
  <c r="DA23" i="18"/>
  <c r="BA40" i="21"/>
  <c r="DA27" i="18"/>
  <c r="BA44" i="21"/>
  <c r="DC17" i="18"/>
  <c r="BB34" i="21"/>
  <c r="DC21" i="18"/>
  <c r="BB38" i="21"/>
  <c r="DC25" i="18"/>
  <c r="BB42" i="21"/>
  <c r="DE15" i="18"/>
  <c r="BC32" i="21"/>
  <c r="DE19" i="18"/>
  <c r="BC36" i="21"/>
  <c r="DE23" i="18"/>
  <c r="BC40" i="21"/>
  <c r="DE27" i="18"/>
  <c r="BC44" i="21"/>
  <c r="DG17" i="18"/>
  <c r="BD34" i="21"/>
  <c r="DG21" i="18"/>
  <c r="BD38" i="21"/>
  <c r="DG25" i="18"/>
  <c r="BD42" i="21"/>
  <c r="DI15" i="18"/>
  <c r="BE32" i="21"/>
  <c r="DI19" i="18"/>
  <c r="BE36" i="21"/>
  <c r="DI23" i="18"/>
  <c r="BE40" i="21"/>
  <c r="DI27" i="18"/>
  <c r="BE44" i="21"/>
  <c r="DK17" i="18"/>
  <c r="BF34" i="21"/>
  <c r="DK21" i="18"/>
  <c r="BF38" i="21"/>
  <c r="DK25" i="18"/>
  <c r="BF42" i="21"/>
  <c r="DM15" i="18"/>
  <c r="BG32" i="21"/>
  <c r="DM19" i="18"/>
  <c r="BG36" i="21"/>
  <c r="DM23" i="18"/>
  <c r="BG40" i="21"/>
  <c r="DM27" i="18"/>
  <c r="BG44" i="21"/>
  <c r="DO17" i="18"/>
  <c r="BH34" i="21"/>
  <c r="DO21" i="18"/>
  <c r="BH38" i="21"/>
  <c r="DO25" i="18"/>
  <c r="BH42" i="21"/>
  <c r="DQ15" i="18"/>
  <c r="BI32" i="21"/>
  <c r="DQ19" i="18"/>
  <c r="BI36" i="21"/>
  <c r="DQ23" i="18"/>
  <c r="BI40" i="21"/>
  <c r="DQ27" i="18"/>
  <c r="BI44" i="21"/>
  <c r="DS17" i="18"/>
  <c r="BJ34" i="21"/>
  <c r="DS21" i="18"/>
  <c r="BJ38" i="21"/>
  <c r="DS25" i="18"/>
  <c r="BJ42" i="21"/>
  <c r="DU15" i="18"/>
  <c r="BK32" i="21"/>
  <c r="DU19" i="18"/>
  <c r="BK36" i="21"/>
  <c r="DU23" i="18"/>
  <c r="BK40" i="21"/>
  <c r="DU27" i="18"/>
  <c r="BK44" i="21"/>
  <c r="DW17" i="18"/>
  <c r="BL34" i="21"/>
  <c r="DW21" i="18"/>
  <c r="BL38" i="21"/>
  <c r="DW25" i="18"/>
  <c r="BL42" i="21"/>
  <c r="DY15" i="18"/>
  <c r="BM32" i="21"/>
  <c r="DY19" i="18"/>
  <c r="BM36" i="21"/>
  <c r="DY23" i="18"/>
  <c r="BM40" i="21"/>
  <c r="DY27" i="18"/>
  <c r="BM44" i="21"/>
  <c r="EA17" i="18"/>
  <c r="BN34" i="21"/>
  <c r="EA21" i="18"/>
  <c r="BN38" i="21"/>
  <c r="EA25" i="18"/>
  <c r="BN42" i="21"/>
  <c r="EC15" i="18"/>
  <c r="BO32" i="21"/>
  <c r="EC19" i="18"/>
  <c r="BO36" i="21"/>
  <c r="EC23" i="18"/>
  <c r="BO40" i="21"/>
  <c r="EC27" i="18"/>
  <c r="BO44" i="21"/>
  <c r="EE17" i="18"/>
  <c r="BP34" i="21"/>
  <c r="EE21" i="18"/>
  <c r="BP38" i="21"/>
  <c r="EE25" i="18"/>
  <c r="BP42" i="21"/>
  <c r="EG15" i="18"/>
  <c r="BQ32" i="21"/>
  <c r="EG19" i="18"/>
  <c r="BQ36" i="21"/>
  <c r="EG23" i="18"/>
  <c r="BQ40" i="21"/>
  <c r="EG27" i="18"/>
  <c r="BQ44" i="21"/>
  <c r="EI17" i="18"/>
  <c r="BR34" i="21"/>
  <c r="EI21" i="18"/>
  <c r="BR38" i="21"/>
  <c r="EI25" i="18"/>
  <c r="BR42" i="21"/>
  <c r="EK15" i="18"/>
  <c r="BS32" i="21"/>
  <c r="EK19" i="18"/>
  <c r="BS36" i="21"/>
  <c r="EK23" i="18"/>
  <c r="BS40" i="21"/>
  <c r="EK27" i="18"/>
  <c r="BS44" i="21"/>
  <c r="EM17" i="18"/>
  <c r="BT34" i="21"/>
  <c r="EM21" i="18"/>
  <c r="BT38" i="21"/>
  <c r="EM25" i="18"/>
  <c r="BT42" i="21"/>
  <c r="EO15" i="18"/>
  <c r="BU32" i="21"/>
  <c r="EO19" i="18"/>
  <c r="BU36" i="21"/>
  <c r="EO23" i="18"/>
  <c r="BU40" i="21"/>
  <c r="EO27" i="18"/>
  <c r="BU44" i="21"/>
  <c r="EQ17" i="18"/>
  <c r="BV34" i="21"/>
  <c r="EQ21" i="18"/>
  <c r="BV38" i="21"/>
  <c r="EQ25" i="18"/>
  <c r="BV42" i="21"/>
  <c r="BW32" i="21"/>
  <c r="BW36" i="21"/>
  <c r="BW40" i="21"/>
  <c r="BW44" i="21"/>
  <c r="BX34" i="21"/>
  <c r="BX38" i="21"/>
  <c r="BX42" i="21"/>
  <c r="BY32" i="21"/>
  <c r="BY36" i="21"/>
  <c r="BY40" i="21"/>
  <c r="BY44" i="21"/>
  <c r="EY13" i="18"/>
  <c r="BZ30" i="21" s="1"/>
  <c r="EY17" i="18"/>
  <c r="BZ34" i="21" s="1"/>
  <c r="EY21" i="18"/>
  <c r="BZ38" i="21" s="1"/>
  <c r="EY25" i="18"/>
  <c r="BZ42" i="21" s="1"/>
  <c r="G18" i="18"/>
  <c r="D35" i="21" s="1"/>
  <c r="I15" i="18"/>
  <c r="E32" i="21" s="1"/>
  <c r="I27" i="18"/>
  <c r="E44" i="21" s="1"/>
  <c r="K25" i="18"/>
  <c r="F42" i="21" s="1"/>
  <c r="M23" i="18"/>
  <c r="G40" i="21" s="1"/>
  <c r="O21" i="18"/>
  <c r="H38" i="21" s="1"/>
  <c r="U19" i="18"/>
  <c r="K36" i="21" s="1"/>
  <c r="U23" i="18"/>
  <c r="K40" i="21" s="1"/>
  <c r="U27" i="18"/>
  <c r="K44" i="21" s="1"/>
  <c r="W17" i="18"/>
  <c r="L34" i="21" s="1"/>
  <c r="W21" i="18"/>
  <c r="L38" i="21" s="1"/>
  <c r="W25" i="18"/>
  <c r="L42" i="21" s="1"/>
  <c r="Y15" i="18"/>
  <c r="M32" i="21" s="1"/>
  <c r="AO19" i="18"/>
  <c r="U36" i="21" s="1"/>
  <c r="AQ17" i="18"/>
  <c r="V34" i="21" s="1"/>
  <c r="AS15" i="18"/>
  <c r="W32" i="21" s="1"/>
  <c r="AW19" i="18"/>
  <c r="Y36" i="21" s="1"/>
  <c r="AW23" i="18"/>
  <c r="Y40" i="21" s="1"/>
  <c r="AW27" i="18"/>
  <c r="Y44" i="21" s="1"/>
  <c r="BC17" i="18"/>
  <c r="AB34" i="21" s="1"/>
  <c r="BC21" i="18"/>
  <c r="AB38" i="21" s="1"/>
  <c r="BC25" i="18"/>
  <c r="AB42" i="21" s="1"/>
  <c r="BE15" i="18"/>
  <c r="AC32" i="21" s="1"/>
  <c r="BE23" i="18"/>
  <c r="AC40" i="21" s="1"/>
  <c r="BM19" i="18"/>
  <c r="AG36" i="21" s="1"/>
  <c r="BM23" i="18"/>
  <c r="AG40" i="21" s="1"/>
  <c r="BM27" i="18"/>
  <c r="AG44" i="21" s="1"/>
  <c r="BU15" i="18"/>
  <c r="AK32" i="21" s="1"/>
  <c r="BU19" i="18"/>
  <c r="AK36" i="21" s="1"/>
  <c r="BU23" i="18"/>
  <c r="AK40" i="21" s="1"/>
  <c r="BU27" i="18"/>
  <c r="AK44" i="21" s="1"/>
  <c r="BW17" i="18"/>
  <c r="AL34" i="21" s="1"/>
  <c r="BW21" i="18"/>
  <c r="AL38" i="21" s="1"/>
  <c r="BW25" i="18"/>
  <c r="AL42" i="21" s="1"/>
  <c r="BY15" i="18"/>
  <c r="AM32" i="21" s="1"/>
  <c r="BY19" i="18"/>
  <c r="AM36" i="21" s="1"/>
  <c r="BY23" i="18"/>
  <c r="AM40" i="21" s="1"/>
  <c r="BY27" i="18"/>
  <c r="AM44" i="21" s="1"/>
  <c r="CC15" i="18"/>
  <c r="AO32" i="21" s="1"/>
  <c r="CC19" i="18"/>
  <c r="AO36" i="21" s="1"/>
  <c r="CC23" i="18"/>
  <c r="AO40" i="21" s="1"/>
  <c r="CC27" i="18"/>
  <c r="AO44" i="21" s="1"/>
  <c r="CE17" i="18"/>
  <c r="AP34" i="21" s="1"/>
  <c r="CE21" i="18"/>
  <c r="AP38" i="21" s="1"/>
  <c r="CE25" i="18"/>
  <c r="AP42" i="21" s="1"/>
  <c r="CG23" i="18"/>
  <c r="AQ40" i="21" s="1"/>
  <c r="C33" i="21"/>
  <c r="C37" i="21"/>
  <c r="C41" i="21"/>
  <c r="C45" i="21"/>
  <c r="G15" i="18"/>
  <c r="D32" i="21" s="1"/>
  <c r="G19" i="18"/>
  <c r="D36" i="21" s="1"/>
  <c r="G23" i="18"/>
  <c r="D40" i="21" s="1"/>
  <c r="G27" i="18"/>
  <c r="D44" i="21" s="1"/>
  <c r="I16" i="18"/>
  <c r="E33" i="21" s="1"/>
  <c r="I20" i="18"/>
  <c r="E37" i="21" s="1"/>
  <c r="I24" i="18"/>
  <c r="E41" i="21" s="1"/>
  <c r="I28" i="18"/>
  <c r="E45" i="21" s="1"/>
  <c r="K14" i="18"/>
  <c r="F31" i="21" s="1"/>
  <c r="K18" i="18"/>
  <c r="F35" i="21" s="1"/>
  <c r="K22" i="18"/>
  <c r="F39" i="21" s="1"/>
  <c r="K26" i="18"/>
  <c r="F43" i="21" s="1"/>
  <c r="M16" i="18"/>
  <c r="G33" i="21" s="1"/>
  <c r="M20" i="18"/>
  <c r="G37" i="21" s="1"/>
  <c r="M24" i="18"/>
  <c r="G41" i="21" s="1"/>
  <c r="M28" i="18"/>
  <c r="G45" i="21" s="1"/>
  <c r="O14" i="18"/>
  <c r="H31" i="21" s="1"/>
  <c r="O18" i="18"/>
  <c r="H35" i="21" s="1"/>
  <c r="O22" i="18"/>
  <c r="H39" i="21" s="1"/>
  <c r="O26" i="18"/>
  <c r="H43" i="21" s="1"/>
  <c r="Q16" i="18"/>
  <c r="I33" i="21" s="1"/>
  <c r="Q20" i="18"/>
  <c r="I37" i="21" s="1"/>
  <c r="Q24" i="18"/>
  <c r="I41" i="21" s="1"/>
  <c r="Q28" i="18"/>
  <c r="I45" i="21" s="1"/>
  <c r="S14" i="18"/>
  <c r="J31" i="21" s="1"/>
  <c r="S18" i="18"/>
  <c r="J35" i="21" s="1"/>
  <c r="S22" i="18"/>
  <c r="J39" i="21" s="1"/>
  <c r="S26" i="18"/>
  <c r="J43" i="21" s="1"/>
  <c r="U16" i="18"/>
  <c r="K33" i="21" s="1"/>
  <c r="U20" i="18"/>
  <c r="K37" i="21" s="1"/>
  <c r="U24" i="18"/>
  <c r="K41" i="21" s="1"/>
  <c r="U28" i="18"/>
  <c r="K45" i="21" s="1"/>
  <c r="W14" i="18"/>
  <c r="L31" i="21" s="1"/>
  <c r="W18" i="18"/>
  <c r="L35" i="21" s="1"/>
  <c r="W22" i="18"/>
  <c r="L39" i="21" s="1"/>
  <c r="W26" i="18"/>
  <c r="L43" i="21" s="1"/>
  <c r="Y16" i="18"/>
  <c r="M33" i="21" s="1"/>
  <c r="Y20" i="18"/>
  <c r="M37" i="21" s="1"/>
  <c r="Y24" i="18"/>
  <c r="M41" i="21" s="1"/>
  <c r="Y28" i="18"/>
  <c r="M45" i="21" s="1"/>
  <c r="AA14" i="18"/>
  <c r="N31" i="21" s="1"/>
  <c r="AA18" i="18"/>
  <c r="N35" i="21" s="1"/>
  <c r="AA22" i="18"/>
  <c r="N39" i="21" s="1"/>
  <c r="AA26" i="18"/>
  <c r="N43" i="21" s="1"/>
  <c r="AC16" i="18"/>
  <c r="O33" i="21" s="1"/>
  <c r="AC20" i="18"/>
  <c r="O37" i="21" s="1"/>
  <c r="AC24" i="18"/>
  <c r="O41" i="21" s="1"/>
  <c r="AC28" i="18"/>
  <c r="O45" i="21" s="1"/>
  <c r="AE14" i="18"/>
  <c r="P31" i="21" s="1"/>
  <c r="AE18" i="18"/>
  <c r="P35" i="21" s="1"/>
  <c r="AE22" i="18"/>
  <c r="P39" i="21" s="1"/>
  <c r="AE26" i="18"/>
  <c r="P43" i="21" s="1"/>
  <c r="AG16" i="18"/>
  <c r="Q33" i="21" s="1"/>
  <c r="AG20" i="18"/>
  <c r="Q37" i="21" s="1"/>
  <c r="AG24" i="18"/>
  <c r="Q41" i="21" s="1"/>
  <c r="AG28" i="18"/>
  <c r="Q45" i="21" s="1"/>
  <c r="AI14" i="18"/>
  <c r="R31" i="21" s="1"/>
  <c r="AI18" i="18"/>
  <c r="R35" i="21" s="1"/>
  <c r="AI22" i="18"/>
  <c r="R39" i="21" s="1"/>
  <c r="AI26" i="18"/>
  <c r="R43" i="21" s="1"/>
  <c r="AK16" i="18"/>
  <c r="S33" i="21" s="1"/>
  <c r="AK20" i="18"/>
  <c r="S37" i="21" s="1"/>
  <c r="AK24" i="18"/>
  <c r="S41" i="21" s="1"/>
  <c r="AK28" i="18"/>
  <c r="S45" i="21" s="1"/>
  <c r="AM14" i="18"/>
  <c r="T31" i="21" s="1"/>
  <c r="AM18" i="18"/>
  <c r="T35" i="21" s="1"/>
  <c r="AM22" i="18"/>
  <c r="T39" i="21" s="1"/>
  <c r="AM26" i="18"/>
  <c r="T43" i="21" s="1"/>
  <c r="AO16" i="18"/>
  <c r="U33" i="21"/>
  <c r="AO20" i="18"/>
  <c r="U37" i="21" s="1"/>
  <c r="AO24" i="18"/>
  <c r="U41" i="21" s="1"/>
  <c r="AO28" i="18"/>
  <c r="U45" i="21" s="1"/>
  <c r="AQ14" i="18"/>
  <c r="V31" i="21"/>
  <c r="AQ18" i="18"/>
  <c r="V35" i="21" s="1"/>
  <c r="AQ22" i="18"/>
  <c r="V39" i="21" s="1"/>
  <c r="AQ26" i="18"/>
  <c r="V43" i="21" s="1"/>
  <c r="AS16" i="18"/>
  <c r="W33" i="21"/>
  <c r="AS20" i="18"/>
  <c r="W37" i="21" s="1"/>
  <c r="AS24" i="18"/>
  <c r="W41" i="21" s="1"/>
  <c r="AS28" i="18"/>
  <c r="W45" i="21" s="1"/>
  <c r="AU14" i="18"/>
  <c r="X31" i="21"/>
  <c r="AU18" i="18"/>
  <c r="X35" i="21" s="1"/>
  <c r="AU22" i="18"/>
  <c r="X39" i="21" s="1"/>
  <c r="AU26" i="18"/>
  <c r="X43" i="21" s="1"/>
  <c r="AW16" i="18"/>
  <c r="Y33" i="21"/>
  <c r="AW20" i="18"/>
  <c r="Y37" i="21" s="1"/>
  <c r="AW24" i="18"/>
  <c r="Y41" i="21" s="1"/>
  <c r="AW28" i="18"/>
  <c r="Y45" i="21" s="1"/>
  <c r="AY14" i="18"/>
  <c r="Z31" i="21"/>
  <c r="AY18" i="18"/>
  <c r="Z35" i="21" s="1"/>
  <c r="AY22" i="18"/>
  <c r="Z39" i="21" s="1"/>
  <c r="AY26" i="18"/>
  <c r="Z43" i="21" s="1"/>
  <c r="BA16" i="18"/>
  <c r="AA33" i="21"/>
  <c r="BA20" i="18"/>
  <c r="AA37" i="21" s="1"/>
  <c r="BA24" i="18"/>
  <c r="AA41" i="21" s="1"/>
  <c r="BA28" i="18"/>
  <c r="AA45" i="21" s="1"/>
  <c r="BC14" i="18"/>
  <c r="AB31" i="21"/>
  <c r="BC18" i="18"/>
  <c r="AB35" i="21" s="1"/>
  <c r="BC22" i="18"/>
  <c r="AB39" i="21" s="1"/>
  <c r="BC26" i="18"/>
  <c r="AB43" i="21" s="1"/>
  <c r="BE16" i="18"/>
  <c r="AC33" i="21"/>
  <c r="BE20" i="18"/>
  <c r="AC37" i="21" s="1"/>
  <c r="BE24" i="18"/>
  <c r="AC41" i="21" s="1"/>
  <c r="BE28" i="18"/>
  <c r="AC45" i="21" s="1"/>
  <c r="BG14" i="18"/>
  <c r="AD31" i="21"/>
  <c r="BG18" i="18"/>
  <c r="AD35" i="21" s="1"/>
  <c r="BG22" i="18"/>
  <c r="AD39" i="21" s="1"/>
  <c r="BG26" i="18"/>
  <c r="AD43" i="21" s="1"/>
  <c r="BI16" i="18"/>
  <c r="AE33" i="21"/>
  <c r="BI20" i="18"/>
  <c r="AE37" i="21" s="1"/>
  <c r="BI24" i="18"/>
  <c r="AE41" i="21" s="1"/>
  <c r="BI28" i="18"/>
  <c r="AE45" i="21" s="1"/>
  <c r="BK14" i="18"/>
  <c r="AF31" i="21"/>
  <c r="BK18" i="18"/>
  <c r="AF35" i="21" s="1"/>
  <c r="BK22" i="18"/>
  <c r="AF39" i="21" s="1"/>
  <c r="BK26" i="18"/>
  <c r="AF43" i="21" s="1"/>
  <c r="BM16" i="18"/>
  <c r="AG33" i="21"/>
  <c r="BM20" i="18"/>
  <c r="AG37" i="21" s="1"/>
  <c r="BM24" i="18"/>
  <c r="AG41" i="21" s="1"/>
  <c r="BM28" i="18"/>
  <c r="AG45" i="21" s="1"/>
  <c r="BO14" i="18"/>
  <c r="AH31" i="21"/>
  <c r="BO18" i="18"/>
  <c r="AH35" i="21" s="1"/>
  <c r="BO22" i="18"/>
  <c r="AH39" i="21" s="1"/>
  <c r="BO26" i="18"/>
  <c r="AH43" i="21" s="1"/>
  <c r="BQ16" i="18"/>
  <c r="AI33" i="21"/>
  <c r="BQ20" i="18"/>
  <c r="AI37" i="21" s="1"/>
  <c r="BQ24" i="18"/>
  <c r="AI41" i="21" s="1"/>
  <c r="BQ28" i="18"/>
  <c r="AI45" i="21" s="1"/>
  <c r="BS14" i="18"/>
  <c r="AJ31" i="21"/>
  <c r="BS18" i="18"/>
  <c r="AJ35" i="21" s="1"/>
  <c r="BS22" i="18"/>
  <c r="AJ39" i="21" s="1"/>
  <c r="BS26" i="18"/>
  <c r="AJ43" i="21" s="1"/>
  <c r="BU16" i="18"/>
  <c r="AK33" i="21"/>
  <c r="BU20" i="18"/>
  <c r="AK37" i="21" s="1"/>
  <c r="BU24" i="18"/>
  <c r="AK41" i="21" s="1"/>
  <c r="BU28" i="18"/>
  <c r="AK45" i="21" s="1"/>
  <c r="BW14" i="18"/>
  <c r="AL31" i="21"/>
  <c r="BW18" i="18"/>
  <c r="AL35" i="21" s="1"/>
  <c r="BW22" i="18"/>
  <c r="AL39" i="21" s="1"/>
  <c r="BW26" i="18"/>
  <c r="AL43" i="21" s="1"/>
  <c r="BY16" i="18"/>
  <c r="AM33" i="21"/>
  <c r="BY20" i="18"/>
  <c r="AM37" i="21" s="1"/>
  <c r="BY24" i="18"/>
  <c r="AM41" i="21" s="1"/>
  <c r="BY28" i="18"/>
  <c r="AM45" i="21" s="1"/>
  <c r="CA14" i="18"/>
  <c r="AN31" i="21"/>
  <c r="CA18" i="18"/>
  <c r="AN35" i="21" s="1"/>
  <c r="CA22" i="18"/>
  <c r="AN39" i="21" s="1"/>
  <c r="CA26" i="18"/>
  <c r="AN43" i="21" s="1"/>
  <c r="CC16" i="18"/>
  <c r="AO33" i="21"/>
  <c r="CC20" i="18"/>
  <c r="AO37" i="21" s="1"/>
  <c r="CC24" i="18"/>
  <c r="AO41" i="21" s="1"/>
  <c r="CC28" i="18"/>
  <c r="AO45" i="21" s="1"/>
  <c r="CE14" i="18"/>
  <c r="AP31" i="21"/>
  <c r="CE18" i="18"/>
  <c r="AP35" i="21" s="1"/>
  <c r="CE22" i="18"/>
  <c r="AP39" i="21" s="1"/>
  <c r="CE26" i="18"/>
  <c r="AP43" i="21" s="1"/>
  <c r="CG16" i="18"/>
  <c r="AQ33" i="21"/>
  <c r="CG20" i="18"/>
  <c r="AQ37" i="21" s="1"/>
  <c r="CG24" i="18"/>
  <c r="AQ41" i="21" s="1"/>
  <c r="CG28" i="18"/>
  <c r="AQ45" i="21" s="1"/>
  <c r="CI14" i="18"/>
  <c r="AR31" i="21"/>
  <c r="CI18" i="18"/>
  <c r="AR35" i="21" s="1"/>
  <c r="CI22" i="18"/>
  <c r="AR39" i="21" s="1"/>
  <c r="CI26" i="18"/>
  <c r="AR43" i="21" s="1"/>
  <c r="CK16" i="18"/>
  <c r="AS33" i="21"/>
  <c r="CK20" i="18"/>
  <c r="AS37" i="21" s="1"/>
  <c r="CK24" i="18"/>
  <c r="AS41" i="21" s="1"/>
  <c r="CK28" i="18"/>
  <c r="AS45" i="21" s="1"/>
  <c r="CM14" i="18"/>
  <c r="AT31" i="21"/>
  <c r="CM18" i="18"/>
  <c r="AT35" i="21" s="1"/>
  <c r="CM22" i="18"/>
  <c r="AT39" i="21" s="1"/>
  <c r="CM26" i="18"/>
  <c r="AT43" i="21" s="1"/>
  <c r="CO16" i="18"/>
  <c r="AU33" i="21"/>
  <c r="CO20" i="18"/>
  <c r="AU37" i="21" s="1"/>
  <c r="CO24" i="18"/>
  <c r="AU41" i="21" s="1"/>
  <c r="CO28" i="18"/>
  <c r="AU45" i="21" s="1"/>
  <c r="CQ14" i="18"/>
  <c r="AV31" i="21"/>
  <c r="CQ18" i="18"/>
  <c r="AV35" i="21" s="1"/>
  <c r="CQ22" i="18"/>
  <c r="AV39" i="21" s="1"/>
  <c r="CQ26" i="18"/>
  <c r="AV43" i="21" s="1"/>
  <c r="CS16" i="18"/>
  <c r="AW33" i="21"/>
  <c r="CS20" i="18"/>
  <c r="AW37" i="21" s="1"/>
  <c r="CS24" i="18"/>
  <c r="AW41" i="21" s="1"/>
  <c r="CS28" i="18"/>
  <c r="AW45" i="21" s="1"/>
  <c r="CU14" i="18"/>
  <c r="AX31" i="21"/>
  <c r="CU18" i="18"/>
  <c r="AX35" i="21" s="1"/>
  <c r="CU22" i="18"/>
  <c r="AX39" i="21" s="1"/>
  <c r="CU26" i="18"/>
  <c r="AX43" i="21" s="1"/>
  <c r="CW16" i="18"/>
  <c r="AY33" i="21"/>
  <c r="CW20" i="18"/>
  <c r="AY37" i="21" s="1"/>
  <c r="CW24" i="18"/>
  <c r="AY41" i="21" s="1"/>
  <c r="CW28" i="18"/>
  <c r="AY45" i="21" s="1"/>
  <c r="CY14" i="18"/>
  <c r="AZ31" i="21"/>
  <c r="CY18" i="18"/>
  <c r="AZ35" i="21" s="1"/>
  <c r="CY22" i="18"/>
  <c r="AZ39" i="21" s="1"/>
  <c r="CY26" i="18"/>
  <c r="AZ43" i="21" s="1"/>
  <c r="DA16" i="18"/>
  <c r="BA33" i="21"/>
  <c r="DA20" i="18"/>
  <c r="BA37" i="21" s="1"/>
  <c r="DA24" i="18"/>
  <c r="BA41" i="21" s="1"/>
  <c r="DA28" i="18"/>
  <c r="BA45" i="21" s="1"/>
  <c r="DC14" i="18"/>
  <c r="BB31" i="21"/>
  <c r="DC18" i="18"/>
  <c r="BB35" i="21" s="1"/>
  <c r="DC22" i="18"/>
  <c r="BB39" i="21" s="1"/>
  <c r="DC26" i="18"/>
  <c r="BB43" i="21" s="1"/>
  <c r="DE16" i="18"/>
  <c r="BC33" i="21"/>
  <c r="DE20" i="18"/>
  <c r="BC37" i="21" s="1"/>
  <c r="DE24" i="18"/>
  <c r="BC41" i="21" s="1"/>
  <c r="DE28" i="18"/>
  <c r="BC45" i="21" s="1"/>
  <c r="DG14" i="18"/>
  <c r="BD31" i="21"/>
  <c r="DG18" i="18"/>
  <c r="BD35" i="21" s="1"/>
  <c r="DG22" i="18"/>
  <c r="BD39" i="21" s="1"/>
  <c r="DG26" i="18"/>
  <c r="BD43" i="21" s="1"/>
  <c r="DI16" i="18"/>
  <c r="BE33" i="21"/>
  <c r="DI20" i="18"/>
  <c r="BE37" i="21" s="1"/>
  <c r="DI24" i="18"/>
  <c r="BE41" i="21" s="1"/>
  <c r="DI28" i="18"/>
  <c r="BE45" i="21" s="1"/>
  <c r="DK14" i="18"/>
  <c r="BF31" i="21"/>
  <c r="DK18" i="18"/>
  <c r="BF35" i="21" s="1"/>
  <c r="DK22" i="18"/>
  <c r="BF39" i="21" s="1"/>
  <c r="DK26" i="18"/>
  <c r="BF43" i="21" s="1"/>
  <c r="DM16" i="18"/>
  <c r="BG33" i="21" s="1"/>
  <c r="DM20" i="18"/>
  <c r="BG37" i="21" s="1"/>
  <c r="DM24" i="18"/>
  <c r="BG41" i="21" s="1"/>
  <c r="DM28" i="18"/>
  <c r="BG45" i="21" s="1"/>
  <c r="DO14" i="18"/>
  <c r="BH31" i="21" s="1"/>
  <c r="DO18" i="18"/>
  <c r="BH35" i="21" s="1"/>
  <c r="DO22" i="18"/>
  <c r="BH39" i="21" s="1"/>
  <c r="DO26" i="18"/>
  <c r="BH43" i="21" s="1"/>
  <c r="DQ16" i="18"/>
  <c r="BI33" i="21" s="1"/>
  <c r="DQ20" i="18"/>
  <c r="BI37" i="21" s="1"/>
  <c r="DQ24" i="18"/>
  <c r="BI41" i="21" s="1"/>
  <c r="DQ28" i="18"/>
  <c r="BI45" i="21" s="1"/>
  <c r="DS14" i="18"/>
  <c r="BJ31" i="21" s="1"/>
  <c r="DS18" i="18"/>
  <c r="BJ35" i="21" s="1"/>
  <c r="DS22" i="18"/>
  <c r="BJ39" i="21" s="1"/>
  <c r="DS26" i="18"/>
  <c r="BJ43" i="21" s="1"/>
  <c r="DU16" i="18"/>
  <c r="BK33" i="21" s="1"/>
  <c r="DU20" i="18"/>
  <c r="BK37" i="21" s="1"/>
  <c r="DU24" i="18"/>
  <c r="BK41" i="21" s="1"/>
  <c r="DU28" i="18"/>
  <c r="BK45" i="21" s="1"/>
  <c r="DW14" i="18"/>
  <c r="BL31" i="21" s="1"/>
  <c r="DW18" i="18"/>
  <c r="BL35" i="21" s="1"/>
  <c r="DW22" i="18"/>
  <c r="BL39" i="21" s="1"/>
  <c r="DW26" i="18"/>
  <c r="BL43" i="21" s="1"/>
  <c r="DY16" i="18"/>
  <c r="BM33" i="21" s="1"/>
  <c r="DY20" i="18"/>
  <c r="BM37" i="21" s="1"/>
  <c r="DY24" i="18"/>
  <c r="BM41" i="21" s="1"/>
  <c r="DY28" i="18"/>
  <c r="BM45" i="21" s="1"/>
  <c r="EA14" i="18"/>
  <c r="BN31" i="21" s="1"/>
  <c r="EA18" i="18"/>
  <c r="BN35" i="21" s="1"/>
  <c r="EA22" i="18"/>
  <c r="BN39" i="21" s="1"/>
  <c r="EA26" i="18"/>
  <c r="BN43" i="21" s="1"/>
  <c r="EC16" i="18"/>
  <c r="BO33" i="21" s="1"/>
  <c r="EC20" i="18"/>
  <c r="BO37" i="21" s="1"/>
  <c r="EC24" i="18"/>
  <c r="BO41" i="21" s="1"/>
  <c r="EC28" i="18"/>
  <c r="BO45" i="21" s="1"/>
  <c r="EE14" i="18"/>
  <c r="BP31" i="21" s="1"/>
  <c r="EE18" i="18"/>
  <c r="BP35" i="21" s="1"/>
  <c r="EE22" i="18"/>
  <c r="BP39" i="21" s="1"/>
  <c r="EE26" i="18"/>
  <c r="BP43" i="21" s="1"/>
  <c r="EG16" i="18"/>
  <c r="BQ33" i="21" s="1"/>
  <c r="EG20" i="18"/>
  <c r="BQ37" i="21" s="1"/>
  <c r="EG24" i="18"/>
  <c r="BQ41" i="21" s="1"/>
  <c r="EG28" i="18"/>
  <c r="BQ45" i="21" s="1"/>
  <c r="EI14" i="18"/>
  <c r="BR31" i="21" s="1"/>
  <c r="EI18" i="18"/>
  <c r="BR35" i="21" s="1"/>
  <c r="EI22" i="18"/>
  <c r="BR39" i="21" s="1"/>
  <c r="EI26" i="18"/>
  <c r="BR43" i="21" s="1"/>
  <c r="EK16" i="18"/>
  <c r="BS33" i="21" s="1"/>
  <c r="EK20" i="18"/>
  <c r="BS37" i="21" s="1"/>
  <c r="EK24" i="18"/>
  <c r="BS41" i="21" s="1"/>
  <c r="EK28" i="18"/>
  <c r="BS45" i="21" s="1"/>
  <c r="EM14" i="18"/>
  <c r="BT31" i="21" s="1"/>
  <c r="EM18" i="18"/>
  <c r="BT35" i="21" s="1"/>
  <c r="EM22" i="18"/>
  <c r="BT39" i="21" s="1"/>
  <c r="EM26" i="18"/>
  <c r="BT43" i="21" s="1"/>
  <c r="EO16" i="18"/>
  <c r="BU33" i="21" s="1"/>
  <c r="EO20" i="18"/>
  <c r="BU37" i="21" s="1"/>
  <c r="EO24" i="18"/>
  <c r="BU41" i="21" s="1"/>
  <c r="EO28" i="18"/>
  <c r="BU45" i="21" s="1"/>
  <c r="EQ14" i="18"/>
  <c r="BV31" i="21" s="1"/>
  <c r="EQ18" i="18"/>
  <c r="BV35" i="21" s="1"/>
  <c r="EQ22" i="18"/>
  <c r="BV39" i="21" s="1"/>
  <c r="EQ26" i="18"/>
  <c r="BV43" i="21" s="1"/>
  <c r="BW33" i="21"/>
  <c r="BW37" i="21"/>
  <c r="BW41" i="21"/>
  <c r="BW45" i="21"/>
  <c r="BX31" i="21"/>
  <c r="BX35" i="21"/>
  <c r="BX39" i="21"/>
  <c r="BX43" i="21"/>
  <c r="BY33" i="21"/>
  <c r="BY37" i="21"/>
  <c r="BY41" i="21"/>
  <c r="BY45" i="21"/>
  <c r="EY6" i="18"/>
  <c r="BZ23" i="21" s="1"/>
  <c r="EY14" i="18"/>
  <c r="BZ31" i="21" s="1"/>
  <c r="EY18" i="18"/>
  <c r="BZ35" i="21" s="1"/>
  <c r="EY22" i="18"/>
  <c r="BZ39" i="21" s="1"/>
  <c r="EY26" i="18"/>
  <c r="BZ43" i="21" s="1"/>
  <c r="C36" i="21"/>
  <c r="G22" i="18"/>
  <c r="D39" i="21" s="1"/>
  <c r="I19" i="18"/>
  <c r="E36" i="21" s="1"/>
  <c r="K17" i="18"/>
  <c r="F34" i="21" s="1"/>
  <c r="M15" i="18"/>
  <c r="G32" i="21" s="1"/>
  <c r="M27" i="18"/>
  <c r="G44" i="21" s="1"/>
  <c r="Q15" i="18"/>
  <c r="I32" i="21" s="1"/>
  <c r="AK19" i="18"/>
  <c r="S36" i="21" s="1"/>
  <c r="AK23" i="18"/>
  <c r="S40" i="21" s="1"/>
  <c r="AK27" i="18"/>
  <c r="S44" i="21" s="1"/>
  <c r="AM17" i="18"/>
  <c r="T34" i="21" s="1"/>
  <c r="AM21" i="18"/>
  <c r="T38" i="21" s="1"/>
  <c r="AM25" i="18"/>
  <c r="T42" i="21" s="1"/>
  <c r="AO15" i="18"/>
  <c r="U32" i="21" s="1"/>
  <c r="AO27" i="18"/>
  <c r="U44" i="21" s="1"/>
  <c r="G16" i="18"/>
  <c r="D33" i="21" s="1"/>
  <c r="G24" i="18"/>
  <c r="D41" i="21" s="1"/>
  <c r="G28" i="18"/>
  <c r="D45" i="21" s="1"/>
  <c r="I17" i="18"/>
  <c r="E34" i="21" s="1"/>
  <c r="I21" i="18"/>
  <c r="E38" i="21" s="1"/>
  <c r="I25" i="18"/>
  <c r="E42" i="21" s="1"/>
  <c r="K15" i="18"/>
  <c r="F32" i="21" s="1"/>
  <c r="O19" i="18"/>
  <c r="H36" i="21" s="1"/>
  <c r="O23" i="18"/>
  <c r="H40" i="21" s="1"/>
  <c r="O27" i="18"/>
  <c r="H44" i="21" s="1"/>
  <c r="S19" i="18"/>
  <c r="J36" i="21" s="1"/>
  <c r="S23" i="18"/>
  <c r="J40" i="21" s="1"/>
  <c r="S27" i="18"/>
  <c r="J44" i="21" s="1"/>
  <c r="U17" i="18"/>
  <c r="K34" i="21" s="1"/>
  <c r="AI19" i="18"/>
  <c r="R36" i="21" s="1"/>
  <c r="AI23" i="18"/>
  <c r="R40" i="21" s="1"/>
  <c r="AI27" i="18"/>
  <c r="R44" i="21" s="1"/>
  <c r="AK17" i="18"/>
  <c r="S34" i="21" s="1"/>
  <c r="AM19" i="18"/>
  <c r="T36" i="21" s="1"/>
  <c r="AM23" i="18"/>
  <c r="T40" i="21" s="1"/>
  <c r="AM27" i="18"/>
  <c r="T44" i="21" s="1"/>
  <c r="AO17" i="18"/>
  <c r="U34" i="21" s="1"/>
  <c r="AO21" i="18"/>
  <c r="U38" i="21" s="1"/>
  <c r="AO25" i="18"/>
  <c r="U42" i="21" s="1"/>
  <c r="AQ15" i="18"/>
  <c r="V32" i="21" s="1"/>
  <c r="AQ19" i="18"/>
  <c r="V36" i="21" s="1"/>
  <c r="AQ23" i="18"/>
  <c r="V40" i="21" s="1"/>
  <c r="AQ27" i="18"/>
  <c r="V44" i="21" s="1"/>
  <c r="AS17" i="18"/>
  <c r="W34" i="21" s="1"/>
  <c r="AS21" i="18"/>
  <c r="W38" i="21" s="1"/>
  <c r="AS25" i="18"/>
  <c r="W42" i="21" s="1"/>
  <c r="AU15" i="18"/>
  <c r="X32" i="21" s="1"/>
  <c r="AU19" i="18"/>
  <c r="X36" i="21" s="1"/>
  <c r="AU23" i="18"/>
  <c r="X40" i="21" s="1"/>
  <c r="AU27" i="18"/>
  <c r="X44" i="21" s="1"/>
  <c r="AW17" i="18"/>
  <c r="Y34" i="21" s="1"/>
  <c r="AW21" i="18"/>
  <c r="Y38" i="21" s="1"/>
  <c r="AW25" i="18"/>
  <c r="Y42" i="21" s="1"/>
  <c r="AY15" i="18"/>
  <c r="Z32" i="21" s="1"/>
  <c r="AY23" i="18"/>
  <c r="Z40" i="21" s="1"/>
  <c r="BA17" i="18"/>
  <c r="AA34" i="21" s="1"/>
  <c r="BA21" i="18"/>
  <c r="AA38" i="21" s="1"/>
  <c r="BA25" i="18"/>
  <c r="AA42" i="21" s="1"/>
  <c r="BC15" i="18"/>
  <c r="AB32" i="21" s="1"/>
  <c r="BC19" i="18"/>
  <c r="AB36" i="21" s="1"/>
  <c r="BC23" i="18"/>
  <c r="AB40" i="21" s="1"/>
  <c r="BC27" i="18"/>
  <c r="AB44" i="21" s="1"/>
  <c r="BE17" i="18"/>
  <c r="AC34" i="21" s="1"/>
  <c r="BE21" i="18"/>
  <c r="AC38" i="21" s="1"/>
  <c r="BE25" i="18"/>
  <c r="AC42" i="21" s="1"/>
  <c r="BG15" i="18"/>
  <c r="AD32" i="21" s="1"/>
  <c r="BG19" i="18"/>
  <c r="AD36" i="21" s="1"/>
  <c r="BG23" i="18"/>
  <c r="AD40" i="21" s="1"/>
  <c r="BG27" i="18"/>
  <c r="AD44" i="21" s="1"/>
  <c r="BI17" i="18"/>
  <c r="AE34" i="21" s="1"/>
  <c r="BI21" i="18"/>
  <c r="AE38" i="21" s="1"/>
  <c r="BI25" i="18"/>
  <c r="AE42" i="21" s="1"/>
  <c r="BK15" i="18"/>
  <c r="AF32" i="21" s="1"/>
  <c r="BK19" i="18"/>
  <c r="AF36" i="21" s="1"/>
  <c r="BK23" i="18"/>
  <c r="AF40" i="21" s="1"/>
  <c r="BK27" i="18"/>
  <c r="AF44" i="21" s="1"/>
  <c r="BM17" i="18"/>
  <c r="AG34" i="21" s="1"/>
  <c r="BM21" i="18"/>
  <c r="AG38" i="21" s="1"/>
  <c r="BM25" i="18"/>
  <c r="AG42" i="21" s="1"/>
  <c r="BO15" i="18"/>
  <c r="AH32" i="21" s="1"/>
  <c r="BO19" i="18"/>
  <c r="AH36" i="21" s="1"/>
  <c r="BO23" i="18"/>
  <c r="AH40" i="21" s="1"/>
  <c r="BO27" i="18"/>
  <c r="AH44" i="21" s="1"/>
  <c r="BQ17" i="18"/>
  <c r="AI34" i="21" s="1"/>
  <c r="BQ21" i="18"/>
  <c r="AI38" i="21" s="1"/>
  <c r="BQ25" i="18"/>
  <c r="AI42" i="21" s="1"/>
  <c r="BS15" i="18"/>
  <c r="AJ32" i="21" s="1"/>
  <c r="BS19" i="18"/>
  <c r="AJ36" i="21" s="1"/>
  <c r="BS23" i="18"/>
  <c r="AJ40" i="21" s="1"/>
  <c r="BS27" i="18"/>
  <c r="AJ44" i="21" s="1"/>
  <c r="BU17" i="18"/>
  <c r="AK34" i="21" s="1"/>
  <c r="BU21" i="18"/>
  <c r="AK38" i="21" s="1"/>
  <c r="BU25" i="18"/>
  <c r="AK42" i="21" s="1"/>
  <c r="BW15" i="18"/>
  <c r="AL32" i="21" s="1"/>
  <c r="BW19" i="18"/>
  <c r="AL36" i="21" s="1"/>
  <c r="BW23" i="18"/>
  <c r="AL40" i="21" s="1"/>
  <c r="BW27" i="18"/>
  <c r="AL44" i="21" s="1"/>
  <c r="BY17" i="18"/>
  <c r="AM34" i="21" s="1"/>
  <c r="BY21" i="18"/>
  <c r="AM38" i="21" s="1"/>
  <c r="BY25" i="18"/>
  <c r="AM42" i="21" s="1"/>
  <c r="CA15" i="18"/>
  <c r="AN32" i="21" s="1"/>
  <c r="CA19" i="18"/>
  <c r="AN36" i="21" s="1"/>
  <c r="CA23" i="18"/>
  <c r="AN40" i="21" s="1"/>
  <c r="CA27" i="18"/>
  <c r="AN44" i="21" s="1"/>
  <c r="CC17" i="18"/>
  <c r="AO34" i="21" s="1"/>
  <c r="CC21" i="18"/>
  <c r="AO38" i="21" s="1"/>
  <c r="CC25" i="18"/>
  <c r="AO42" i="21" s="1"/>
  <c r="CE15" i="18"/>
  <c r="AP32" i="21" s="1"/>
  <c r="CE19" i="18"/>
  <c r="AP36" i="21" s="1"/>
  <c r="CE23" i="18"/>
  <c r="AP40" i="21" s="1"/>
  <c r="CE27" i="18"/>
  <c r="AP44" i="21" s="1"/>
  <c r="CG17" i="18"/>
  <c r="AQ34" i="21" s="1"/>
  <c r="CG21" i="18"/>
  <c r="AQ38" i="21" s="1"/>
  <c r="CG25" i="18"/>
  <c r="AQ42" i="21" s="1"/>
  <c r="CI15" i="18"/>
  <c r="AR32" i="21" s="1"/>
  <c r="CI19" i="18"/>
  <c r="AR36" i="21" s="1"/>
  <c r="CI23" i="18"/>
  <c r="AR40" i="21" s="1"/>
  <c r="CI27" i="18"/>
  <c r="AR44" i="21" s="1"/>
  <c r="CK17" i="18"/>
  <c r="AS34" i="21" s="1"/>
  <c r="CK21" i="18"/>
  <c r="AS38" i="21" s="1"/>
  <c r="CK25" i="18"/>
  <c r="AS42" i="21" s="1"/>
  <c r="CM15" i="18"/>
  <c r="AT32" i="21" s="1"/>
  <c r="CM19" i="18"/>
  <c r="AT36" i="21" s="1"/>
  <c r="CM23" i="18"/>
  <c r="AT40" i="21" s="1"/>
  <c r="CM27" i="18"/>
  <c r="AT44" i="21" s="1"/>
  <c r="CO17" i="18"/>
  <c r="AU34" i="21" s="1"/>
  <c r="CO21" i="18"/>
  <c r="AU38" i="21" s="1"/>
  <c r="CO25" i="18"/>
  <c r="AU42" i="21" s="1"/>
  <c r="CQ15" i="18"/>
  <c r="AV32" i="21" s="1"/>
  <c r="CQ19" i="18"/>
  <c r="AV36" i="21" s="1"/>
  <c r="CQ23" i="18"/>
  <c r="AV40" i="21" s="1"/>
  <c r="CQ27" i="18"/>
  <c r="AV44" i="21" s="1"/>
  <c r="CS17" i="18"/>
  <c r="AW34" i="21" s="1"/>
  <c r="CS21" i="18"/>
  <c r="AW38" i="21" s="1"/>
  <c r="CS25" i="18"/>
  <c r="AW42" i="21" s="1"/>
  <c r="CU15" i="18"/>
  <c r="AX32" i="21" s="1"/>
  <c r="CU19" i="18"/>
  <c r="AX36" i="21" s="1"/>
  <c r="CU23" i="18"/>
  <c r="AX40" i="21" s="1"/>
  <c r="CU27" i="18"/>
  <c r="AX44" i="21" s="1"/>
  <c r="CW17" i="18"/>
  <c r="AY34" i="21" s="1"/>
  <c r="CW21" i="18"/>
  <c r="AY38" i="21" s="1"/>
  <c r="CW25" i="18"/>
  <c r="AY42" i="21" s="1"/>
  <c r="CY15" i="18"/>
  <c r="AZ32" i="21" s="1"/>
  <c r="CY19" i="18"/>
  <c r="AZ36" i="21" s="1"/>
  <c r="CY23" i="18"/>
  <c r="AZ40" i="21" s="1"/>
  <c r="CY27" i="18"/>
  <c r="AZ44" i="21" s="1"/>
  <c r="DA17" i="18"/>
  <c r="BA34" i="21" s="1"/>
  <c r="DA21" i="18"/>
  <c r="BA38" i="21" s="1"/>
  <c r="DA25" i="18"/>
  <c r="BA42" i="21" s="1"/>
  <c r="DC15" i="18"/>
  <c r="BB32" i="21" s="1"/>
  <c r="DC19" i="18"/>
  <c r="BB36" i="21" s="1"/>
  <c r="DC23" i="18"/>
  <c r="BB40" i="21" s="1"/>
  <c r="DC27" i="18"/>
  <c r="BB44" i="21" s="1"/>
  <c r="DE17" i="18"/>
  <c r="BC34" i="21" s="1"/>
  <c r="DE21" i="18"/>
  <c r="BC38" i="21" s="1"/>
  <c r="DE25" i="18"/>
  <c r="BC42" i="21" s="1"/>
  <c r="DG15" i="18"/>
  <c r="BD32" i="21" s="1"/>
  <c r="DG19" i="18"/>
  <c r="BD36" i="21" s="1"/>
  <c r="DG23" i="18"/>
  <c r="BD40" i="21" s="1"/>
  <c r="DG27" i="18"/>
  <c r="BD44" i="21" s="1"/>
  <c r="DI17" i="18"/>
  <c r="BE34" i="21" s="1"/>
  <c r="DI21" i="18"/>
  <c r="BE38" i="21" s="1"/>
  <c r="DI25" i="18"/>
  <c r="BE42" i="21" s="1"/>
  <c r="DK15" i="18"/>
  <c r="BF32" i="21" s="1"/>
  <c r="DK19" i="18"/>
  <c r="BF36" i="21" s="1"/>
  <c r="DK23" i="18"/>
  <c r="BF40" i="21" s="1"/>
  <c r="DK27" i="18"/>
  <c r="BF44" i="21" s="1"/>
  <c r="DM17" i="18"/>
  <c r="BG34" i="21" s="1"/>
  <c r="DM21" i="18"/>
  <c r="BG38" i="21" s="1"/>
  <c r="DM25" i="18"/>
  <c r="BG42" i="21" s="1"/>
  <c r="DO15" i="18"/>
  <c r="BH32" i="21" s="1"/>
  <c r="DO19" i="18"/>
  <c r="BH36" i="21" s="1"/>
  <c r="DO23" i="18"/>
  <c r="BH40" i="21" s="1"/>
  <c r="DO27" i="18"/>
  <c r="BH44" i="21" s="1"/>
  <c r="DQ17" i="18"/>
  <c r="BI34" i="21" s="1"/>
  <c r="DQ21" i="18"/>
  <c r="BI38" i="21" s="1"/>
  <c r="DQ25" i="18"/>
  <c r="BI42" i="21" s="1"/>
  <c r="DS15" i="18"/>
  <c r="BJ32" i="21" s="1"/>
  <c r="DS19" i="18"/>
  <c r="BJ36" i="21" s="1"/>
  <c r="DS23" i="18"/>
  <c r="BJ40" i="21" s="1"/>
  <c r="DS27" i="18"/>
  <c r="BJ44" i="21" s="1"/>
  <c r="DU17" i="18"/>
  <c r="BK34" i="21" s="1"/>
  <c r="DU21" i="18"/>
  <c r="BK38" i="21" s="1"/>
  <c r="DU25" i="18"/>
  <c r="BK42" i="21" s="1"/>
  <c r="DW15" i="18"/>
  <c r="BL32" i="21" s="1"/>
  <c r="DW19" i="18"/>
  <c r="BL36" i="21" s="1"/>
  <c r="DW23" i="18"/>
  <c r="BL40" i="21" s="1"/>
  <c r="DW27" i="18"/>
  <c r="BL44" i="21" s="1"/>
  <c r="DY17" i="18"/>
  <c r="BM34" i="21" s="1"/>
  <c r="DY21" i="18"/>
  <c r="BM38" i="21" s="1"/>
  <c r="DY25" i="18"/>
  <c r="BM42" i="21" s="1"/>
  <c r="EA15" i="18"/>
  <c r="BN32" i="21" s="1"/>
  <c r="EA19" i="18"/>
  <c r="BN36" i="21" s="1"/>
  <c r="EA23" i="18"/>
  <c r="BN40" i="21" s="1"/>
  <c r="EA27" i="18"/>
  <c r="BN44" i="21" s="1"/>
  <c r="EC17" i="18"/>
  <c r="BO34" i="21" s="1"/>
  <c r="EC21" i="18"/>
  <c r="BO38" i="21" s="1"/>
  <c r="EC25" i="18"/>
  <c r="BO42" i="21" s="1"/>
  <c r="EE15" i="18"/>
  <c r="BP32" i="21" s="1"/>
  <c r="EE19" i="18"/>
  <c r="BP36" i="21" s="1"/>
  <c r="EE23" i="18"/>
  <c r="BP40" i="21" s="1"/>
  <c r="EE27" i="18"/>
  <c r="BP44" i="21" s="1"/>
  <c r="EG17" i="18"/>
  <c r="BQ34" i="21" s="1"/>
  <c r="EG21" i="18"/>
  <c r="BQ38" i="21" s="1"/>
  <c r="EG25" i="18"/>
  <c r="BQ42" i="21" s="1"/>
  <c r="EI15" i="18"/>
  <c r="BR32" i="21" s="1"/>
  <c r="EI19" i="18"/>
  <c r="BR36" i="21" s="1"/>
  <c r="EI23" i="18"/>
  <c r="BR40" i="21" s="1"/>
  <c r="EI27" i="18"/>
  <c r="BR44" i="21" s="1"/>
  <c r="EK17" i="18"/>
  <c r="BS34" i="21" s="1"/>
  <c r="EK21" i="18"/>
  <c r="BS38" i="21" s="1"/>
  <c r="EK25" i="18"/>
  <c r="BS42" i="21" s="1"/>
  <c r="EM15" i="18"/>
  <c r="BT32" i="21" s="1"/>
  <c r="EM19" i="18"/>
  <c r="BT36" i="21" s="1"/>
  <c r="EM23" i="18"/>
  <c r="BT40" i="21" s="1"/>
  <c r="EM27" i="18"/>
  <c r="BT44" i="21" s="1"/>
  <c r="EO17" i="18"/>
  <c r="BU34" i="21" s="1"/>
  <c r="EO21" i="18"/>
  <c r="BU38" i="21" s="1"/>
  <c r="EO25" i="18"/>
  <c r="BU42" i="21" s="1"/>
  <c r="EQ15" i="18"/>
  <c r="BV32" i="21" s="1"/>
  <c r="EQ19" i="18"/>
  <c r="BV36" i="21" s="1"/>
  <c r="EQ23" i="18"/>
  <c r="BV40" i="21" s="1"/>
  <c r="EQ27" i="18"/>
  <c r="BV44" i="21" s="1"/>
  <c r="BW34" i="21"/>
  <c r="BW38" i="21"/>
  <c r="BW42" i="21"/>
  <c r="BX32" i="21"/>
  <c r="BX36" i="21"/>
  <c r="BX40" i="21"/>
  <c r="BX44" i="21"/>
  <c r="BY34" i="21"/>
  <c r="BY38" i="21"/>
  <c r="BY42" i="21"/>
  <c r="EY7" i="18"/>
  <c r="BZ24" i="21" s="1"/>
  <c r="EY11" i="18"/>
  <c r="BZ28" i="21" s="1"/>
  <c r="EY15" i="18"/>
  <c r="BZ32" i="21" s="1"/>
  <c r="EY19" i="18"/>
  <c r="BZ36" i="21" s="1"/>
  <c r="EY23" i="18"/>
  <c r="BZ40" i="21" s="1"/>
  <c r="EY27" i="18"/>
  <c r="BZ44" i="21" s="1"/>
  <c r="CO3" i="18"/>
  <c r="AU20" i="21" s="1"/>
  <c r="CQ5" i="18"/>
  <c r="AV22" i="21" s="1"/>
  <c r="CS3" i="18"/>
  <c r="AW20" i="21" s="1"/>
  <c r="CU5" i="18"/>
  <c r="AX22" i="21" s="1"/>
  <c r="CW3" i="18"/>
  <c r="AY20" i="21" s="1"/>
  <c r="CY5" i="18"/>
  <c r="AZ22" i="21" s="1"/>
  <c r="DA3" i="18"/>
  <c r="BA20" i="21" s="1"/>
  <c r="DC5" i="18"/>
  <c r="BB22" i="21" s="1"/>
  <c r="DE3" i="18"/>
  <c r="BC20" i="21" s="1"/>
  <c r="DG5" i="18"/>
  <c r="BD22" i="21" s="1"/>
  <c r="DI3" i="18"/>
  <c r="BE20" i="21" s="1"/>
  <c r="DK5" i="18"/>
  <c r="BF22" i="21" s="1"/>
  <c r="DM3" i="18"/>
  <c r="BG20" i="21" s="1"/>
  <c r="DO12" i="18"/>
  <c r="BH29" i="21" s="1"/>
  <c r="DQ6" i="18"/>
  <c r="BI23" i="21" s="1"/>
  <c r="DS4" i="18"/>
  <c r="BJ21" i="21" s="1"/>
  <c r="DU6" i="18"/>
  <c r="BK23" i="21" s="1"/>
  <c r="DW4" i="18"/>
  <c r="BL21" i="21" s="1"/>
  <c r="DY6" i="18"/>
  <c r="BM23" i="21" s="1"/>
  <c r="EA4" i="18"/>
  <c r="BN21" i="21" s="1"/>
  <c r="EC6" i="18"/>
  <c r="BO23" i="21" s="1"/>
  <c r="EE6" i="18"/>
  <c r="BP23" i="21" s="1"/>
  <c r="EY4" i="18"/>
  <c r="BZ21" i="21" s="1"/>
  <c r="I6" i="18"/>
  <c r="E23" i="21" s="1"/>
  <c r="K4" i="18"/>
  <c r="F21" i="21" s="1"/>
  <c r="M6" i="18"/>
  <c r="G23" i="21" s="1"/>
  <c r="C20" i="21"/>
  <c r="C24" i="21"/>
  <c r="C28" i="21"/>
  <c r="G3" i="18"/>
  <c r="D20" i="21" s="1"/>
  <c r="M4" i="18"/>
  <c r="G21" i="21" s="1"/>
  <c r="AI5" i="18"/>
  <c r="R22" i="21" s="1"/>
  <c r="AI9" i="18"/>
  <c r="R26" i="21" s="1"/>
  <c r="AK3" i="18"/>
  <c r="S20" i="21" s="1"/>
  <c r="AM9" i="18"/>
  <c r="T26" i="21" s="1"/>
  <c r="AM13" i="18"/>
  <c r="T30" i="21" s="1"/>
  <c r="AO3" i="18"/>
  <c r="U20" i="21" s="1"/>
  <c r="AQ5" i="18"/>
  <c r="V22" i="21" s="1"/>
  <c r="AS3" i="18"/>
  <c r="W20" i="21" s="1"/>
  <c r="AU5" i="18"/>
  <c r="X22" i="21" s="1"/>
  <c r="AW3" i="18"/>
  <c r="Y20" i="21" s="1"/>
  <c r="AY5" i="18"/>
  <c r="Z22" i="21" s="1"/>
  <c r="BA3" i="18"/>
  <c r="AA20" i="21" s="1"/>
  <c r="BC5" i="18"/>
  <c r="AB22" i="21" s="1"/>
  <c r="CC4" i="18"/>
  <c r="AO21" i="21" s="1"/>
  <c r="CE6" i="18"/>
  <c r="AP23" i="21" s="1"/>
  <c r="CG4" i="18"/>
  <c r="AQ21" i="21" s="1"/>
  <c r="CI6" i="18"/>
  <c r="AR23" i="21" s="1"/>
  <c r="CK4" i="18"/>
  <c r="AS21" i="21" s="1"/>
  <c r="CM6" i="18"/>
  <c r="AT23" i="21" s="1"/>
  <c r="EE9" i="18"/>
  <c r="BP26" i="21" s="1"/>
  <c r="O6" i="18"/>
  <c r="H23" i="21" s="1"/>
  <c r="Q4" i="18"/>
  <c r="I21" i="21" s="1"/>
  <c r="S6" i="18"/>
  <c r="J23" i="21" s="1"/>
  <c r="U4" i="18"/>
  <c r="K21" i="21" s="1"/>
  <c r="W6" i="18"/>
  <c r="L23" i="21" s="1"/>
  <c r="Y8" i="18"/>
  <c r="M25" i="21" s="1"/>
  <c r="AA6" i="18"/>
  <c r="N23" i="21" s="1"/>
  <c r="AA10" i="18"/>
  <c r="N27" i="21" s="1"/>
  <c r="AC4" i="18"/>
  <c r="O21" i="21" s="1"/>
  <c r="AE6" i="18"/>
  <c r="P23" i="21" s="1"/>
  <c r="AG4" i="18"/>
  <c r="Q21" i="21" s="1"/>
  <c r="AG12" i="18"/>
  <c r="Q29" i="21" s="1"/>
  <c r="BE4" i="18"/>
  <c r="AC21" i="21" s="1"/>
  <c r="BG6" i="18"/>
  <c r="AD23" i="21" s="1"/>
  <c r="BI4" i="18"/>
  <c r="AE21" i="21" s="1"/>
  <c r="BK6" i="18"/>
  <c r="AF23" i="21" s="1"/>
  <c r="BM4" i="18"/>
  <c r="AG21" i="21" s="1"/>
  <c r="BO6" i="18"/>
  <c r="AH23" i="21" s="1"/>
  <c r="BQ4" i="18"/>
  <c r="AI21" i="21" s="1"/>
  <c r="BS6" i="18"/>
  <c r="AJ23" i="21" s="1"/>
  <c r="BU4" i="18"/>
  <c r="AK21" i="21" s="1"/>
  <c r="BW6" i="18"/>
  <c r="AL23" i="21" s="1"/>
  <c r="BY4" i="18"/>
  <c r="AM21" i="21" s="1"/>
  <c r="DO7" i="18"/>
  <c r="BH24" i="21" s="1"/>
  <c r="M5" i="18"/>
  <c r="G22" i="21" s="1"/>
  <c r="M9" i="18"/>
  <c r="G26" i="21" s="1"/>
  <c r="M13" i="18"/>
  <c r="G30" i="21" s="1"/>
  <c r="EG5" i="18"/>
  <c r="BQ22" i="21" s="1"/>
  <c r="EI3" i="18"/>
  <c r="BR20" i="21" s="1"/>
  <c r="EK5" i="18"/>
  <c r="BS22" i="21" s="1"/>
  <c r="EM3" i="18"/>
  <c r="BT20" i="21" s="1"/>
  <c r="EO5" i="18"/>
  <c r="BU22" i="21" s="1"/>
  <c r="EQ3" i="18"/>
  <c r="BV20" i="21" s="1"/>
  <c r="M10" i="18"/>
  <c r="G27" i="21" s="1"/>
  <c r="AG10" i="18"/>
  <c r="Q27" i="21" s="1"/>
  <c r="O10" i="18"/>
  <c r="H27" i="21" s="1"/>
  <c r="U8" i="18"/>
  <c r="K25" i="21" s="1"/>
  <c r="AC12" i="18"/>
  <c r="O29" i="21" s="1"/>
  <c r="AG6" i="18"/>
  <c r="Q23" i="21" s="1"/>
  <c r="C21" i="21"/>
  <c r="C25" i="21"/>
  <c r="I3" i="18"/>
  <c r="E20" i="21" s="1"/>
  <c r="I11" i="18"/>
  <c r="E28" i="21" s="1"/>
  <c r="K9" i="18"/>
  <c r="F26" i="21" s="1"/>
  <c r="O3" i="18"/>
  <c r="H20" i="21" s="1"/>
  <c r="Q13" i="18"/>
  <c r="I30" i="21" s="1"/>
  <c r="S3" i="18"/>
  <c r="J20" i="21" s="1"/>
  <c r="U13" i="18"/>
  <c r="K30" i="21" s="1"/>
  <c r="Y13" i="18"/>
  <c r="M30" i="21" s="1"/>
  <c r="AA11" i="18"/>
  <c r="N28" i="21" s="1"/>
  <c r="AC5" i="18"/>
  <c r="O22" i="21" s="1"/>
  <c r="AC13" i="18"/>
  <c r="O30" i="21" s="1"/>
  <c r="AK12" i="18"/>
  <c r="S29" i="21" s="1"/>
  <c r="AM10" i="18"/>
  <c r="T27" i="21" s="1"/>
  <c r="AO4" i="18"/>
  <c r="U21" i="21" s="1"/>
  <c r="AU10" i="18"/>
  <c r="X27" i="21" s="1"/>
  <c r="AW12" i="18"/>
  <c r="Y29" i="21" s="1"/>
  <c r="BA8" i="18"/>
  <c r="AA25" i="21" s="1"/>
  <c r="C23" i="21"/>
  <c r="C27" i="21"/>
  <c r="I5" i="18"/>
  <c r="E22" i="21" s="1"/>
  <c r="I9" i="18"/>
  <c r="E26" i="21" s="1"/>
  <c r="I13" i="18"/>
  <c r="E30" i="21" s="1"/>
  <c r="K3" i="18"/>
  <c r="F20" i="21" s="1"/>
  <c r="K7" i="18"/>
  <c r="F24" i="21" s="1"/>
  <c r="K11" i="18"/>
  <c r="F28" i="21" s="1"/>
  <c r="M12" i="18"/>
  <c r="G29" i="21" s="1"/>
  <c r="M8" i="18"/>
  <c r="G25" i="21" s="1"/>
  <c r="O5" i="18"/>
  <c r="H22" i="21" s="1"/>
  <c r="O9" i="18"/>
  <c r="H26" i="21" s="1"/>
  <c r="O13" i="18"/>
  <c r="H30" i="21" s="1"/>
  <c r="Q12" i="18"/>
  <c r="I29" i="21" s="1"/>
  <c r="Q7" i="18"/>
  <c r="I24" i="21" s="1"/>
  <c r="Q11" i="18"/>
  <c r="I28" i="21" s="1"/>
  <c r="S5" i="18"/>
  <c r="J22" i="21" s="1"/>
  <c r="S9" i="18"/>
  <c r="J26" i="21" s="1"/>
  <c r="S13" i="18"/>
  <c r="J30" i="21" s="1"/>
  <c r="U3" i="18"/>
  <c r="K20" i="21" s="1"/>
  <c r="U7" i="18"/>
  <c r="K24" i="21" s="1"/>
  <c r="U11" i="18"/>
  <c r="K28" i="21" s="1"/>
  <c r="W5" i="18"/>
  <c r="L22" i="21" s="1"/>
  <c r="W9" i="18"/>
  <c r="L26" i="21" s="1"/>
  <c r="W13" i="18"/>
  <c r="L30" i="21" s="1"/>
  <c r="Y3" i="18"/>
  <c r="M20" i="21" s="1"/>
  <c r="Y7" i="18"/>
  <c r="M24" i="21" s="1"/>
  <c r="Y11" i="18"/>
  <c r="M28" i="21" s="1"/>
  <c r="AA5" i="18"/>
  <c r="N22" i="21" s="1"/>
  <c r="AA9" i="18"/>
  <c r="N26" i="21" s="1"/>
  <c r="AA13" i="18"/>
  <c r="N30" i="21" s="1"/>
  <c r="AC3" i="18"/>
  <c r="O20" i="21" s="1"/>
  <c r="AC7" i="18"/>
  <c r="O24" i="21" s="1"/>
  <c r="AC11" i="18"/>
  <c r="O28" i="21" s="1"/>
  <c r="AE5" i="18"/>
  <c r="P22" i="21" s="1"/>
  <c r="AE9" i="18"/>
  <c r="P26" i="21" s="1"/>
  <c r="AE13" i="18"/>
  <c r="P30" i="21" s="1"/>
  <c r="AG3" i="18"/>
  <c r="Q20" i="21" s="1"/>
  <c r="AG8" i="18"/>
  <c r="Q25" i="21" s="1"/>
  <c r="AG11" i="18"/>
  <c r="Q28" i="21" s="1"/>
  <c r="AI4" i="18"/>
  <c r="R21" i="21" s="1"/>
  <c r="AI8" i="18"/>
  <c r="R25" i="21" s="1"/>
  <c r="AI12" i="18"/>
  <c r="R29" i="21" s="1"/>
  <c r="AK6" i="18"/>
  <c r="S23" i="21" s="1"/>
  <c r="AK10" i="18"/>
  <c r="S27" i="21" s="1"/>
  <c r="AM4" i="18"/>
  <c r="T21" i="21" s="1"/>
  <c r="AM8" i="18"/>
  <c r="T25" i="21" s="1"/>
  <c r="AM12" i="18"/>
  <c r="T29" i="21" s="1"/>
  <c r="AO6" i="18"/>
  <c r="U23" i="21" s="1"/>
  <c r="AO10" i="18"/>
  <c r="U27" i="21" s="1"/>
  <c r="AQ4" i="18"/>
  <c r="V21" i="21" s="1"/>
  <c r="AQ8" i="18"/>
  <c r="V25" i="21" s="1"/>
  <c r="AQ12" i="18"/>
  <c r="V29" i="21" s="1"/>
  <c r="AS6" i="18"/>
  <c r="W23" i="21" s="1"/>
  <c r="AS10" i="18"/>
  <c r="W27" i="21" s="1"/>
  <c r="AU4" i="18"/>
  <c r="X21" i="21" s="1"/>
  <c r="AU8" i="18"/>
  <c r="X25" i="21" s="1"/>
  <c r="AU12" i="18"/>
  <c r="X29" i="21" s="1"/>
  <c r="AW6" i="18"/>
  <c r="Y23" i="21" s="1"/>
  <c r="AW10" i="18"/>
  <c r="Y27" i="21" s="1"/>
  <c r="AY4" i="18"/>
  <c r="Z21" i="21" s="1"/>
  <c r="AY8" i="18"/>
  <c r="Z25" i="21" s="1"/>
  <c r="AY12" i="18"/>
  <c r="Z29" i="21" s="1"/>
  <c r="BA6" i="18"/>
  <c r="AA23" i="21" s="1"/>
  <c r="BA10" i="18"/>
  <c r="AA27" i="21" s="1"/>
  <c r="BC4" i="18"/>
  <c r="AB21" i="21" s="1"/>
  <c r="BC8" i="18"/>
  <c r="AB25" i="21" s="1"/>
  <c r="BC12" i="18"/>
  <c r="AB29" i="21" s="1"/>
  <c r="BE6" i="18"/>
  <c r="AC23" i="21" s="1"/>
  <c r="BE10" i="18"/>
  <c r="AC27" i="21" s="1"/>
  <c r="BG4" i="18"/>
  <c r="AD21" i="21" s="1"/>
  <c r="BG8" i="18"/>
  <c r="AD25" i="21" s="1"/>
  <c r="BG12" i="18"/>
  <c r="AD29" i="21" s="1"/>
  <c r="BI6" i="18"/>
  <c r="AE23" i="21" s="1"/>
  <c r="BI10" i="18"/>
  <c r="AE27" i="21" s="1"/>
  <c r="BK4" i="18"/>
  <c r="AF21" i="21" s="1"/>
  <c r="K8" i="18"/>
  <c r="F25" i="21" s="1"/>
  <c r="AK11" i="18"/>
  <c r="S28" i="21" s="1"/>
  <c r="AM5" i="18"/>
  <c r="T22" i="21" s="1"/>
  <c r="AO7" i="18"/>
  <c r="U24" i="21" s="1"/>
  <c r="AO11" i="18"/>
  <c r="U28" i="21" s="1"/>
  <c r="AQ9" i="18"/>
  <c r="V26" i="21" s="1"/>
  <c r="AQ13" i="18"/>
  <c r="V30" i="21" s="1"/>
  <c r="AS7" i="18"/>
  <c r="W24" i="21" s="1"/>
  <c r="AS11" i="18"/>
  <c r="W28" i="21" s="1"/>
  <c r="AU9" i="18"/>
  <c r="X26" i="21" s="1"/>
  <c r="AU13" i="18"/>
  <c r="X30" i="21" s="1"/>
  <c r="AW7" i="18"/>
  <c r="Y24" i="21" s="1"/>
  <c r="AW11" i="18"/>
  <c r="Y28" i="21" s="1"/>
  <c r="AY9" i="18"/>
  <c r="Z26" i="21" s="1"/>
  <c r="AY13" i="18"/>
  <c r="Z30" i="21" s="1"/>
  <c r="BA7" i="18"/>
  <c r="AA24" i="21" s="1"/>
  <c r="BA11" i="18"/>
  <c r="AA28" i="21" s="1"/>
  <c r="BC9" i="18"/>
  <c r="AB26" i="21" s="1"/>
  <c r="BC13" i="18"/>
  <c r="AB30" i="21" s="1"/>
  <c r="BE3" i="18"/>
  <c r="AC20" i="21" s="1"/>
  <c r="BE7" i="18"/>
  <c r="AC24" i="21" s="1"/>
  <c r="BE11" i="18"/>
  <c r="AC28" i="21" s="1"/>
  <c r="BG5" i="18"/>
  <c r="AD22" i="21" s="1"/>
  <c r="BG9" i="18"/>
  <c r="AD26" i="21" s="1"/>
  <c r="BG13" i="18"/>
  <c r="AD30" i="21" s="1"/>
  <c r="BI3" i="18"/>
  <c r="AE20" i="21" s="1"/>
  <c r="BI7" i="18"/>
  <c r="AE24" i="21" s="1"/>
  <c r="BI11" i="18"/>
  <c r="AE28" i="21" s="1"/>
  <c r="BK5" i="18"/>
  <c r="AF22" i="21" s="1"/>
  <c r="BK9" i="18"/>
  <c r="AF26" i="21" s="1"/>
  <c r="BK13" i="18"/>
  <c r="AF30" i="21" s="1"/>
  <c r="BM3" i="18"/>
  <c r="AG20" i="21" s="1"/>
  <c r="BM7" i="18"/>
  <c r="AG24" i="21" s="1"/>
  <c r="BM11" i="18"/>
  <c r="AG28" i="21" s="1"/>
  <c r="BO5" i="18"/>
  <c r="AH22" i="21" s="1"/>
  <c r="BO9" i="18"/>
  <c r="AH26" i="21" s="1"/>
  <c r="BO13" i="18"/>
  <c r="AH30" i="21" s="1"/>
  <c r="BQ3" i="18"/>
  <c r="AI20" i="21" s="1"/>
  <c r="BQ7" i="18"/>
  <c r="AI24" i="21" s="1"/>
  <c r="BQ11" i="18"/>
  <c r="AI28" i="21" s="1"/>
  <c r="BS5" i="18"/>
  <c r="AJ22" i="21" s="1"/>
  <c r="BS9" i="18"/>
  <c r="AJ26" i="21" s="1"/>
  <c r="BS13" i="18"/>
  <c r="AJ30" i="21" s="1"/>
  <c r="BU3" i="18"/>
  <c r="AK20" i="21" s="1"/>
  <c r="BU7" i="18"/>
  <c r="AK24" i="21" s="1"/>
  <c r="BU11" i="18"/>
  <c r="AK28" i="21" s="1"/>
  <c r="BW5" i="18"/>
  <c r="AL22" i="21" s="1"/>
  <c r="BW9" i="18"/>
  <c r="AL26" i="21" s="1"/>
  <c r="BW13" i="18"/>
  <c r="AL30" i="21" s="1"/>
  <c r="BY3" i="18"/>
  <c r="AM20" i="21" s="1"/>
  <c r="BY7" i="18"/>
  <c r="AM24" i="21" s="1"/>
  <c r="BY11" i="18"/>
  <c r="AM28" i="21" s="1"/>
  <c r="CA5" i="18"/>
  <c r="AN22" i="21" s="1"/>
  <c r="CA9" i="18"/>
  <c r="AN26" i="21" s="1"/>
  <c r="CA13" i="18"/>
  <c r="AN30" i="21" s="1"/>
  <c r="CC3" i="18"/>
  <c r="AO20" i="21" s="1"/>
  <c r="CC7" i="18"/>
  <c r="AO24" i="21" s="1"/>
  <c r="CC11" i="18"/>
  <c r="AO28" i="21" s="1"/>
  <c r="CE5" i="18"/>
  <c r="AP22" i="21" s="1"/>
  <c r="CE9" i="18"/>
  <c r="AP26" i="21" s="1"/>
  <c r="CE13" i="18"/>
  <c r="AP30" i="21" s="1"/>
  <c r="CG3" i="18"/>
  <c r="AQ20" i="21" s="1"/>
  <c r="CG7" i="18"/>
  <c r="AQ24" i="21" s="1"/>
  <c r="CG11" i="18"/>
  <c r="AQ28" i="21" s="1"/>
  <c r="CI5" i="18"/>
  <c r="AR22" i="21" s="1"/>
  <c r="CI9" i="18"/>
  <c r="AR26" i="21" s="1"/>
  <c r="CI13" i="18"/>
  <c r="AR30" i="21" s="1"/>
  <c r="CK3" i="18"/>
  <c r="AS20" i="21" s="1"/>
  <c r="CK7" i="18"/>
  <c r="AS24" i="21" s="1"/>
  <c r="CK11" i="18"/>
  <c r="AS28" i="21" s="1"/>
  <c r="CM5" i="18"/>
  <c r="AT22" i="21" s="1"/>
  <c r="CM9" i="18"/>
  <c r="AT26" i="21" s="1"/>
  <c r="CM13" i="18"/>
  <c r="AT30" i="21" s="1"/>
  <c r="CO7" i="18"/>
  <c r="AU24" i="21" s="1"/>
  <c r="CO11" i="18"/>
  <c r="AU28" i="21" s="1"/>
  <c r="CQ9" i="18"/>
  <c r="AV26" i="21" s="1"/>
  <c r="CQ13" i="18"/>
  <c r="AV30" i="21" s="1"/>
  <c r="CS7" i="18"/>
  <c r="AW24" i="21" s="1"/>
  <c r="CS11" i="18"/>
  <c r="AW28" i="21" s="1"/>
  <c r="CU9" i="18"/>
  <c r="AX26" i="21" s="1"/>
  <c r="CU13" i="18"/>
  <c r="AX30" i="21" s="1"/>
  <c r="CW7" i="18"/>
  <c r="AY24" i="21" s="1"/>
  <c r="CW11" i="18"/>
  <c r="AY28" i="21" s="1"/>
  <c r="CY9" i="18"/>
  <c r="AZ26" i="21" s="1"/>
  <c r="CY13" i="18"/>
  <c r="AZ30" i="21" s="1"/>
  <c r="DA7" i="18"/>
  <c r="BA24" i="21" s="1"/>
  <c r="DA11" i="18"/>
  <c r="BA28" i="21" s="1"/>
  <c r="DC9" i="18"/>
  <c r="BB26" i="21" s="1"/>
  <c r="DC13" i="18"/>
  <c r="BB30" i="21" s="1"/>
  <c r="DE7" i="18"/>
  <c r="BC24" i="21" s="1"/>
  <c r="DE11" i="18"/>
  <c r="BC28" i="21" s="1"/>
  <c r="DG9" i="18"/>
  <c r="BD26" i="21" s="1"/>
  <c r="DG13" i="18"/>
  <c r="BD30" i="21" s="1"/>
  <c r="DI7" i="18"/>
  <c r="BE24" i="21" s="1"/>
  <c r="DI11" i="18"/>
  <c r="BE28" i="21" s="1"/>
  <c r="DK9" i="18"/>
  <c r="BF26" i="21" s="1"/>
  <c r="DK13" i="18"/>
  <c r="BF30" i="21" s="1"/>
  <c r="DM7" i="18"/>
  <c r="BG24" i="21" s="1"/>
  <c r="DM11" i="18"/>
  <c r="BG28" i="21" s="1"/>
  <c r="DO4" i="18"/>
  <c r="BH21" i="21" s="1"/>
  <c r="M11" i="18"/>
  <c r="G28" i="21" s="1"/>
  <c r="U12" i="18"/>
  <c r="K29" i="21" s="1"/>
  <c r="W10" i="18"/>
  <c r="L27" i="21" s="1"/>
  <c r="AG9" i="18"/>
  <c r="Q26" i="21" s="1"/>
  <c r="AK7" i="18"/>
  <c r="S24" i="21" s="1"/>
  <c r="K13" i="18"/>
  <c r="F30" i="21" s="1"/>
  <c r="O7" i="18"/>
  <c r="H24" i="21" s="1"/>
  <c r="Q5" i="18"/>
  <c r="I22" i="21" s="1"/>
  <c r="S11" i="18"/>
  <c r="J28" i="21" s="1"/>
  <c r="U9" i="18"/>
  <c r="K26" i="21" s="1"/>
  <c r="W7" i="18"/>
  <c r="L24" i="21" s="1"/>
  <c r="Y5" i="18"/>
  <c r="M22" i="21" s="1"/>
  <c r="AA3" i="18"/>
  <c r="N20" i="21" s="1"/>
  <c r="AE3" i="18"/>
  <c r="P20" i="21" s="1"/>
  <c r="AE11" i="18"/>
  <c r="P28" i="21" s="1"/>
  <c r="AI6" i="18"/>
  <c r="R23" i="21" s="1"/>
  <c r="AK8" i="18"/>
  <c r="S25" i="21" s="1"/>
  <c r="AM6" i="18"/>
  <c r="T23" i="21" s="1"/>
  <c r="AO12" i="18"/>
  <c r="U29" i="21" s="1"/>
  <c r="AQ10" i="18"/>
  <c r="V27" i="21" s="1"/>
  <c r="AS4" i="18"/>
  <c r="W21" i="21" s="1"/>
  <c r="AS12" i="18"/>
  <c r="W29" i="21" s="1"/>
  <c r="AY10" i="18"/>
  <c r="Z27" i="21" s="1"/>
  <c r="BA4" i="18"/>
  <c r="AA21" i="21" s="1"/>
  <c r="BC6" i="18"/>
  <c r="AB23" i="21" s="1"/>
  <c r="BC10" i="18"/>
  <c r="AB27" i="21" s="1"/>
  <c r="BE8" i="18"/>
  <c r="AC25" i="21" s="1"/>
  <c r="BI8" i="18"/>
  <c r="AE25" i="21" s="1"/>
  <c r="BI12" i="18"/>
  <c r="AE29" i="21" s="1"/>
  <c r="BK10" i="18"/>
  <c r="AF27" i="21" s="1"/>
  <c r="BM8" i="18"/>
  <c r="AG25" i="21" s="1"/>
  <c r="BM12" i="18"/>
  <c r="AG29" i="21" s="1"/>
  <c r="BO10" i="18"/>
  <c r="AH27" i="21" s="1"/>
  <c r="BQ8" i="18"/>
  <c r="AI25" i="21" s="1"/>
  <c r="BQ12" i="18"/>
  <c r="AI29" i="21" s="1"/>
  <c r="BS10" i="18"/>
  <c r="AJ27" i="21" s="1"/>
  <c r="BU8" i="18"/>
  <c r="AK25" i="21" s="1"/>
  <c r="BU12" i="18"/>
  <c r="AK29" i="21" s="1"/>
  <c r="BW10" i="18"/>
  <c r="AL27" i="21" s="1"/>
  <c r="BY8" i="18"/>
  <c r="AM25" i="21" s="1"/>
  <c r="BY12" i="18"/>
  <c r="AM29" i="21" s="1"/>
  <c r="CC8" i="18"/>
  <c r="AO25" i="21" s="1"/>
  <c r="CC12" i="18"/>
  <c r="AO29" i="21" s="1"/>
  <c r="CE10" i="18"/>
  <c r="AP27" i="21" s="1"/>
  <c r="CG8" i="18"/>
  <c r="AQ25" i="21" s="1"/>
  <c r="CG12" i="18"/>
  <c r="AQ29" i="21" s="1"/>
  <c r="CI10" i="18"/>
  <c r="AR27" i="21" s="1"/>
  <c r="CK8" i="18"/>
  <c r="AS25" i="21" s="1"/>
  <c r="CK12" i="18"/>
  <c r="AS29" i="21" s="1"/>
  <c r="CM10" i="18"/>
  <c r="AT27" i="21" s="1"/>
  <c r="DQ10" i="18"/>
  <c r="BI27" i="21" s="1"/>
  <c r="DS8" i="18"/>
  <c r="BJ25" i="21" s="1"/>
  <c r="DS12" i="18"/>
  <c r="BJ29" i="21" s="1"/>
  <c r="DU10" i="18"/>
  <c r="BK27" i="21" s="1"/>
  <c r="DW8" i="18"/>
  <c r="BL25" i="21" s="1"/>
  <c r="DW12" i="18"/>
  <c r="BL29" i="21" s="1"/>
  <c r="DY10" i="18"/>
  <c r="BM27" i="21" s="1"/>
  <c r="EA8" i="18"/>
  <c r="BN25" i="21" s="1"/>
  <c r="EA12" i="18"/>
  <c r="BN29" i="21" s="1"/>
  <c r="EC10" i="18"/>
  <c r="BO27" i="21" s="1"/>
  <c r="EE10" i="18"/>
  <c r="BP27" i="21" s="1"/>
  <c r="EE4" i="18"/>
  <c r="BP21" i="21" s="1"/>
  <c r="EG9" i="18"/>
  <c r="BQ26" i="21" s="1"/>
  <c r="EG13" i="18"/>
  <c r="BQ30" i="21" s="1"/>
  <c r="EI7" i="18"/>
  <c r="BR24" i="21" s="1"/>
  <c r="EI11" i="18"/>
  <c r="BR28" i="21" s="1"/>
  <c r="EK9" i="18"/>
  <c r="BS26" i="21" s="1"/>
  <c r="EK13" i="18"/>
  <c r="BS30" i="21" s="1"/>
  <c r="EM7" i="18"/>
  <c r="BT24" i="21" s="1"/>
  <c r="EM11" i="18"/>
  <c r="BT28" i="21" s="1"/>
  <c r="EO9" i="18"/>
  <c r="BU26" i="21" s="1"/>
  <c r="EO13" i="18"/>
  <c r="BU30" i="21" s="1"/>
  <c r="EQ7" i="18"/>
  <c r="BV24" i="21" s="1"/>
  <c r="EQ11" i="18"/>
  <c r="BV28" i="21" s="1"/>
  <c r="I10" i="18"/>
  <c r="E27" i="21" s="1"/>
  <c r="K12" i="18"/>
  <c r="F29" i="21" s="1"/>
  <c r="M7" i="18"/>
  <c r="G24" i="21" s="1"/>
  <c r="M3" i="18"/>
  <c r="G20" i="21" s="1"/>
  <c r="S10" i="18"/>
  <c r="J27" i="21" s="1"/>
  <c r="Y4" i="18"/>
  <c r="M21" i="21" s="1"/>
  <c r="Y12" i="18"/>
  <c r="M29" i="21" s="1"/>
  <c r="AC8" i="18"/>
  <c r="O25" i="21" s="1"/>
  <c r="AE10" i="18"/>
  <c r="P27" i="21" s="1"/>
  <c r="AI13" i="18"/>
  <c r="R30" i="21" s="1"/>
  <c r="C29" i="21"/>
  <c r="I7" i="18"/>
  <c r="E24" i="21" s="1"/>
  <c r="K5" i="18"/>
  <c r="F22" i="21" s="1"/>
  <c r="O11" i="18"/>
  <c r="H28" i="21" s="1"/>
  <c r="Q9" i="18"/>
  <c r="I26" i="21" s="1"/>
  <c r="S7" i="18"/>
  <c r="J24" i="21" s="1"/>
  <c r="U5" i="18"/>
  <c r="K22" i="21" s="1"/>
  <c r="W3" i="18"/>
  <c r="L20" i="21" s="1"/>
  <c r="W11" i="18"/>
  <c r="L28" i="21" s="1"/>
  <c r="Y9" i="18"/>
  <c r="M26" i="21" s="1"/>
  <c r="AA7" i="18"/>
  <c r="N24" i="21" s="1"/>
  <c r="AC9" i="18"/>
  <c r="O26" i="21" s="1"/>
  <c r="AE7" i="18"/>
  <c r="P24" i="21" s="1"/>
  <c r="AG7" i="18"/>
  <c r="Q24" i="21" s="1"/>
  <c r="AI10" i="18"/>
  <c r="R27" i="21" s="1"/>
  <c r="AK4" i="18"/>
  <c r="S21" i="21" s="1"/>
  <c r="AO8" i="18"/>
  <c r="U25" i="21" s="1"/>
  <c r="AQ6" i="18"/>
  <c r="V23" i="21" s="1"/>
  <c r="AS8" i="18"/>
  <c r="W25" i="21" s="1"/>
  <c r="AU6" i="18"/>
  <c r="X23" i="21" s="1"/>
  <c r="AW4" i="18"/>
  <c r="Y21" i="21" s="1"/>
  <c r="AW8" i="18"/>
  <c r="Y25" i="21" s="1"/>
  <c r="AY6" i="18"/>
  <c r="Z23" i="21" s="1"/>
  <c r="BA12" i="18"/>
  <c r="AA29" i="21" s="1"/>
  <c r="BE12" i="18"/>
  <c r="AC29" i="21" s="1"/>
  <c r="BG10" i="18"/>
  <c r="AD27" i="21" s="1"/>
  <c r="C22" i="21"/>
  <c r="C26" i="21"/>
  <c r="C30" i="21"/>
  <c r="I4" i="18"/>
  <c r="E21" i="21" s="1"/>
  <c r="I8" i="18"/>
  <c r="E25" i="21" s="1"/>
  <c r="I12" i="18"/>
  <c r="E29" i="21" s="1"/>
  <c r="K6" i="18"/>
  <c r="F23" i="21" s="1"/>
  <c r="K10" i="18"/>
  <c r="F27" i="21" s="1"/>
  <c r="O4" i="18"/>
  <c r="H21" i="21" s="1"/>
  <c r="O8" i="18"/>
  <c r="H25" i="21" s="1"/>
  <c r="O12" i="18"/>
  <c r="H29" i="21" s="1"/>
  <c r="S4" i="18"/>
  <c r="J21" i="21" s="1"/>
  <c r="S8" i="18"/>
  <c r="J25" i="21" s="1"/>
  <c r="S12" i="18"/>
  <c r="J29" i="21" s="1"/>
  <c r="U6" i="18"/>
  <c r="K23" i="21" s="1"/>
  <c r="U10" i="18"/>
  <c r="K27" i="21" s="1"/>
  <c r="W4" i="18"/>
  <c r="L21" i="21" s="1"/>
  <c r="W8" i="18"/>
  <c r="L25" i="21" s="1"/>
  <c r="W12" i="18"/>
  <c r="L29" i="21" s="1"/>
  <c r="Y6" i="18"/>
  <c r="M23" i="21" s="1"/>
  <c r="Y10" i="18"/>
  <c r="M27" i="21" s="1"/>
  <c r="AA4" i="18"/>
  <c r="N21" i="21" s="1"/>
  <c r="AA8" i="18"/>
  <c r="N25" i="21" s="1"/>
  <c r="AA12" i="18"/>
  <c r="N29" i="21" s="1"/>
  <c r="AC6" i="18"/>
  <c r="O23" i="21" s="1"/>
  <c r="AC10" i="18"/>
  <c r="O27" i="21" s="1"/>
  <c r="AE4" i="18"/>
  <c r="P21" i="21" s="1"/>
  <c r="AE8" i="18"/>
  <c r="P25" i="21" s="1"/>
  <c r="AE12" i="18"/>
  <c r="P29" i="21" s="1"/>
  <c r="AG5" i="18"/>
  <c r="Q22" i="21" s="1"/>
  <c r="AG13" i="18"/>
  <c r="Q30" i="21" s="1"/>
  <c r="AI3" i="18"/>
  <c r="R20" i="21" s="1"/>
  <c r="AI7" i="18"/>
  <c r="R24" i="21" s="1"/>
  <c r="AI11" i="18"/>
  <c r="R28" i="21" s="1"/>
  <c r="AK5" i="18"/>
  <c r="S22" i="21" s="1"/>
  <c r="AK9" i="18"/>
  <c r="S26" i="21" s="1"/>
  <c r="AK13" i="18"/>
  <c r="S30" i="21" s="1"/>
  <c r="AM3" i="18"/>
  <c r="T20" i="21" s="1"/>
  <c r="AM7" i="18"/>
  <c r="T24" i="21" s="1"/>
  <c r="AM11" i="18"/>
  <c r="T28" i="21" s="1"/>
  <c r="AO5" i="18"/>
  <c r="U22" i="21" s="1"/>
  <c r="AO9" i="18"/>
  <c r="U26" i="21" s="1"/>
  <c r="AO13" i="18"/>
  <c r="U30" i="21" s="1"/>
  <c r="AQ3" i="18"/>
  <c r="V20" i="21" s="1"/>
  <c r="AQ7" i="18"/>
  <c r="V24" i="21" s="1"/>
  <c r="AQ11" i="18"/>
  <c r="V28" i="21" s="1"/>
  <c r="AS5" i="18"/>
  <c r="W22" i="21" s="1"/>
  <c r="AS9" i="18"/>
  <c r="W26" i="21" s="1"/>
  <c r="AS13" i="18"/>
  <c r="W30" i="21" s="1"/>
  <c r="AU3" i="18"/>
  <c r="X20" i="21" s="1"/>
  <c r="AU7" i="18"/>
  <c r="X24" i="21" s="1"/>
  <c r="AU11" i="18"/>
  <c r="X28" i="21" s="1"/>
  <c r="AW5" i="18"/>
  <c r="Y22" i="21" s="1"/>
  <c r="AW9" i="18"/>
  <c r="Y26" i="21" s="1"/>
  <c r="AW13" i="18"/>
  <c r="Y30" i="21" s="1"/>
  <c r="AY3" i="18"/>
  <c r="Z20" i="21" s="1"/>
  <c r="AY7" i="18"/>
  <c r="Z24" i="21" s="1"/>
  <c r="AY11" i="18"/>
  <c r="Z28" i="21" s="1"/>
  <c r="BA5" i="18"/>
  <c r="AA22" i="21" s="1"/>
  <c r="BA9" i="18"/>
  <c r="AA26" i="21" s="1"/>
  <c r="BA13" i="18"/>
  <c r="AA30" i="21" s="1"/>
  <c r="BC3" i="18"/>
  <c r="AB20" i="21" s="1"/>
  <c r="BC7" i="18"/>
  <c r="AB24" i="21" s="1"/>
  <c r="BC11" i="18"/>
  <c r="AB28" i="21" s="1"/>
  <c r="BE5" i="18"/>
  <c r="AC22" i="21" s="1"/>
  <c r="BE9" i="18"/>
  <c r="AC26" i="21" s="1"/>
  <c r="BE13" i="18"/>
  <c r="AC30" i="21" s="1"/>
  <c r="BG3" i="18"/>
  <c r="AD20" i="21" s="1"/>
  <c r="BG7" i="18"/>
  <c r="AD24" i="21" s="1"/>
  <c r="BG11" i="18"/>
  <c r="AD28" i="21" s="1"/>
  <c r="BI5" i="18"/>
  <c r="AE22" i="21" s="1"/>
  <c r="BI9" i="18"/>
  <c r="AE26" i="21" s="1"/>
  <c r="BI13" i="18"/>
  <c r="AE30" i="21" s="1"/>
  <c r="BK3" i="18"/>
  <c r="AF20" i="21" s="1"/>
  <c r="BK7" i="18"/>
  <c r="AF24" i="21" s="1"/>
  <c r="BK11" i="18"/>
  <c r="AF28" i="21" s="1"/>
  <c r="BM5" i="18"/>
  <c r="AG22" i="21" s="1"/>
  <c r="BM9" i="18"/>
  <c r="AG26" i="21" s="1"/>
  <c r="BM13" i="18"/>
  <c r="AG30" i="21" s="1"/>
  <c r="BO3" i="18"/>
  <c r="AH20" i="21" s="1"/>
  <c r="BO7" i="18"/>
  <c r="AH24" i="21" s="1"/>
  <c r="BO11" i="18"/>
  <c r="AH28" i="21" s="1"/>
  <c r="BQ5" i="18"/>
  <c r="AI22" i="21" s="1"/>
  <c r="BQ9" i="18"/>
  <c r="AI26" i="21" s="1"/>
  <c r="BQ13" i="18"/>
  <c r="AI30" i="21" s="1"/>
  <c r="BS3" i="18"/>
  <c r="AJ20" i="21" s="1"/>
  <c r="BS7" i="18"/>
  <c r="AJ24" i="21" s="1"/>
  <c r="BS11" i="18"/>
  <c r="AJ28" i="21" s="1"/>
  <c r="DO6" i="18"/>
  <c r="BH23" i="21" s="1"/>
  <c r="DO10" i="18"/>
  <c r="BH27" i="21" s="1"/>
  <c r="EE8" i="18"/>
  <c r="BP25" i="21" s="1"/>
  <c r="EE12" i="18"/>
  <c r="BP29" i="21" s="1"/>
  <c r="CO4" i="18"/>
  <c r="AU21" i="21" s="1"/>
  <c r="CO8" i="18"/>
  <c r="AU25" i="21" s="1"/>
  <c r="CO12" i="18"/>
  <c r="AU29" i="21" s="1"/>
  <c r="CQ6" i="18"/>
  <c r="AV23" i="21" s="1"/>
  <c r="CQ10" i="18"/>
  <c r="AV27" i="21" s="1"/>
  <c r="CS4" i="18"/>
  <c r="AW21" i="21" s="1"/>
  <c r="CS8" i="18"/>
  <c r="AW25" i="21" s="1"/>
  <c r="CS12" i="18"/>
  <c r="AW29" i="21" s="1"/>
  <c r="CU6" i="18"/>
  <c r="AX23" i="21" s="1"/>
  <c r="CU10" i="18"/>
  <c r="AX27" i="21" s="1"/>
  <c r="CW4" i="18"/>
  <c r="AY21" i="21" s="1"/>
  <c r="CW8" i="18"/>
  <c r="AY25" i="21" s="1"/>
  <c r="CW12" i="18"/>
  <c r="AY29" i="21" s="1"/>
  <c r="CY6" i="18"/>
  <c r="AZ23" i="21" s="1"/>
  <c r="CY10" i="18"/>
  <c r="AZ27" i="21" s="1"/>
  <c r="DA4" i="18"/>
  <c r="BA21" i="21" s="1"/>
  <c r="DA8" i="18"/>
  <c r="BA25" i="21" s="1"/>
  <c r="DA12" i="18"/>
  <c r="BA29" i="21" s="1"/>
  <c r="DC6" i="18"/>
  <c r="BB23" i="21" s="1"/>
  <c r="DC10" i="18"/>
  <c r="BB27" i="21" s="1"/>
  <c r="DE4" i="18"/>
  <c r="BC21" i="21" s="1"/>
  <c r="DE8" i="18"/>
  <c r="BC25" i="21" s="1"/>
  <c r="DE12" i="18"/>
  <c r="BC29" i="21" s="1"/>
  <c r="DG6" i="18"/>
  <c r="BD23" i="21" s="1"/>
  <c r="DG10" i="18"/>
  <c r="BD27" i="21" s="1"/>
  <c r="DI4" i="18"/>
  <c r="BE21" i="21" s="1"/>
  <c r="DI8" i="18"/>
  <c r="BE25" i="21" s="1"/>
  <c r="DI12" i="18"/>
  <c r="BE29" i="21" s="1"/>
  <c r="DK6" i="18"/>
  <c r="BF23" i="21" s="1"/>
  <c r="DK10" i="18"/>
  <c r="BF27" i="21" s="1"/>
  <c r="DM4" i="18"/>
  <c r="BG21" i="21" s="1"/>
  <c r="DM8" i="18"/>
  <c r="BG25" i="21" s="1"/>
  <c r="DM12" i="18"/>
  <c r="BG29" i="21" s="1"/>
  <c r="DO5" i="18"/>
  <c r="BH22" i="21" s="1"/>
  <c r="DO13" i="18"/>
  <c r="BH30" i="21" s="1"/>
  <c r="DQ3" i="18"/>
  <c r="BI20" i="21" s="1"/>
  <c r="DQ7" i="18"/>
  <c r="BI24" i="21" s="1"/>
  <c r="DQ11" i="18"/>
  <c r="BI28" i="21" s="1"/>
  <c r="DS5" i="18"/>
  <c r="BJ22" i="21" s="1"/>
  <c r="DS9" i="18"/>
  <c r="BJ26" i="21" s="1"/>
  <c r="DS13" i="18"/>
  <c r="BJ30" i="21" s="1"/>
  <c r="DU3" i="18"/>
  <c r="BK20" i="21" s="1"/>
  <c r="DU7" i="18"/>
  <c r="BK24" i="21" s="1"/>
  <c r="DU11" i="18"/>
  <c r="BK28" i="21" s="1"/>
  <c r="DW5" i="18"/>
  <c r="BL22" i="21" s="1"/>
  <c r="DW9" i="18"/>
  <c r="BL26" i="21" s="1"/>
  <c r="DW13" i="18"/>
  <c r="BL30" i="21" s="1"/>
  <c r="DY3" i="18"/>
  <c r="BM20" i="21" s="1"/>
  <c r="DY7" i="18"/>
  <c r="BM24" i="21" s="1"/>
  <c r="DY11" i="18"/>
  <c r="BM28" i="21" s="1"/>
  <c r="EA5" i="18"/>
  <c r="BN22" i="21" s="1"/>
  <c r="EA9" i="18"/>
  <c r="BN26" i="21" s="1"/>
  <c r="EA13" i="18"/>
  <c r="BN30" i="21" s="1"/>
  <c r="EC3" i="18"/>
  <c r="BO20" i="21" s="1"/>
  <c r="EC7" i="18"/>
  <c r="BO24" i="21" s="1"/>
  <c r="EC11" i="18"/>
  <c r="BO28" i="21" s="1"/>
  <c r="EE7" i="18"/>
  <c r="BP24" i="21" s="1"/>
  <c r="EG6" i="18"/>
  <c r="BQ23" i="21" s="1"/>
  <c r="EG10" i="18"/>
  <c r="BQ27" i="21" s="1"/>
  <c r="EI4" i="18"/>
  <c r="BR21" i="21" s="1"/>
  <c r="EI8" i="18"/>
  <c r="BR25" i="21" s="1"/>
  <c r="EI12" i="18"/>
  <c r="BR29" i="21" s="1"/>
  <c r="EK6" i="18"/>
  <c r="BS23" i="21" s="1"/>
  <c r="EK10" i="18"/>
  <c r="BS27" i="21" s="1"/>
  <c r="EM4" i="18"/>
  <c r="BT21" i="21" s="1"/>
  <c r="EM8" i="18"/>
  <c r="BT25" i="21" s="1"/>
  <c r="EM12" i="18"/>
  <c r="BT29" i="21" s="1"/>
  <c r="EO6" i="18"/>
  <c r="BU23" i="21" s="1"/>
  <c r="EO10" i="18"/>
  <c r="BU27" i="21" s="1"/>
  <c r="EQ4" i="18"/>
  <c r="BV21" i="21" s="1"/>
  <c r="EQ8" i="18"/>
  <c r="BV25" i="21" s="1"/>
  <c r="EQ12" i="18"/>
  <c r="BV29" i="21" s="1"/>
  <c r="BU5" i="18"/>
  <c r="AK22" i="21" s="1"/>
  <c r="BU9" i="18"/>
  <c r="AK26" i="21" s="1"/>
  <c r="BU13" i="18"/>
  <c r="AK30" i="21" s="1"/>
  <c r="BW3" i="18"/>
  <c r="AL20" i="21" s="1"/>
  <c r="BW7" i="18"/>
  <c r="AL24" i="21" s="1"/>
  <c r="BW11" i="18"/>
  <c r="AL28" i="21" s="1"/>
  <c r="BY5" i="18"/>
  <c r="AM22" i="21" s="1"/>
  <c r="BY9" i="18"/>
  <c r="AM26" i="21" s="1"/>
  <c r="BY13" i="18"/>
  <c r="AM30" i="21" s="1"/>
  <c r="CA12" i="18"/>
  <c r="AN29" i="21" s="1"/>
  <c r="CA7" i="18"/>
  <c r="AN24" i="21" s="1"/>
  <c r="CA11" i="18"/>
  <c r="AN28" i="21" s="1"/>
  <c r="CC5" i="18"/>
  <c r="AO22" i="21" s="1"/>
  <c r="CC9" i="18"/>
  <c r="AO26" i="21" s="1"/>
  <c r="CC13" i="18"/>
  <c r="AO30" i="21" s="1"/>
  <c r="CE3" i="18"/>
  <c r="AP20" i="21" s="1"/>
  <c r="CE7" i="18"/>
  <c r="AP24" i="21" s="1"/>
  <c r="CE11" i="18"/>
  <c r="AP28" i="21" s="1"/>
  <c r="CG5" i="18"/>
  <c r="AQ22" i="21" s="1"/>
  <c r="CG9" i="18"/>
  <c r="AQ26" i="21" s="1"/>
  <c r="CG13" i="18"/>
  <c r="AQ30" i="21" s="1"/>
  <c r="CI3" i="18"/>
  <c r="AR20" i="21" s="1"/>
  <c r="CI7" i="18"/>
  <c r="AR24" i="21" s="1"/>
  <c r="CI11" i="18"/>
  <c r="AR28" i="21" s="1"/>
  <c r="CK5" i="18"/>
  <c r="AS22" i="21" s="1"/>
  <c r="CK9" i="18"/>
  <c r="AS26" i="21" s="1"/>
  <c r="CK13" i="18"/>
  <c r="AS30" i="21" s="1"/>
  <c r="CM3" i="18"/>
  <c r="AT20" i="21" s="1"/>
  <c r="CM7" i="18"/>
  <c r="AT24" i="21" s="1"/>
  <c r="CM11" i="18"/>
  <c r="AT28" i="21" s="1"/>
  <c r="CO5" i="18"/>
  <c r="AU22" i="21" s="1"/>
  <c r="CO9" i="18"/>
  <c r="AU26" i="21" s="1"/>
  <c r="CO13" i="18"/>
  <c r="AU30" i="21" s="1"/>
  <c r="CQ3" i="18"/>
  <c r="AV20" i="21" s="1"/>
  <c r="CQ7" i="18"/>
  <c r="AV24" i="21" s="1"/>
  <c r="CQ11" i="18"/>
  <c r="AV28" i="21" s="1"/>
  <c r="CS5" i="18"/>
  <c r="AW22" i="21" s="1"/>
  <c r="CS9" i="18"/>
  <c r="AW26" i="21" s="1"/>
  <c r="CS13" i="18"/>
  <c r="AW30" i="21" s="1"/>
  <c r="CU3" i="18"/>
  <c r="AX20" i="21" s="1"/>
  <c r="CU7" i="18"/>
  <c r="AX24" i="21" s="1"/>
  <c r="CU11" i="18"/>
  <c r="AX28" i="21" s="1"/>
  <c r="CW5" i="18"/>
  <c r="AY22" i="21" s="1"/>
  <c r="CW9" i="18"/>
  <c r="AY26" i="21" s="1"/>
  <c r="CW13" i="18"/>
  <c r="AY30" i="21" s="1"/>
  <c r="CY3" i="18"/>
  <c r="AZ20" i="21" s="1"/>
  <c r="CY7" i="18"/>
  <c r="AZ24" i="21" s="1"/>
  <c r="CY11" i="18"/>
  <c r="AZ28" i="21" s="1"/>
  <c r="DA5" i="18"/>
  <c r="BA22" i="21" s="1"/>
  <c r="DA9" i="18"/>
  <c r="BA26" i="21" s="1"/>
  <c r="DA13" i="18"/>
  <c r="BA30" i="21" s="1"/>
  <c r="DC3" i="18"/>
  <c r="BB20" i="21" s="1"/>
  <c r="DC7" i="18"/>
  <c r="BB24" i="21" s="1"/>
  <c r="DC11" i="18"/>
  <c r="BB28" i="21" s="1"/>
  <c r="DE5" i="18"/>
  <c r="BC22" i="21" s="1"/>
  <c r="DE9" i="18"/>
  <c r="BC26" i="21" s="1"/>
  <c r="DE13" i="18"/>
  <c r="BC30" i="21" s="1"/>
  <c r="DG3" i="18"/>
  <c r="BD20" i="21" s="1"/>
  <c r="DG7" i="18"/>
  <c r="BD24" i="21" s="1"/>
  <c r="DG11" i="18"/>
  <c r="BD28" i="21" s="1"/>
  <c r="DI5" i="18"/>
  <c r="BE22" i="21" s="1"/>
  <c r="DI9" i="18"/>
  <c r="BE26" i="21" s="1"/>
  <c r="DI13" i="18"/>
  <c r="BE30" i="21" s="1"/>
  <c r="DK3" i="18"/>
  <c r="BF20" i="21" s="1"/>
  <c r="DK7" i="18"/>
  <c r="BF24" i="21" s="1"/>
  <c r="DK11" i="18"/>
  <c r="BF28" i="21" s="1"/>
  <c r="DM5" i="18"/>
  <c r="BG22" i="21" s="1"/>
  <c r="DM9" i="18"/>
  <c r="BG26" i="21" s="1"/>
  <c r="DM13" i="18"/>
  <c r="BG30" i="21" s="1"/>
  <c r="DO3" i="18"/>
  <c r="BH20" i="21" s="1"/>
  <c r="DO8" i="18"/>
  <c r="BH25" i="21" s="1"/>
  <c r="DO11" i="18"/>
  <c r="BH28" i="21" s="1"/>
  <c r="DQ4" i="18"/>
  <c r="BI21" i="21" s="1"/>
  <c r="DQ8" i="18"/>
  <c r="BI25" i="21" s="1"/>
  <c r="DQ12" i="18"/>
  <c r="BI29" i="21" s="1"/>
  <c r="DS6" i="18"/>
  <c r="BJ23" i="21" s="1"/>
  <c r="DS10" i="18"/>
  <c r="BJ27" i="21" s="1"/>
  <c r="DU4" i="18"/>
  <c r="BK21" i="21" s="1"/>
  <c r="DU8" i="18"/>
  <c r="BK25" i="21" s="1"/>
  <c r="DU12" i="18"/>
  <c r="BK29" i="21" s="1"/>
  <c r="DW6" i="18"/>
  <c r="BL23" i="21" s="1"/>
  <c r="DW10" i="18"/>
  <c r="BL27" i="21" s="1"/>
  <c r="DY4" i="18"/>
  <c r="BM21" i="21" s="1"/>
  <c r="DY8" i="18"/>
  <c r="BM25" i="21" s="1"/>
  <c r="DY12" i="18"/>
  <c r="BM29" i="21" s="1"/>
  <c r="EA6" i="18"/>
  <c r="BN23" i="21" s="1"/>
  <c r="EA10" i="18"/>
  <c r="BN27" i="21" s="1"/>
  <c r="EC4" i="18"/>
  <c r="BO21" i="21" s="1"/>
  <c r="EC8" i="18"/>
  <c r="BO25" i="21" s="1"/>
  <c r="EC12" i="18"/>
  <c r="BO29" i="21" s="1"/>
  <c r="EE5" i="18"/>
  <c r="BP22" i="21" s="1"/>
  <c r="EE13" i="18"/>
  <c r="BP30" i="21" s="1"/>
  <c r="EG3" i="18"/>
  <c r="BQ20" i="21" s="1"/>
  <c r="EG7" i="18"/>
  <c r="BQ24" i="21" s="1"/>
  <c r="EG11" i="18"/>
  <c r="BQ28" i="21" s="1"/>
  <c r="EI5" i="18"/>
  <c r="BR22" i="21" s="1"/>
  <c r="EI9" i="18"/>
  <c r="BR26" i="21" s="1"/>
  <c r="EI13" i="18"/>
  <c r="BR30" i="21" s="1"/>
  <c r="EK3" i="18"/>
  <c r="BS20" i="21" s="1"/>
  <c r="EK7" i="18"/>
  <c r="BS24" i="21" s="1"/>
  <c r="EK11" i="18"/>
  <c r="BS28" i="21" s="1"/>
  <c r="EM5" i="18"/>
  <c r="BT22" i="21" s="1"/>
  <c r="EM9" i="18"/>
  <c r="BT26" i="21" s="1"/>
  <c r="EM13" i="18"/>
  <c r="BT30" i="21" s="1"/>
  <c r="EO3" i="18"/>
  <c r="BU20" i="21" s="1"/>
  <c r="EO7" i="18"/>
  <c r="BU24" i="21" s="1"/>
  <c r="EO11" i="18"/>
  <c r="BU28" i="21" s="1"/>
  <c r="EQ5" i="18"/>
  <c r="BV22" i="21" s="1"/>
  <c r="EQ9" i="18"/>
  <c r="BV26" i="21" s="1"/>
  <c r="EQ13" i="18"/>
  <c r="BV30" i="21" s="1"/>
  <c r="EY8" i="18"/>
  <c r="BZ25" i="21" s="1"/>
  <c r="BK8" i="18"/>
  <c r="AF25" i="21" s="1"/>
  <c r="BK12" i="18"/>
  <c r="AF29" i="21" s="1"/>
  <c r="BM6" i="18"/>
  <c r="AG23" i="21" s="1"/>
  <c r="BM10" i="18"/>
  <c r="AG27" i="21" s="1"/>
  <c r="BO4" i="18"/>
  <c r="AH21" i="21" s="1"/>
  <c r="BO8" i="18"/>
  <c r="AH25" i="21" s="1"/>
  <c r="BO12" i="18"/>
  <c r="AH29" i="21" s="1"/>
  <c r="BQ6" i="18"/>
  <c r="AI23" i="21" s="1"/>
  <c r="BQ10" i="18"/>
  <c r="AI27" i="21" s="1"/>
  <c r="BS4" i="18"/>
  <c r="AJ21" i="21" s="1"/>
  <c r="BS8" i="18"/>
  <c r="AJ25" i="21" s="1"/>
  <c r="BS12" i="18"/>
  <c r="AJ29" i="21" s="1"/>
  <c r="BU6" i="18"/>
  <c r="AK23" i="21" s="1"/>
  <c r="BU10" i="18"/>
  <c r="AK27" i="21" s="1"/>
  <c r="BW4" i="18"/>
  <c r="AL21" i="21" s="1"/>
  <c r="BW8" i="18"/>
  <c r="AL25" i="21" s="1"/>
  <c r="BW12" i="18"/>
  <c r="AL29" i="21" s="1"/>
  <c r="BY6" i="18"/>
  <c r="AM23" i="21" s="1"/>
  <c r="BY10" i="18"/>
  <c r="AM27" i="21" s="1"/>
  <c r="CC6" i="18"/>
  <c r="AO23" i="21" s="1"/>
  <c r="CC10" i="18"/>
  <c r="AO27" i="21" s="1"/>
  <c r="CE4" i="18"/>
  <c r="AP21" i="21" s="1"/>
  <c r="CE8" i="18"/>
  <c r="AP25" i="21" s="1"/>
  <c r="CE12" i="18"/>
  <c r="AP29" i="21" s="1"/>
  <c r="CG6" i="18"/>
  <c r="AQ23" i="21" s="1"/>
  <c r="CG10" i="18"/>
  <c r="AQ27" i="21" s="1"/>
  <c r="CI4" i="18"/>
  <c r="AR21" i="21" s="1"/>
  <c r="CI8" i="18"/>
  <c r="AR25" i="21" s="1"/>
  <c r="CI12" i="18"/>
  <c r="AR29" i="21" s="1"/>
  <c r="CK6" i="18"/>
  <c r="AS23" i="21" s="1"/>
  <c r="CK10" i="18"/>
  <c r="AS27" i="21" s="1"/>
  <c r="CM4" i="18"/>
  <c r="AT21" i="21" s="1"/>
  <c r="CM8" i="18"/>
  <c r="AT25" i="21" s="1"/>
  <c r="CM12" i="18"/>
  <c r="AT29" i="21" s="1"/>
  <c r="CO6" i="18"/>
  <c r="AU23" i="21" s="1"/>
  <c r="CO10" i="18"/>
  <c r="AU27" i="21" s="1"/>
  <c r="CQ4" i="18"/>
  <c r="AV21" i="21" s="1"/>
  <c r="CQ8" i="18"/>
  <c r="AV25" i="21" s="1"/>
  <c r="CQ12" i="18"/>
  <c r="AV29" i="21" s="1"/>
  <c r="CS6" i="18"/>
  <c r="AW23" i="21" s="1"/>
  <c r="CS10" i="18"/>
  <c r="AW27" i="21" s="1"/>
  <c r="CU4" i="18"/>
  <c r="AX21" i="21" s="1"/>
  <c r="CU8" i="18"/>
  <c r="AX25" i="21" s="1"/>
  <c r="CU12" i="18"/>
  <c r="AX29" i="21" s="1"/>
  <c r="CW6" i="18"/>
  <c r="AY23" i="21" s="1"/>
  <c r="CW10" i="18"/>
  <c r="AY27" i="21" s="1"/>
  <c r="CY4" i="18"/>
  <c r="AZ21" i="21" s="1"/>
  <c r="CY8" i="18"/>
  <c r="AZ25" i="21" s="1"/>
  <c r="CY12" i="18"/>
  <c r="AZ29" i="21" s="1"/>
  <c r="DA6" i="18"/>
  <c r="BA23" i="21" s="1"/>
  <c r="DA10" i="18"/>
  <c r="BA27" i="21" s="1"/>
  <c r="DC4" i="18"/>
  <c r="BB21" i="21" s="1"/>
  <c r="DC8" i="18"/>
  <c r="BB25" i="21" s="1"/>
  <c r="DC12" i="18"/>
  <c r="BB29" i="21" s="1"/>
  <c r="DE6" i="18"/>
  <c r="BC23" i="21" s="1"/>
  <c r="DE10" i="18"/>
  <c r="BC27" i="21" s="1"/>
  <c r="DG4" i="18"/>
  <c r="BD21" i="21" s="1"/>
  <c r="DG8" i="18"/>
  <c r="BD25" i="21" s="1"/>
  <c r="DG12" i="18"/>
  <c r="BD29" i="21" s="1"/>
  <c r="DI6" i="18"/>
  <c r="BE23" i="21" s="1"/>
  <c r="DI10" i="18"/>
  <c r="BE27" i="21" s="1"/>
  <c r="DK4" i="18"/>
  <c r="BF21" i="21" s="1"/>
  <c r="DK8" i="18"/>
  <c r="BF25" i="21" s="1"/>
  <c r="DK12" i="18"/>
  <c r="BF29" i="21" s="1"/>
  <c r="DM6" i="18"/>
  <c r="BG23" i="21" s="1"/>
  <c r="DM10" i="18"/>
  <c r="BG27" i="21" s="1"/>
  <c r="DO9" i="18"/>
  <c r="BH26" i="21" s="1"/>
  <c r="DQ5" i="18"/>
  <c r="BI22" i="21" s="1"/>
  <c r="DQ9" i="18"/>
  <c r="BI26" i="21" s="1"/>
  <c r="DQ13" i="18"/>
  <c r="BI30" i="21" s="1"/>
  <c r="DS3" i="18"/>
  <c r="BJ20" i="21" s="1"/>
  <c r="DS7" i="18"/>
  <c r="BJ24" i="21" s="1"/>
  <c r="DS11" i="18"/>
  <c r="BJ28" i="21" s="1"/>
  <c r="DU5" i="18"/>
  <c r="BK22" i="21" s="1"/>
  <c r="DU9" i="18"/>
  <c r="BK26" i="21" s="1"/>
  <c r="DU13" i="18"/>
  <c r="BK30" i="21" s="1"/>
  <c r="DW3" i="18"/>
  <c r="BL20" i="21" s="1"/>
  <c r="DW7" i="18"/>
  <c r="BL24" i="21" s="1"/>
  <c r="DW11" i="18"/>
  <c r="BL28" i="21" s="1"/>
  <c r="DY5" i="18"/>
  <c r="BM22" i="21" s="1"/>
  <c r="DY9" i="18"/>
  <c r="BM26" i="21" s="1"/>
  <c r="DY13" i="18"/>
  <c r="BM30" i="21" s="1"/>
  <c r="EA3" i="18"/>
  <c r="BN20" i="21" s="1"/>
  <c r="EA7" i="18"/>
  <c r="BN24" i="21" s="1"/>
  <c r="EA11" i="18"/>
  <c r="BN28" i="21" s="1"/>
  <c r="EC5" i="18"/>
  <c r="BO22" i="21" s="1"/>
  <c r="EC9" i="18"/>
  <c r="BO26" i="21" s="1"/>
  <c r="EC13" i="18"/>
  <c r="BO30" i="21" s="1"/>
  <c r="EE3" i="18"/>
  <c r="BP20" i="21" s="1"/>
  <c r="EE11" i="18"/>
  <c r="BP28" i="21" s="1"/>
  <c r="EG4" i="18"/>
  <c r="BQ21" i="21" s="1"/>
  <c r="EG8" i="18"/>
  <c r="BQ25" i="21" s="1"/>
  <c r="EG12" i="18"/>
  <c r="BQ29" i="21" s="1"/>
  <c r="EI6" i="18"/>
  <c r="BR23" i="21" s="1"/>
  <c r="EI10" i="18"/>
  <c r="BR27" i="21" s="1"/>
  <c r="EK4" i="18"/>
  <c r="BS21" i="21" s="1"/>
  <c r="EK8" i="18"/>
  <c r="BS25" i="21" s="1"/>
  <c r="EK12" i="18"/>
  <c r="BS29" i="21" s="1"/>
  <c r="EM6" i="18"/>
  <c r="BT23" i="21" s="1"/>
  <c r="EM10" i="18"/>
  <c r="BT27" i="21" s="1"/>
  <c r="EO4" i="18"/>
  <c r="BU21" i="21" s="1"/>
  <c r="EO8" i="18"/>
  <c r="BU25" i="21" s="1"/>
  <c r="EO12" i="18"/>
  <c r="BU29" i="21" s="1"/>
  <c r="EQ6" i="18"/>
  <c r="BV23" i="21" s="1"/>
  <c r="EQ10" i="18"/>
  <c r="BV27" i="21" s="1"/>
  <c r="EY5" i="18"/>
  <c r="BZ22" i="21" s="1"/>
  <c r="EY9" i="18"/>
  <c r="BZ26" i="21" s="1"/>
  <c r="EY10" i="18"/>
  <c r="BZ27" i="21" s="1"/>
  <c r="EY3" i="18"/>
  <c r="BZ20" i="21" s="1"/>
  <c r="CA3" i="18"/>
  <c r="AN20" i="21" s="1"/>
  <c r="CA4" i="18"/>
  <c r="AN21" i="21" s="1"/>
  <c r="CA6" i="18"/>
  <c r="AN23" i="21" s="1"/>
  <c r="CA8" i="18"/>
  <c r="AN25" i="21" s="1"/>
  <c r="CA10" i="18"/>
  <c r="AN27" i="21" s="1"/>
  <c r="Q3" i="18"/>
  <c r="I20" i="21" s="1"/>
  <c r="Q6" i="18"/>
  <c r="I23" i="21" s="1"/>
  <c r="Q8" i="18"/>
  <c r="I25" i="21" s="1"/>
  <c r="Q10" i="18"/>
  <c r="I27" i="21" s="1"/>
  <c r="G4" i="18"/>
  <c r="D21" i="21" s="1"/>
  <c r="G8" i="18"/>
  <c r="D25" i="21" s="1"/>
  <c r="G12" i="18"/>
  <c r="D29" i="21" s="1"/>
  <c r="G5" i="18"/>
  <c r="D22" i="21" s="1"/>
  <c r="G9" i="18"/>
  <c r="D26" i="21" s="1"/>
  <c r="G13" i="18"/>
  <c r="D30" i="21" s="1"/>
  <c r="G6" i="18"/>
  <c r="D23" i="21" s="1"/>
  <c r="G10" i="18"/>
  <c r="D27" i="21" s="1"/>
  <c r="G7" i="18"/>
  <c r="D24" i="21" s="1"/>
  <c r="G11" i="18"/>
  <c r="D28" i="21" s="1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E41" i="18"/>
  <c r="C41" i="18"/>
  <c r="EZ14" i="18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A34" i="9"/>
  <c r="B30" i="18" l="1"/>
  <c r="E7" i="18"/>
  <c r="E15" i="18"/>
  <c r="E23" i="18"/>
  <c r="E27" i="18"/>
  <c r="E22" i="18"/>
  <c r="E8" i="18"/>
  <c r="E16" i="18"/>
  <c r="E24" i="18"/>
  <c r="E19" i="18"/>
  <c r="E9" i="18"/>
  <c r="E17" i="18"/>
  <c r="E25" i="18"/>
  <c r="E10" i="18"/>
  <c r="E18" i="18"/>
  <c r="E26" i="18"/>
  <c r="E3" i="18"/>
  <c r="E11" i="18"/>
  <c r="E14" i="18"/>
  <c r="E4" i="18"/>
  <c r="E12" i="18"/>
  <c r="E20" i="18"/>
  <c r="E28" i="18"/>
  <c r="E5" i="18"/>
  <c r="E13" i="18"/>
  <c r="E21" i="18"/>
  <c r="E6" i="18"/>
  <c r="B31" i="18"/>
  <c r="G17" i="21"/>
  <c r="CB17" i="21" s="1"/>
  <c r="V17" i="21"/>
  <c r="R17" i="21"/>
  <c r="AD17" i="21"/>
  <c r="Z17" i="21"/>
  <c r="BP17" i="21"/>
  <c r="BZ17" i="21"/>
  <c r="BL17" i="21"/>
  <c r="BJ17" i="21"/>
  <c r="AN17" i="21"/>
  <c r="BU17" i="21"/>
  <c r="BQ17" i="21"/>
  <c r="H17" i="21"/>
  <c r="BV17" i="21"/>
  <c r="BR17" i="21"/>
  <c r="BB17" i="21"/>
  <c r="AT17" i="21"/>
  <c r="AL17" i="21"/>
  <c r="BI17" i="21"/>
  <c r="AH17" i="21"/>
  <c r="AM17" i="21"/>
  <c r="AE17" i="21"/>
  <c r="M17" i="21"/>
  <c r="W17" i="21"/>
  <c r="BA17" i="21"/>
  <c r="BF17" i="21"/>
  <c r="AX17" i="21"/>
  <c r="AP17" i="21"/>
  <c r="BM17" i="21"/>
  <c r="P17" i="21"/>
  <c r="AQ17" i="21"/>
  <c r="AI17" i="21"/>
  <c r="Q17" i="21"/>
  <c r="F17" i="21"/>
  <c r="AA17" i="21"/>
  <c r="BE17" i="21"/>
  <c r="AW17" i="21"/>
  <c r="BS17" i="21"/>
  <c r="N17" i="21"/>
  <c r="J17" i="21"/>
  <c r="BT17" i="21"/>
  <c r="S17" i="21"/>
  <c r="BX17" i="21"/>
  <c r="BW17" i="21"/>
  <c r="BY17" i="21"/>
  <c r="I17" i="21"/>
  <c r="BN17" i="21"/>
  <c r="BH17" i="21"/>
  <c r="BD17" i="21"/>
  <c r="AZ17" i="21"/>
  <c r="AV17" i="21"/>
  <c r="AR17" i="21"/>
  <c r="BO17" i="21"/>
  <c r="BK17" i="21"/>
  <c r="AJ17" i="21"/>
  <c r="AF17" i="21"/>
  <c r="AB17" i="21"/>
  <c r="X17" i="21"/>
  <c r="T17" i="21"/>
  <c r="L17" i="21"/>
  <c r="AS17" i="21"/>
  <c r="AO17" i="21"/>
  <c r="AK17" i="21"/>
  <c r="AG17" i="21"/>
  <c r="AC17" i="21"/>
  <c r="O17" i="21"/>
  <c r="K17" i="21"/>
  <c r="E17" i="21"/>
  <c r="Y17" i="21"/>
  <c r="U17" i="21"/>
  <c r="BG17" i="21"/>
  <c r="BC17" i="21"/>
  <c r="AY17" i="21"/>
  <c r="AU17" i="21"/>
  <c r="EZ3" i="18"/>
  <c r="F3" i="15"/>
  <c r="O3" i="15" s="1"/>
  <c r="EZ11" i="18"/>
  <c r="F11" i="15"/>
  <c r="EZ10" i="18"/>
  <c r="F10" i="15"/>
  <c r="EZ6" i="18"/>
  <c r="F6" i="15"/>
  <c r="EZ9" i="18"/>
  <c r="F9" i="15"/>
  <c r="EZ7" i="18"/>
  <c r="F7" i="15"/>
  <c r="EZ13" i="18"/>
  <c r="F13" i="15"/>
  <c r="EZ5" i="18"/>
  <c r="F5" i="15"/>
  <c r="EZ12" i="18"/>
  <c r="F12" i="15"/>
  <c r="EZ8" i="18"/>
  <c r="F8" i="15"/>
  <c r="EZ4" i="18"/>
  <c r="F4" i="15"/>
  <c r="B43" i="21"/>
  <c r="B35" i="21"/>
  <c r="B42" i="21"/>
  <c r="B38" i="21"/>
  <c r="B34" i="21"/>
  <c r="B39" i="21"/>
  <c r="B31" i="21"/>
  <c r="B45" i="21"/>
  <c r="B37" i="21"/>
  <c r="B33" i="21"/>
  <c r="B41" i="21"/>
  <c r="FA14" i="18"/>
  <c r="CA31" i="21" s="1"/>
  <c r="B44" i="21"/>
  <c r="B40" i="21"/>
  <c r="B36" i="21"/>
  <c r="B32" i="21"/>
  <c r="EZ19" i="18"/>
  <c r="EZ26" i="18"/>
  <c r="EZ22" i="18"/>
  <c r="EZ18" i="18"/>
  <c r="BX4" i="21"/>
  <c r="BX3" i="21"/>
  <c r="BP3" i="21"/>
  <c r="BP4" i="21"/>
  <c r="BL3" i="21"/>
  <c r="BL4" i="21"/>
  <c r="BF4" i="21"/>
  <c r="BF3" i="21"/>
  <c r="BB4" i="21"/>
  <c r="BB3" i="21"/>
  <c r="AX4" i="21"/>
  <c r="AX3" i="21"/>
  <c r="AT4" i="21"/>
  <c r="AT3" i="21"/>
  <c r="AP4" i="21"/>
  <c r="AP3" i="21"/>
  <c r="AL4" i="21"/>
  <c r="AL3" i="21"/>
  <c r="AS4" i="21"/>
  <c r="AS3" i="21"/>
  <c r="AO4" i="21"/>
  <c r="AO3" i="21"/>
  <c r="EZ23" i="18"/>
  <c r="EZ25" i="18"/>
  <c r="EZ21" i="18"/>
  <c r="EZ17" i="18"/>
  <c r="I3" i="21"/>
  <c r="I4" i="21"/>
  <c r="BY4" i="21"/>
  <c r="BY3" i="21"/>
  <c r="BW3" i="21"/>
  <c r="BW4" i="21"/>
  <c r="BS3" i="21"/>
  <c r="BS4" i="21"/>
  <c r="BM4" i="21"/>
  <c r="BM3" i="21"/>
  <c r="BI4" i="21"/>
  <c r="BI3" i="21"/>
  <c r="AJ3" i="21"/>
  <c r="AJ4" i="21"/>
  <c r="AF3" i="21"/>
  <c r="AF4" i="21"/>
  <c r="AB4" i="21"/>
  <c r="AB3" i="21"/>
  <c r="X4" i="21"/>
  <c r="X3" i="21"/>
  <c r="T3" i="21"/>
  <c r="T4" i="21"/>
  <c r="L4" i="21"/>
  <c r="L3" i="21"/>
  <c r="EZ27" i="18"/>
  <c r="EZ15" i="18"/>
  <c r="BZ4" i="21"/>
  <c r="BZ3" i="21"/>
  <c r="EZ28" i="18"/>
  <c r="EZ24" i="18"/>
  <c r="EZ20" i="18"/>
  <c r="EZ16" i="18"/>
  <c r="AN4" i="21"/>
  <c r="AN3" i="21"/>
  <c r="BN4" i="21"/>
  <c r="BN3" i="21"/>
  <c r="BJ4" i="21"/>
  <c r="BJ3" i="21"/>
  <c r="BH4" i="21"/>
  <c r="BH3" i="21"/>
  <c r="BD4" i="21"/>
  <c r="BD3" i="21"/>
  <c r="AZ3" i="21"/>
  <c r="AZ4" i="21"/>
  <c r="AV3" i="21"/>
  <c r="AV4" i="21"/>
  <c r="AR3" i="21"/>
  <c r="AR4" i="21"/>
  <c r="P4" i="21"/>
  <c r="P3" i="21"/>
  <c r="AQ3" i="21"/>
  <c r="AQ4" i="21"/>
  <c r="AM3" i="21"/>
  <c r="AM4" i="21"/>
  <c r="AI4" i="21"/>
  <c r="AI3" i="21"/>
  <c r="AE3" i="21"/>
  <c r="AE4" i="21"/>
  <c r="BU3" i="21"/>
  <c r="BU4" i="21"/>
  <c r="BQ3" i="21"/>
  <c r="BQ4" i="21"/>
  <c r="BO3" i="21"/>
  <c r="BO4" i="21"/>
  <c r="BK3" i="21"/>
  <c r="BK4" i="21"/>
  <c r="AH4" i="21"/>
  <c r="AH3" i="21"/>
  <c r="AD4" i="21"/>
  <c r="AD3" i="21"/>
  <c r="Z4" i="21"/>
  <c r="Z3" i="21"/>
  <c r="V4" i="21"/>
  <c r="V3" i="21"/>
  <c r="R4" i="21"/>
  <c r="R3" i="21"/>
  <c r="G3" i="21"/>
  <c r="G4" i="21"/>
  <c r="N4" i="21"/>
  <c r="N3" i="21"/>
  <c r="J4" i="21"/>
  <c r="J3" i="21"/>
  <c r="BT4" i="21"/>
  <c r="BT3" i="21"/>
  <c r="S4" i="21"/>
  <c r="S3" i="21"/>
  <c r="D3" i="21"/>
  <c r="D4" i="21"/>
  <c r="AK3" i="21"/>
  <c r="AK4" i="21"/>
  <c r="AG4" i="21"/>
  <c r="AG3" i="21"/>
  <c r="AC4" i="21"/>
  <c r="AC3" i="21"/>
  <c r="O3" i="21"/>
  <c r="O4" i="21"/>
  <c r="K3" i="21"/>
  <c r="K4" i="21"/>
  <c r="E4" i="21"/>
  <c r="E3" i="21"/>
  <c r="Y3" i="21"/>
  <c r="Y4" i="21"/>
  <c r="U3" i="21"/>
  <c r="U4" i="21"/>
  <c r="BE3" i="21"/>
  <c r="BE4" i="21"/>
  <c r="BA3" i="21"/>
  <c r="BA4" i="21"/>
  <c r="AW4" i="21"/>
  <c r="AW3" i="21"/>
  <c r="H4" i="21"/>
  <c r="H3" i="21"/>
  <c r="BV4" i="21"/>
  <c r="BV3" i="21"/>
  <c r="BR4" i="21"/>
  <c r="BR3" i="21"/>
  <c r="Q4" i="21"/>
  <c r="Q3" i="21"/>
  <c r="M4" i="21"/>
  <c r="M3" i="21"/>
  <c r="F4" i="21"/>
  <c r="F3" i="21"/>
  <c r="AA3" i="21"/>
  <c r="AA4" i="21"/>
  <c r="W3" i="21"/>
  <c r="W4" i="21"/>
  <c r="C4" i="21"/>
  <c r="C3" i="21"/>
  <c r="BG3" i="21"/>
  <c r="BG4" i="21"/>
  <c r="BC3" i="21"/>
  <c r="BC4" i="21"/>
  <c r="AY3" i="21"/>
  <c r="AY4" i="21"/>
  <c r="AU3" i="21"/>
  <c r="AU4" i="21"/>
  <c r="B30" i="21"/>
  <c r="B24" i="21"/>
  <c r="B29" i="21"/>
  <c r="B27" i="21"/>
  <c r="B28" i="21"/>
  <c r="B22" i="21"/>
  <c r="B23" i="21"/>
  <c r="B20" i="21"/>
  <c r="B21" i="21"/>
  <c r="B26" i="21"/>
  <c r="B25" i="21"/>
  <c r="C9" i="18" l="1"/>
  <c r="C15" i="18"/>
  <c r="C8" i="18"/>
  <c r="C24" i="18"/>
  <c r="C26" i="18"/>
  <c r="C4" i="18"/>
  <c r="C12" i="18"/>
  <c r="C23" i="18"/>
  <c r="C28" i="18"/>
  <c r="C3" i="18"/>
  <c r="C10" i="18"/>
  <c r="C17" i="18"/>
  <c r="C7" i="18"/>
  <c r="C6" i="18"/>
  <c r="C22" i="18"/>
  <c r="C27" i="18"/>
  <c r="C11" i="18"/>
  <c r="C16" i="18"/>
  <c r="C5" i="18"/>
  <c r="C18" i="18"/>
  <c r="C19" i="18"/>
  <c r="C21" i="18"/>
  <c r="C25" i="18"/>
  <c r="C20" i="18"/>
  <c r="C13" i="18"/>
  <c r="C14" i="18"/>
  <c r="O8" i="15"/>
  <c r="CU8" i="15"/>
  <c r="O7" i="15"/>
  <c r="CU7" i="15"/>
  <c r="O5" i="15"/>
  <c r="CU5" i="15"/>
  <c r="O6" i="15"/>
  <c r="CU6" i="15"/>
  <c r="O4" i="15"/>
  <c r="CU4" i="15"/>
  <c r="O12" i="15"/>
  <c r="CU12" i="15"/>
  <c r="O13" i="15"/>
  <c r="CU13" i="15"/>
  <c r="O9" i="15"/>
  <c r="CU9" i="15"/>
  <c r="O10" i="15"/>
  <c r="CU10" i="15"/>
  <c r="O11" i="15"/>
  <c r="CU11" i="15"/>
  <c r="AE51" i="21"/>
  <c r="G55" i="21"/>
  <c r="BL58" i="21"/>
  <c r="T57" i="21"/>
  <c r="T12" i="21" s="1"/>
  <c r="BH51" i="21"/>
  <c r="X58" i="21"/>
  <c r="Y50" i="21"/>
  <c r="AD51" i="21"/>
  <c r="BS59" i="21"/>
  <c r="AL51" i="21"/>
  <c r="AT60" i="21"/>
  <c r="BX59" i="21"/>
  <c r="AS59" i="21"/>
  <c r="BZ52" i="21"/>
  <c r="AB51" i="21"/>
  <c r="AJ56" i="21"/>
  <c r="BL60" i="21"/>
  <c r="G51" i="21"/>
  <c r="BX51" i="21"/>
  <c r="L60" i="21"/>
  <c r="X60" i="21"/>
  <c r="AF52" i="21"/>
  <c r="I54" i="21"/>
  <c r="AS51" i="21"/>
  <c r="AP52" i="21"/>
  <c r="BF54" i="21"/>
  <c r="BI53" i="21"/>
  <c r="BS52" i="21"/>
  <c r="BY52" i="21"/>
  <c r="AL53" i="21"/>
  <c r="Z60" i="21"/>
  <c r="BH52" i="21"/>
  <c r="AV58" i="21"/>
  <c r="BD55" i="21"/>
  <c r="BJ59" i="21"/>
  <c r="BH54" i="21"/>
  <c r="Z51" i="21"/>
  <c r="BF57" i="21"/>
  <c r="BF12" i="21" s="1"/>
  <c r="BO53" i="21"/>
  <c r="AZ52" i="21"/>
  <c r="BF58" i="21"/>
  <c r="BF55" i="21"/>
  <c r="AO54" i="21"/>
  <c r="AL59" i="21"/>
  <c r="AT51" i="21"/>
  <c r="BB52" i="21"/>
  <c r="BL50" i="21"/>
  <c r="BX57" i="21"/>
  <c r="BX12" i="21" s="1"/>
  <c r="BD52" i="21"/>
  <c r="X52" i="21"/>
  <c r="AV60" i="21"/>
  <c r="AH57" i="21"/>
  <c r="AH12" i="21" s="1"/>
  <c r="AI51" i="21"/>
  <c r="BM60" i="21"/>
  <c r="BB57" i="21"/>
  <c r="BB12" i="21" s="1"/>
  <c r="BY57" i="21"/>
  <c r="BY12" i="21" s="1"/>
  <c r="L53" i="21"/>
  <c r="L52" i="21"/>
  <c r="AI54" i="21"/>
  <c r="O58" i="21"/>
  <c r="AT53" i="21"/>
  <c r="Y53" i="21"/>
  <c r="AL52" i="21"/>
  <c r="AC50" i="21"/>
  <c r="AI58" i="21"/>
  <c r="AL60" i="21"/>
  <c r="AL54" i="21"/>
  <c r="AT59" i="21"/>
  <c r="L51" i="21"/>
  <c r="AL58" i="21"/>
  <c r="AT52" i="21"/>
  <c r="AB57" i="21"/>
  <c r="AB12" i="21" s="1"/>
  <c r="AJ60" i="21"/>
  <c r="BI52" i="21"/>
  <c r="BX56" i="21"/>
  <c r="BW52" i="21"/>
  <c r="AP51" i="21"/>
  <c r="AX54" i="21"/>
  <c r="BF60" i="21"/>
  <c r="BP50" i="21"/>
  <c r="AW50" i="21"/>
  <c r="BE57" i="21"/>
  <c r="BE12" i="21" s="1"/>
  <c r="AL56" i="21"/>
  <c r="BL53" i="21"/>
  <c r="X56" i="21"/>
  <c r="AT57" i="21"/>
  <c r="AT12" i="21" s="1"/>
  <c r="BX52" i="21"/>
  <c r="AT58" i="21"/>
  <c r="Q59" i="21"/>
  <c r="BL51" i="21"/>
  <c r="L56" i="21"/>
  <c r="BZ51" i="21"/>
  <c r="BL56" i="21"/>
  <c r="AT54" i="21"/>
  <c r="BX55" i="21"/>
  <c r="BL57" i="21"/>
  <c r="BL12" i="21" s="1"/>
  <c r="BX58" i="21"/>
  <c r="BX54" i="21"/>
  <c r="BL55" i="21"/>
  <c r="Y57" i="21"/>
  <c r="Y12" i="21" s="1"/>
  <c r="D51" i="21"/>
  <c r="R50" i="21"/>
  <c r="BO52" i="21"/>
  <c r="BU52" i="21"/>
  <c r="X53" i="21"/>
  <c r="AF51" i="21"/>
  <c r="AO53" i="21"/>
  <c r="BF56" i="21"/>
  <c r="BV50" i="21"/>
  <c r="U57" i="21"/>
  <c r="U12" i="21" s="1"/>
  <c r="N55" i="21"/>
  <c r="G57" i="21"/>
  <c r="G12" i="21" s="1"/>
  <c r="V60" i="21"/>
  <c r="AE56" i="21"/>
  <c r="AQ55" i="21"/>
  <c r="BJ54" i="21"/>
  <c r="O50" i="21"/>
  <c r="AD57" i="21"/>
  <c r="AD12" i="21" s="1"/>
  <c r="AM54" i="21"/>
  <c r="P53" i="21"/>
  <c r="T51" i="21"/>
  <c r="AJ58" i="21"/>
  <c r="BS50" i="21"/>
  <c r="AL55" i="21"/>
  <c r="I58" i="21"/>
  <c r="BP53" i="21"/>
  <c r="AC51" i="21"/>
  <c r="AB55" i="21"/>
  <c r="AQ54" i="21"/>
  <c r="BY53" i="21"/>
  <c r="AD53" i="21"/>
  <c r="G58" i="21"/>
  <c r="Z55" i="21"/>
  <c r="AX51" i="21"/>
  <c r="BY58" i="21"/>
  <c r="BP51" i="21"/>
  <c r="BP54" i="21"/>
  <c r="AU57" i="21"/>
  <c r="AU12" i="21" s="1"/>
  <c r="BC56" i="21"/>
  <c r="C55" i="21"/>
  <c r="N57" i="21"/>
  <c r="N12" i="21" s="1"/>
  <c r="M50" i="21"/>
  <c r="G52" i="21"/>
  <c r="AD52" i="21"/>
  <c r="G53" i="21"/>
  <c r="K52" i="21"/>
  <c r="P56" i="21"/>
  <c r="AD56" i="21"/>
  <c r="BF52" i="21"/>
  <c r="AP53" i="21"/>
  <c r="G60" i="21"/>
  <c r="J60" i="21"/>
  <c r="AJ52" i="21"/>
  <c r="AB53" i="21"/>
  <c r="BW60" i="21"/>
  <c r="V53" i="21"/>
  <c r="AB58" i="21"/>
  <c r="BI58" i="21"/>
  <c r="BJ57" i="21"/>
  <c r="BJ12" i="21" s="1"/>
  <c r="BS58" i="21"/>
  <c r="AJ51" i="21"/>
  <c r="BF51" i="21"/>
  <c r="AI53" i="21"/>
  <c r="AJ55" i="21"/>
  <c r="AN55" i="21"/>
  <c r="BM50" i="21"/>
  <c r="AQ51" i="21"/>
  <c r="AB60" i="21"/>
  <c r="AP54" i="21"/>
  <c r="BI51" i="21"/>
  <c r="BW58" i="21"/>
  <c r="AZ58" i="21"/>
  <c r="BP58" i="21"/>
  <c r="AP59" i="21"/>
  <c r="BF59" i="21"/>
  <c r="AJ53" i="21"/>
  <c r="BH59" i="21"/>
  <c r="AB52" i="21"/>
  <c r="BR52" i="21"/>
  <c r="H56" i="21"/>
  <c r="P52" i="21"/>
  <c r="AH52" i="21"/>
  <c r="G56" i="21"/>
  <c r="AB59" i="21"/>
  <c r="AG60" i="21"/>
  <c r="BJ51" i="21"/>
  <c r="G50" i="21"/>
  <c r="AB56" i="21"/>
  <c r="AQ50" i="21"/>
  <c r="BI55" i="21"/>
  <c r="AO59" i="21"/>
  <c r="BW55" i="21"/>
  <c r="BY51" i="21"/>
  <c r="AL50" i="21"/>
  <c r="AT55" i="21"/>
  <c r="BB56" i="21"/>
  <c r="FA15" i="18"/>
  <c r="CA32" i="21" s="1"/>
  <c r="FA17" i="18"/>
  <c r="CA34" i="21"/>
  <c r="FA25" i="18"/>
  <c r="CA42" i="21" s="1"/>
  <c r="FA23" i="18"/>
  <c r="CA40" i="21"/>
  <c r="FA18" i="18"/>
  <c r="CA35" i="21"/>
  <c r="FA26" i="18"/>
  <c r="CA43" i="21"/>
  <c r="M60" i="21"/>
  <c r="BG50" i="21"/>
  <c r="AA54" i="21"/>
  <c r="H57" i="21"/>
  <c r="H12" i="21" s="1"/>
  <c r="J56" i="21"/>
  <c r="N56" i="21"/>
  <c r="AC57" i="21"/>
  <c r="AC12" i="21" s="1"/>
  <c r="H53" i="21"/>
  <c r="Y59" i="21"/>
  <c r="N60" i="21"/>
  <c r="Z59" i="21"/>
  <c r="AE54" i="21"/>
  <c r="E57" i="21"/>
  <c r="E12" i="21" s="1"/>
  <c r="O57" i="21"/>
  <c r="O12" i="21" s="1"/>
  <c r="AD55" i="21"/>
  <c r="AE58" i="21"/>
  <c r="AK50" i="21"/>
  <c r="V52" i="21"/>
  <c r="N53" i="21"/>
  <c r="G59" i="21"/>
  <c r="AD59" i="21"/>
  <c r="BD60" i="21"/>
  <c r="BK53" i="21"/>
  <c r="AE55" i="21"/>
  <c r="AM59" i="21"/>
  <c r="AF57" i="21"/>
  <c r="AF12" i="21" s="1"/>
  <c r="BH53" i="21"/>
  <c r="BS53" i="21"/>
  <c r="AR53" i="21"/>
  <c r="BN59" i="21"/>
  <c r="FA16" i="18"/>
  <c r="CA33" i="21"/>
  <c r="FA24" i="18"/>
  <c r="CA41" i="21"/>
  <c r="AL57" i="21"/>
  <c r="AL12" i="21" s="1"/>
  <c r="BS56" i="21"/>
  <c r="T50" i="21"/>
  <c r="AB50" i="21"/>
  <c r="AJ50" i="21"/>
  <c r="BI50" i="21"/>
  <c r="AS55" i="21"/>
  <c r="Z52" i="21"/>
  <c r="AD60" i="21"/>
  <c r="Z50" i="21"/>
  <c r="AD50" i="21"/>
  <c r="AQ57" i="21"/>
  <c r="AQ12" i="21" s="1"/>
  <c r="FA27" i="18"/>
  <c r="CA44" i="21"/>
  <c r="FA21" i="18"/>
  <c r="CA38" i="21"/>
  <c r="FA22" i="18"/>
  <c r="CA39" i="21"/>
  <c r="FA19" i="18"/>
  <c r="CA36" i="21"/>
  <c r="F56" i="21"/>
  <c r="M51" i="21"/>
  <c r="Q52" i="21"/>
  <c r="O51" i="21"/>
  <c r="V51" i="21"/>
  <c r="N58" i="21"/>
  <c r="S56" i="21"/>
  <c r="J59" i="21"/>
  <c r="N52" i="21"/>
  <c r="N50" i="21"/>
  <c r="AH50" i="21"/>
  <c r="AQ60" i="21"/>
  <c r="BQ52" i="21"/>
  <c r="BJ52" i="21"/>
  <c r="BD54" i="21"/>
  <c r="FA20" i="18"/>
  <c r="CA37" i="21" s="1"/>
  <c r="FA28" i="18"/>
  <c r="CA45" i="21" s="1"/>
  <c r="BZ56" i="21"/>
  <c r="BI57" i="21"/>
  <c r="BI12" i="21" s="1"/>
  <c r="L57" i="21"/>
  <c r="L12" i="21" s="1"/>
  <c r="BP52" i="21"/>
  <c r="BL59" i="21"/>
  <c r="AP56" i="21"/>
  <c r="AX50" i="21"/>
  <c r="AY55" i="21"/>
  <c r="AA57" i="21"/>
  <c r="AA12" i="21" s="1"/>
  <c r="X57" i="21"/>
  <c r="X12" i="21" s="1"/>
  <c r="C54" i="21"/>
  <c r="S59" i="21"/>
  <c r="Q55" i="21"/>
  <c r="AE57" i="21"/>
  <c r="AE12" i="21" s="1"/>
  <c r="AF60" i="21"/>
  <c r="BA55" i="21"/>
  <c r="R56" i="21"/>
  <c r="I51" i="21"/>
  <c r="S53" i="21"/>
  <c r="AP60" i="21"/>
  <c r="AX60" i="21"/>
  <c r="AE59" i="21"/>
  <c r="T58" i="21"/>
  <c r="AF58" i="21"/>
  <c r="BP59" i="21"/>
  <c r="BW57" i="21"/>
  <c r="BW12" i="21" s="1"/>
  <c r="BB54" i="21"/>
  <c r="AF59" i="21"/>
  <c r="BB59" i="21"/>
  <c r="AF56" i="21"/>
  <c r="AO55" i="21"/>
  <c r="AO56" i="21"/>
  <c r="AS56" i="21"/>
  <c r="AX58" i="21"/>
  <c r="BB58" i="21"/>
  <c r="BN53" i="21"/>
  <c r="AP55" i="21"/>
  <c r="BN50" i="21"/>
  <c r="I57" i="21"/>
  <c r="I12" i="21" s="1"/>
  <c r="T54" i="21"/>
  <c r="BW51" i="21"/>
  <c r="E53" i="21"/>
  <c r="T56" i="21"/>
  <c r="BC50" i="21"/>
  <c r="BG57" i="21"/>
  <c r="BG12" i="21" s="1"/>
  <c r="C50" i="21"/>
  <c r="AF53" i="21"/>
  <c r="C57" i="21"/>
  <c r="C12" i="21" s="1"/>
  <c r="I59" i="21"/>
  <c r="X59" i="21"/>
  <c r="AE53" i="21"/>
  <c r="R52" i="21"/>
  <c r="H59" i="21"/>
  <c r="R59" i="21"/>
  <c r="T52" i="21"/>
  <c r="AW58" i="21"/>
  <c r="BE50" i="21"/>
  <c r="BM53" i="21"/>
  <c r="Y51" i="21"/>
  <c r="I60" i="21"/>
  <c r="T59" i="21"/>
  <c r="AG50" i="21"/>
  <c r="J53" i="21"/>
  <c r="R51" i="21"/>
  <c r="Y58" i="21"/>
  <c r="AS54" i="21"/>
  <c r="AZ60" i="21"/>
  <c r="BM57" i="21"/>
  <c r="BM12" i="21" s="1"/>
  <c r="N59" i="21"/>
  <c r="Z58" i="21"/>
  <c r="AD58" i="21"/>
  <c r="AH58" i="21"/>
  <c r="AX57" i="21"/>
  <c r="AX12" i="21" s="1"/>
  <c r="BM58" i="21"/>
  <c r="AS52" i="21"/>
  <c r="BM59" i="21"/>
  <c r="AS53" i="21"/>
  <c r="AE50" i="21"/>
  <c r="AM55" i="21"/>
  <c r="AQ59" i="21"/>
  <c r="T53" i="21"/>
  <c r="Z54" i="21"/>
  <c r="AZ57" i="21"/>
  <c r="AZ12" i="21" s="1"/>
  <c r="AP58" i="21"/>
  <c r="AZ50" i="21"/>
  <c r="BH50" i="21"/>
  <c r="AS57" i="21"/>
  <c r="AS12" i="21" s="1"/>
  <c r="X50" i="21"/>
  <c r="AJ54" i="21"/>
  <c r="AX59" i="21"/>
  <c r="BB50" i="21"/>
  <c r="BX53" i="21"/>
  <c r="BP56" i="21"/>
  <c r="F60" i="21"/>
  <c r="R55" i="21"/>
  <c r="AV52" i="21"/>
  <c r="T60" i="21"/>
  <c r="BV57" i="21"/>
  <c r="BV12" i="21" s="1"/>
  <c r="F54" i="21"/>
  <c r="T55" i="21"/>
  <c r="AN60" i="21"/>
  <c r="U56" i="21"/>
  <c r="AO51" i="21"/>
  <c r="X51" i="21"/>
  <c r="AX52" i="21"/>
  <c r="BN51" i="21"/>
  <c r="BT57" i="21"/>
  <c r="BT12" i="21" s="1"/>
  <c r="X55" i="21"/>
  <c r="AN52" i="21"/>
  <c r="BB60" i="21"/>
  <c r="J58" i="21"/>
  <c r="S55" i="21"/>
  <c r="BP57" i="21"/>
  <c r="BP12" i="21" s="1"/>
  <c r="R53" i="21"/>
  <c r="AZ53" i="21"/>
  <c r="AO52" i="21"/>
  <c r="BU60" i="21"/>
  <c r="AM53" i="21"/>
  <c r="AI55" i="21"/>
  <c r="AO58" i="21"/>
  <c r="AS58" i="21"/>
  <c r="BN55" i="21"/>
  <c r="AE60" i="21"/>
  <c r="BB53" i="21"/>
  <c r="AV50" i="21"/>
  <c r="AX55" i="21"/>
  <c r="BZ57" i="21"/>
  <c r="BZ12" i="21" s="1"/>
  <c r="BI60" i="21"/>
  <c r="AO60" i="21"/>
  <c r="BW50" i="21"/>
  <c r="BB51" i="21"/>
  <c r="BP55" i="21"/>
  <c r="BP60" i="21"/>
  <c r="W71" i="21"/>
  <c r="W65" i="21"/>
  <c r="W62" i="21"/>
  <c r="W68" i="21"/>
  <c r="W64" i="21"/>
  <c r="W75" i="21"/>
  <c r="W69" i="21"/>
  <c r="W66" i="21"/>
  <c r="W72" i="21"/>
  <c r="W63" i="21"/>
  <c r="W73" i="21"/>
  <c r="W70" i="21"/>
  <c r="W67" i="21"/>
  <c r="W74" i="21"/>
  <c r="W61" i="21"/>
  <c r="AK54" i="21"/>
  <c r="BR54" i="21"/>
  <c r="E54" i="21"/>
  <c r="F57" i="21"/>
  <c r="F12" i="21" s="1"/>
  <c r="V70" i="21"/>
  <c r="V74" i="21"/>
  <c r="V69" i="21"/>
  <c r="V67" i="21"/>
  <c r="V73" i="21"/>
  <c r="V71" i="21"/>
  <c r="V64" i="21"/>
  <c r="V61" i="21"/>
  <c r="V75" i="21"/>
  <c r="V68" i="21"/>
  <c r="V72" i="21"/>
  <c r="V62" i="21"/>
  <c r="V63" i="21"/>
  <c r="V66" i="21"/>
  <c r="V65" i="21"/>
  <c r="AU55" i="21"/>
  <c r="BA59" i="21"/>
  <c r="BK71" i="21"/>
  <c r="BK72" i="21"/>
  <c r="BK65" i="21"/>
  <c r="BK62" i="21"/>
  <c r="BK64" i="21"/>
  <c r="BK75" i="21"/>
  <c r="BK69" i="21"/>
  <c r="BK66" i="21"/>
  <c r="BK63" i="21"/>
  <c r="BK73" i="21"/>
  <c r="BK70" i="21"/>
  <c r="BK67" i="21"/>
  <c r="BK68" i="21"/>
  <c r="BK74" i="21"/>
  <c r="BK61" i="21"/>
  <c r="BT55" i="21"/>
  <c r="AW52" i="21"/>
  <c r="BG60" i="21"/>
  <c r="BQ71" i="21"/>
  <c r="BQ68" i="21"/>
  <c r="BQ65" i="21"/>
  <c r="BQ74" i="21"/>
  <c r="BQ75" i="21"/>
  <c r="BQ72" i="21"/>
  <c r="BQ69" i="21"/>
  <c r="BQ62" i="21"/>
  <c r="BQ63" i="21"/>
  <c r="BQ73" i="21"/>
  <c r="BQ66" i="21"/>
  <c r="BQ64" i="21"/>
  <c r="BQ61" i="21"/>
  <c r="BQ70" i="21"/>
  <c r="BQ67" i="21"/>
  <c r="BA53" i="21"/>
  <c r="V56" i="21"/>
  <c r="AC58" i="21"/>
  <c r="BA54" i="21"/>
  <c r="K59" i="21"/>
  <c r="P62" i="21"/>
  <c r="P69" i="21"/>
  <c r="P67" i="21"/>
  <c r="P64" i="21"/>
  <c r="P70" i="21"/>
  <c r="P66" i="21"/>
  <c r="P73" i="21"/>
  <c r="P71" i="21"/>
  <c r="P68" i="21"/>
  <c r="P74" i="21"/>
  <c r="P61" i="21"/>
  <c r="P75" i="21"/>
  <c r="P72" i="21"/>
  <c r="P63" i="21"/>
  <c r="P65" i="21"/>
  <c r="BV58" i="21"/>
  <c r="F52" i="21"/>
  <c r="W55" i="21"/>
  <c r="H51" i="21"/>
  <c r="O53" i="21"/>
  <c r="U52" i="21"/>
  <c r="AY51" i="21"/>
  <c r="BE55" i="21"/>
  <c r="BK54" i="21"/>
  <c r="BQ57" i="21"/>
  <c r="BQ12" i="21" s="1"/>
  <c r="AR62" i="21"/>
  <c r="AR69" i="21"/>
  <c r="AR74" i="21"/>
  <c r="AR67" i="21"/>
  <c r="AR70" i="21"/>
  <c r="AR72" i="21"/>
  <c r="AR73" i="21"/>
  <c r="AR71" i="21"/>
  <c r="AR61" i="21"/>
  <c r="AR75" i="21"/>
  <c r="AR64" i="21"/>
  <c r="AR66" i="21"/>
  <c r="AR63" i="21"/>
  <c r="AR65" i="21"/>
  <c r="AR68" i="21"/>
  <c r="BE56" i="21"/>
  <c r="BT52" i="21"/>
  <c r="AG53" i="21"/>
  <c r="AM57" i="21"/>
  <c r="AM12" i="21" s="1"/>
  <c r="AU53" i="21"/>
  <c r="BA57" i="21"/>
  <c r="BA12" i="21" s="1"/>
  <c r="BH56" i="21"/>
  <c r="BK56" i="21"/>
  <c r="BT53" i="21"/>
  <c r="AN74" i="21"/>
  <c r="AN69" i="21"/>
  <c r="AN67" i="21"/>
  <c r="AN64" i="21"/>
  <c r="AN73" i="21"/>
  <c r="AN71" i="21"/>
  <c r="AN68" i="21"/>
  <c r="AN62" i="21"/>
  <c r="AN61" i="21"/>
  <c r="AN75" i="21"/>
  <c r="AN72" i="21"/>
  <c r="AN63" i="21"/>
  <c r="AN66" i="21"/>
  <c r="AN65" i="21"/>
  <c r="AN70" i="21"/>
  <c r="D52" i="21"/>
  <c r="BR53" i="21"/>
  <c r="BA58" i="21"/>
  <c r="U59" i="21"/>
  <c r="AI59" i="21"/>
  <c r="L69" i="21"/>
  <c r="L67" i="21"/>
  <c r="L72" i="21"/>
  <c r="L62" i="21"/>
  <c r="L73" i="21"/>
  <c r="L71" i="21"/>
  <c r="L70" i="21"/>
  <c r="L66" i="21"/>
  <c r="L61" i="21"/>
  <c r="L75" i="21"/>
  <c r="L64" i="21"/>
  <c r="L63" i="21"/>
  <c r="L65" i="21"/>
  <c r="L74" i="21"/>
  <c r="L68" i="21"/>
  <c r="H55" i="21"/>
  <c r="AC56" i="21"/>
  <c r="AF74" i="21"/>
  <c r="AF69" i="21"/>
  <c r="AF67" i="21"/>
  <c r="AF64" i="21"/>
  <c r="AF73" i="21"/>
  <c r="AF71" i="21"/>
  <c r="AF68" i="21"/>
  <c r="AF62" i="21"/>
  <c r="AF61" i="21"/>
  <c r="AF75" i="21"/>
  <c r="AF72" i="21"/>
  <c r="AF70" i="21"/>
  <c r="AF63" i="21"/>
  <c r="AF66" i="21"/>
  <c r="AF65" i="21"/>
  <c r="AV53" i="21"/>
  <c r="BK58" i="21"/>
  <c r="BN56" i="21"/>
  <c r="BU53" i="21"/>
  <c r="AM52" i="21"/>
  <c r="AR54" i="21"/>
  <c r="AW60" i="21"/>
  <c r="BC52" i="21"/>
  <c r="BH55" i="21"/>
  <c r="BN57" i="21"/>
  <c r="BN12" i="21" s="1"/>
  <c r="AG57" i="21"/>
  <c r="AG12" i="21" s="1"/>
  <c r="BN54" i="21"/>
  <c r="BY71" i="21"/>
  <c r="BY68" i="21"/>
  <c r="BY65" i="21"/>
  <c r="BY74" i="21"/>
  <c r="BY75" i="21"/>
  <c r="BY72" i="21"/>
  <c r="BY69" i="21"/>
  <c r="BY62" i="21"/>
  <c r="BY63" i="21"/>
  <c r="BY73" i="21"/>
  <c r="BY66" i="21"/>
  <c r="BY64" i="21"/>
  <c r="BY70" i="21"/>
  <c r="BY61" i="21"/>
  <c r="BY67" i="21"/>
  <c r="BY56" i="21"/>
  <c r="I71" i="21"/>
  <c r="I65" i="21"/>
  <c r="I66" i="21"/>
  <c r="I75" i="21"/>
  <c r="I69" i="21"/>
  <c r="I70" i="21"/>
  <c r="I64" i="21"/>
  <c r="I63" i="21"/>
  <c r="I73" i="21"/>
  <c r="I74" i="21"/>
  <c r="I68" i="21"/>
  <c r="I62" i="21"/>
  <c r="I72" i="21"/>
  <c r="I61" i="21"/>
  <c r="I67" i="21"/>
  <c r="FA3" i="18"/>
  <c r="CA20" i="21" s="1"/>
  <c r="AO68" i="21"/>
  <c r="AO71" i="21"/>
  <c r="AO65" i="21"/>
  <c r="AO66" i="21"/>
  <c r="AO64" i="21"/>
  <c r="AO75" i="21"/>
  <c r="AO69" i="21"/>
  <c r="AO70" i="21"/>
  <c r="AO72" i="21"/>
  <c r="AO63" i="21"/>
  <c r="AO73" i="21"/>
  <c r="AO74" i="21"/>
  <c r="AO62" i="21"/>
  <c r="AO61" i="21"/>
  <c r="AO67" i="21"/>
  <c r="AS50" i="21"/>
  <c r="AV56" i="21"/>
  <c r="BD56" i="21"/>
  <c r="I52" i="21"/>
  <c r="AA51" i="21"/>
  <c r="C59" i="21"/>
  <c r="U55" i="21"/>
  <c r="F53" i="21"/>
  <c r="Y60" i="21"/>
  <c r="AE52" i="21"/>
  <c r="AX53" i="21"/>
  <c r="BD57" i="21"/>
  <c r="BD12" i="21" s="1"/>
  <c r="BJ60" i="21"/>
  <c r="BW53" i="21"/>
  <c r="AP74" i="21"/>
  <c r="AP69" i="21"/>
  <c r="AP67" i="21"/>
  <c r="AP68" i="21"/>
  <c r="AP62" i="21"/>
  <c r="AP73" i="21"/>
  <c r="AP71" i="21"/>
  <c r="AP72" i="21"/>
  <c r="AP70" i="21"/>
  <c r="AP61" i="21"/>
  <c r="AP75" i="21"/>
  <c r="AP64" i="21"/>
  <c r="AP66" i="21"/>
  <c r="AP63" i="21"/>
  <c r="AP65" i="21"/>
  <c r="AT50" i="21"/>
  <c r="AY56" i="21"/>
  <c r="BF69" i="21"/>
  <c r="BF67" i="21"/>
  <c r="BF68" i="21"/>
  <c r="BF73" i="21"/>
  <c r="BF66" i="21"/>
  <c r="BF71" i="21"/>
  <c r="BF72" i="21"/>
  <c r="BF61" i="21"/>
  <c r="BF74" i="21"/>
  <c r="BF75" i="21"/>
  <c r="BF62" i="21"/>
  <c r="BF63" i="21"/>
  <c r="BF70" i="21"/>
  <c r="BF65" i="21"/>
  <c r="BF64" i="21"/>
  <c r="BJ53" i="21"/>
  <c r="BV52" i="21"/>
  <c r="AI57" i="21"/>
  <c r="AI12" i="21" s="1"/>
  <c r="AQ53" i="21"/>
  <c r="AW57" i="21"/>
  <c r="AW12" i="21" s="1"/>
  <c r="BD51" i="21"/>
  <c r="BJ58" i="21"/>
  <c r="BM56" i="21"/>
  <c r="BP69" i="21"/>
  <c r="BP66" i="21"/>
  <c r="BP67" i="21"/>
  <c r="BP72" i="21"/>
  <c r="BP73" i="21"/>
  <c r="BP70" i="21"/>
  <c r="BP71" i="21"/>
  <c r="BP61" i="21"/>
  <c r="BP74" i="21"/>
  <c r="BP75" i="21"/>
  <c r="BP64" i="21"/>
  <c r="BP62" i="21"/>
  <c r="BP63" i="21"/>
  <c r="BP68" i="21"/>
  <c r="BP65" i="21"/>
  <c r="BY54" i="21"/>
  <c r="AN53" i="21"/>
  <c r="D58" i="21"/>
  <c r="FA4" i="18"/>
  <c r="CA21" i="21" s="1"/>
  <c r="AU71" i="21"/>
  <c r="AU65" i="21"/>
  <c r="AU62" i="21"/>
  <c r="AU75" i="21"/>
  <c r="AU69" i="21"/>
  <c r="AU66" i="21"/>
  <c r="AU63" i="21"/>
  <c r="AU73" i="21"/>
  <c r="AU64" i="21"/>
  <c r="AU70" i="21"/>
  <c r="AU67" i="21"/>
  <c r="AU72" i="21"/>
  <c r="AU74" i="21"/>
  <c r="AU68" i="21"/>
  <c r="AU61" i="21"/>
  <c r="BT69" i="21"/>
  <c r="BT74" i="21"/>
  <c r="BT67" i="21"/>
  <c r="BT64" i="21"/>
  <c r="BT73" i="21"/>
  <c r="BT62" i="21"/>
  <c r="BT71" i="21"/>
  <c r="BT68" i="21"/>
  <c r="BT61" i="21"/>
  <c r="BT66" i="21"/>
  <c r="BT75" i="21"/>
  <c r="BT72" i="21"/>
  <c r="BT70" i="21"/>
  <c r="BT63" i="21"/>
  <c r="BT65" i="21"/>
  <c r="E58" i="21"/>
  <c r="O52" i="21"/>
  <c r="AY50" i="21"/>
  <c r="BG71" i="21"/>
  <c r="BG72" i="21"/>
  <c r="BG65" i="21"/>
  <c r="BG68" i="21"/>
  <c r="BG70" i="21"/>
  <c r="BG75" i="21"/>
  <c r="BG69" i="21"/>
  <c r="BG74" i="21"/>
  <c r="BG63" i="21"/>
  <c r="BG73" i="21"/>
  <c r="BG62" i="21"/>
  <c r="BG67" i="21"/>
  <c r="BG64" i="21"/>
  <c r="BG66" i="21"/>
  <c r="BG61" i="21"/>
  <c r="AA50" i="21"/>
  <c r="K60" i="21"/>
  <c r="F50" i="21"/>
  <c r="M68" i="21"/>
  <c r="M71" i="21"/>
  <c r="M65" i="21"/>
  <c r="M74" i="21"/>
  <c r="M72" i="21"/>
  <c r="M75" i="21"/>
  <c r="M69" i="21"/>
  <c r="M62" i="21"/>
  <c r="M63" i="21"/>
  <c r="M73" i="21"/>
  <c r="M66" i="21"/>
  <c r="M70" i="21"/>
  <c r="M61" i="21"/>
  <c r="M64" i="21"/>
  <c r="M67" i="21"/>
  <c r="Q50" i="21"/>
  <c r="BR50" i="21"/>
  <c r="BV69" i="21"/>
  <c r="BV62" i="21"/>
  <c r="BV67" i="21"/>
  <c r="BV68" i="21"/>
  <c r="BV73" i="21"/>
  <c r="BV66" i="21"/>
  <c r="BV71" i="21"/>
  <c r="BV72" i="21"/>
  <c r="BV61" i="21"/>
  <c r="BV70" i="21"/>
  <c r="BV75" i="21"/>
  <c r="BV64" i="21"/>
  <c r="BV74" i="21"/>
  <c r="BV63" i="21"/>
  <c r="BV65" i="21"/>
  <c r="H50" i="21"/>
  <c r="H52" i="21"/>
  <c r="M54" i="21"/>
  <c r="BA50" i="21"/>
  <c r="U50" i="21"/>
  <c r="AH53" i="21"/>
  <c r="AA55" i="21"/>
  <c r="O68" i="21"/>
  <c r="O71" i="21"/>
  <c r="O65" i="21"/>
  <c r="O62" i="21"/>
  <c r="O75" i="21"/>
  <c r="O69" i="21"/>
  <c r="O66" i="21"/>
  <c r="O64" i="21"/>
  <c r="O63" i="21"/>
  <c r="O73" i="21"/>
  <c r="O70" i="21"/>
  <c r="O67" i="21"/>
  <c r="O74" i="21"/>
  <c r="O72" i="21"/>
  <c r="O61" i="21"/>
  <c r="AA53" i="21"/>
  <c r="U54" i="21"/>
  <c r="AH56" i="21"/>
  <c r="AK71" i="21"/>
  <c r="AK65" i="21"/>
  <c r="AK74" i="21"/>
  <c r="AK64" i="21"/>
  <c r="AK75" i="21"/>
  <c r="AK69" i="21"/>
  <c r="AK62" i="21"/>
  <c r="AK72" i="21"/>
  <c r="AK68" i="21"/>
  <c r="AK63" i="21"/>
  <c r="AK73" i="21"/>
  <c r="AK66" i="21"/>
  <c r="AK61" i="21"/>
  <c r="AK70" i="21"/>
  <c r="AK67" i="21"/>
  <c r="S50" i="21"/>
  <c r="AM51" i="21"/>
  <c r="J50" i="21"/>
  <c r="U51" i="21"/>
  <c r="H60" i="21"/>
  <c r="S57" i="21"/>
  <c r="S12" i="21" s="1"/>
  <c r="F55" i="21"/>
  <c r="AA58" i="21"/>
  <c r="AG54" i="21"/>
  <c r="AR52" i="21"/>
  <c r="W51" i="21"/>
  <c r="AK55" i="21"/>
  <c r="BT54" i="21"/>
  <c r="J54" i="21"/>
  <c r="Y55" i="21"/>
  <c r="J51" i="21"/>
  <c r="P55" i="21"/>
  <c r="Z74" i="21"/>
  <c r="Z69" i="21"/>
  <c r="Z67" i="21"/>
  <c r="Z68" i="21"/>
  <c r="Z73" i="21"/>
  <c r="Z71" i="21"/>
  <c r="Z72" i="21"/>
  <c r="Z66" i="21"/>
  <c r="Z62" i="21"/>
  <c r="Z61" i="21"/>
  <c r="Z75" i="21"/>
  <c r="Z70" i="21"/>
  <c r="Z63" i="21"/>
  <c r="Z65" i="21"/>
  <c r="Z64" i="21"/>
  <c r="AI56" i="21"/>
  <c r="AW51" i="21"/>
  <c r="BC55" i="21"/>
  <c r="BO71" i="21"/>
  <c r="BO64" i="21"/>
  <c r="BO65" i="21"/>
  <c r="BO70" i="21"/>
  <c r="BO75" i="21"/>
  <c r="BO68" i="21"/>
  <c r="BO69" i="21"/>
  <c r="BO74" i="21"/>
  <c r="BO63" i="21"/>
  <c r="BO72" i="21"/>
  <c r="BO73" i="21"/>
  <c r="BO62" i="21"/>
  <c r="BO67" i="21"/>
  <c r="BO61" i="21"/>
  <c r="BO66" i="21"/>
  <c r="BV51" i="21"/>
  <c r="AM60" i="21"/>
  <c r="BC60" i="21"/>
  <c r="BO55" i="21"/>
  <c r="BR56" i="21"/>
  <c r="BU71" i="21"/>
  <c r="BU65" i="21"/>
  <c r="BU66" i="21"/>
  <c r="BU75" i="21"/>
  <c r="BU64" i="21"/>
  <c r="BU69" i="21"/>
  <c r="BU70" i="21"/>
  <c r="BU63" i="21"/>
  <c r="BU68" i="21"/>
  <c r="BU73" i="21"/>
  <c r="BU74" i="21"/>
  <c r="BU62" i="21"/>
  <c r="BU72" i="21"/>
  <c r="BU61" i="21"/>
  <c r="BU67" i="21"/>
  <c r="AH55" i="21"/>
  <c r="AV55" i="21"/>
  <c r="D53" i="21"/>
  <c r="AG58" i="21"/>
  <c r="AM64" i="21"/>
  <c r="AM71" i="21"/>
  <c r="AM65" i="21"/>
  <c r="AM62" i="21"/>
  <c r="AM72" i="21"/>
  <c r="AM75" i="21"/>
  <c r="AM69" i="21"/>
  <c r="AM66" i="21"/>
  <c r="AM68" i="21"/>
  <c r="AM63" i="21"/>
  <c r="AM73" i="21"/>
  <c r="AM70" i="21"/>
  <c r="AM67" i="21"/>
  <c r="AM61" i="21"/>
  <c r="AM74" i="21"/>
  <c r="AU54" i="21"/>
  <c r="BC54" i="21"/>
  <c r="Z53" i="21"/>
  <c r="J55" i="21"/>
  <c r="P59" i="21"/>
  <c r="V54" i="21"/>
  <c r="AA60" i="21"/>
  <c r="AG52" i="21"/>
  <c r="BG51" i="21"/>
  <c r="AK56" i="21"/>
  <c r="AV69" i="21"/>
  <c r="AV62" i="21"/>
  <c r="AV67" i="21"/>
  <c r="AV66" i="21"/>
  <c r="AV64" i="21"/>
  <c r="AV73" i="21"/>
  <c r="AV70" i="21"/>
  <c r="AV71" i="21"/>
  <c r="AV74" i="21"/>
  <c r="AV68" i="21"/>
  <c r="AV61" i="21"/>
  <c r="AV75" i="21"/>
  <c r="AV72" i="21"/>
  <c r="AV63" i="21"/>
  <c r="AV65" i="21"/>
  <c r="BD50" i="21"/>
  <c r="BO59" i="21"/>
  <c r="BU54" i="21"/>
  <c r="AH59" i="21"/>
  <c r="AV59" i="21"/>
  <c r="BC53" i="21"/>
  <c r="BJ50" i="21"/>
  <c r="BO56" i="21"/>
  <c r="BU59" i="21"/>
  <c r="D57" i="21"/>
  <c r="D12" i="21" s="1"/>
  <c r="FA6" i="18"/>
  <c r="CA23" i="21" s="1"/>
  <c r="AU58" i="21"/>
  <c r="BC58" i="21"/>
  <c r="H54" i="21"/>
  <c r="Z57" i="21"/>
  <c r="Z12" i="21" s="1"/>
  <c r="BU56" i="21"/>
  <c r="R60" i="21"/>
  <c r="AA59" i="21"/>
  <c r="T62" i="21"/>
  <c r="T69" i="21"/>
  <c r="T67" i="21"/>
  <c r="T72" i="21"/>
  <c r="T66" i="21"/>
  <c r="T73" i="21"/>
  <c r="T71" i="21"/>
  <c r="T70" i="21"/>
  <c r="T61" i="21"/>
  <c r="T75" i="21"/>
  <c r="T64" i="21"/>
  <c r="T63" i="21"/>
  <c r="T65" i="21"/>
  <c r="T74" i="21"/>
  <c r="T68" i="21"/>
  <c r="X70" i="21"/>
  <c r="X69" i="21"/>
  <c r="X67" i="21"/>
  <c r="X64" i="21"/>
  <c r="X73" i="21"/>
  <c r="X71" i="21"/>
  <c r="X68" i="21"/>
  <c r="X66" i="21"/>
  <c r="X61" i="21"/>
  <c r="X75" i="21"/>
  <c r="X72" i="21"/>
  <c r="X62" i="21"/>
  <c r="X63" i="21"/>
  <c r="X65" i="21"/>
  <c r="X74" i="21"/>
  <c r="AG56" i="21"/>
  <c r="AJ70" i="21"/>
  <c r="AJ66" i="21"/>
  <c r="AJ69" i="21"/>
  <c r="AJ67" i="21"/>
  <c r="AJ72" i="21"/>
  <c r="AJ74" i="21"/>
  <c r="AJ73" i="21"/>
  <c r="AJ71" i="21"/>
  <c r="AJ61" i="21"/>
  <c r="AJ75" i="21"/>
  <c r="AJ64" i="21"/>
  <c r="AJ63" i="21"/>
  <c r="AJ68" i="21"/>
  <c r="AJ65" i="21"/>
  <c r="AJ62" i="21"/>
  <c r="AW59" i="21"/>
  <c r="BD53" i="21"/>
  <c r="BI71" i="21"/>
  <c r="BI72" i="21"/>
  <c r="BI65" i="21"/>
  <c r="BI74" i="21"/>
  <c r="BI75" i="21"/>
  <c r="BI69" i="21"/>
  <c r="BI62" i="21"/>
  <c r="BI63" i="21"/>
  <c r="BI73" i="21"/>
  <c r="BI66" i="21"/>
  <c r="BI64" i="21"/>
  <c r="BI61" i="21"/>
  <c r="BI67" i="21"/>
  <c r="BI70" i="21"/>
  <c r="BI68" i="21"/>
  <c r="BO58" i="21"/>
  <c r="BV59" i="21"/>
  <c r="AN54" i="21"/>
  <c r="AS60" i="21"/>
  <c r="AY52" i="21"/>
  <c r="BI59" i="21"/>
  <c r="BS71" i="21"/>
  <c r="BS72" i="21"/>
  <c r="BS65" i="21"/>
  <c r="BS62" i="21"/>
  <c r="BS75" i="21"/>
  <c r="BS69" i="21"/>
  <c r="BS66" i="21"/>
  <c r="BS63" i="21"/>
  <c r="BS64" i="21"/>
  <c r="BS73" i="21"/>
  <c r="BS70" i="21"/>
  <c r="BS67" i="21"/>
  <c r="BS68" i="21"/>
  <c r="BS61" i="21"/>
  <c r="BS74" i="21"/>
  <c r="AW53" i="21"/>
  <c r="BC57" i="21"/>
  <c r="BC12" i="21" s="1"/>
  <c r="BO60" i="21"/>
  <c r="BV53" i="21"/>
  <c r="AN51" i="21"/>
  <c r="BK52" i="21"/>
  <c r="I55" i="21"/>
  <c r="FA5" i="18"/>
  <c r="CA22" i="21" s="1"/>
  <c r="AS71" i="21"/>
  <c r="AS65" i="21"/>
  <c r="AS74" i="21"/>
  <c r="AS75" i="21"/>
  <c r="AS69" i="21"/>
  <c r="AS64" i="21"/>
  <c r="AS62" i="21"/>
  <c r="AS63" i="21"/>
  <c r="AS73" i="21"/>
  <c r="AS68" i="21"/>
  <c r="AS66" i="21"/>
  <c r="AS72" i="21"/>
  <c r="AS70" i="21"/>
  <c r="AS61" i="21"/>
  <c r="AS67" i="21"/>
  <c r="AX56" i="21"/>
  <c r="M52" i="21"/>
  <c r="AP57" i="21"/>
  <c r="AP12" i="21" s="1"/>
  <c r="BO57" i="21"/>
  <c r="BO12" i="21" s="1"/>
  <c r="BW56" i="21"/>
  <c r="I56" i="21"/>
  <c r="P51" i="21"/>
  <c r="U60" i="21"/>
  <c r="AA52" i="21"/>
  <c r="AF54" i="21"/>
  <c r="AY59" i="21"/>
  <c r="BF53" i="21"/>
  <c r="BL52" i="21"/>
  <c r="BR55" i="21"/>
  <c r="BX60" i="21"/>
  <c r="AM56" i="21"/>
  <c r="AT69" i="21"/>
  <c r="AT67" i="21"/>
  <c r="AT62" i="21"/>
  <c r="AT73" i="21"/>
  <c r="AT66" i="21"/>
  <c r="AT71" i="21"/>
  <c r="AT70" i="21"/>
  <c r="AT64" i="21"/>
  <c r="AT61" i="21"/>
  <c r="AT74" i="21"/>
  <c r="AT75" i="21"/>
  <c r="AT68" i="21"/>
  <c r="AT72" i="21"/>
  <c r="AT63" i="21"/>
  <c r="AT65" i="21"/>
  <c r="BK59" i="21"/>
  <c r="BW54" i="21"/>
  <c r="AK53" i="21"/>
  <c r="AR59" i="21"/>
  <c r="AY53" i="21"/>
  <c r="BN58" i="21"/>
  <c r="BQ59" i="21"/>
  <c r="BX50" i="21"/>
  <c r="I53" i="21"/>
  <c r="FA8" i="18"/>
  <c r="CA25" i="21" s="1"/>
  <c r="W57" i="21"/>
  <c r="W12" i="21" s="1"/>
  <c r="E64" i="21"/>
  <c r="E71" i="21"/>
  <c r="E74" i="21"/>
  <c r="E68" i="21"/>
  <c r="E75" i="21"/>
  <c r="E62" i="21"/>
  <c r="E72" i="21"/>
  <c r="E63" i="21"/>
  <c r="E61" i="21"/>
  <c r="E65" i="21"/>
  <c r="E66" i="21"/>
  <c r="E73" i="21"/>
  <c r="E70" i="21"/>
  <c r="E67" i="21"/>
  <c r="E69" i="21"/>
  <c r="K72" i="21"/>
  <c r="K71" i="21"/>
  <c r="K65" i="21"/>
  <c r="K70" i="21"/>
  <c r="K75" i="21"/>
  <c r="K69" i="21"/>
  <c r="K74" i="21"/>
  <c r="K64" i="21"/>
  <c r="K63" i="21"/>
  <c r="K73" i="21"/>
  <c r="K62" i="21"/>
  <c r="K67" i="21"/>
  <c r="K68" i="21"/>
  <c r="K66" i="21"/>
  <c r="K61" i="21"/>
  <c r="D70" i="21"/>
  <c r="D64" i="21"/>
  <c r="D73" i="21"/>
  <c r="D67" i="21"/>
  <c r="D74" i="21"/>
  <c r="D68" i="21"/>
  <c r="D72" i="21"/>
  <c r="D61" i="21"/>
  <c r="D75" i="21"/>
  <c r="D63" i="21"/>
  <c r="D62" i="21"/>
  <c r="D65" i="21"/>
  <c r="D69" i="21"/>
  <c r="D71" i="21"/>
  <c r="D66" i="21"/>
  <c r="AU50" i="21"/>
  <c r="BC71" i="21"/>
  <c r="BC65" i="21"/>
  <c r="BC64" i="21"/>
  <c r="BC62" i="21"/>
  <c r="BC75" i="21"/>
  <c r="BC68" i="21"/>
  <c r="BC69" i="21"/>
  <c r="BC72" i="21"/>
  <c r="BC66" i="21"/>
  <c r="BC63" i="21"/>
  <c r="BC73" i="21"/>
  <c r="BC70" i="21"/>
  <c r="BC67" i="21"/>
  <c r="BC74" i="21"/>
  <c r="BC61" i="21"/>
  <c r="C68" i="21"/>
  <c r="C64" i="21"/>
  <c r="C71" i="21"/>
  <c r="C73" i="21"/>
  <c r="C74" i="21"/>
  <c r="C72" i="21"/>
  <c r="C75" i="21"/>
  <c r="C62" i="21"/>
  <c r="C63" i="21"/>
  <c r="C61" i="21"/>
  <c r="C66" i="21"/>
  <c r="C67" i="21"/>
  <c r="C69" i="21"/>
  <c r="C65" i="21"/>
  <c r="C70" i="21"/>
  <c r="W50" i="21"/>
  <c r="K51" i="21"/>
  <c r="O60" i="21"/>
  <c r="F66" i="21"/>
  <c r="F69" i="21"/>
  <c r="F63" i="21"/>
  <c r="F67" i="21"/>
  <c r="F70" i="21"/>
  <c r="F73" i="21"/>
  <c r="F71" i="21"/>
  <c r="F75" i="21"/>
  <c r="F64" i="21"/>
  <c r="F61" i="21"/>
  <c r="F68" i="21"/>
  <c r="F74" i="21"/>
  <c r="F62" i="21"/>
  <c r="F72" i="21"/>
  <c r="F65" i="21"/>
  <c r="Q71" i="21"/>
  <c r="Q65" i="21"/>
  <c r="Q66" i="21"/>
  <c r="Q75" i="21"/>
  <c r="Q69" i="21"/>
  <c r="Q70" i="21"/>
  <c r="Q64" i="21"/>
  <c r="Q63" i="21"/>
  <c r="Q73" i="21"/>
  <c r="Q74" i="21"/>
  <c r="Q72" i="21"/>
  <c r="Q68" i="21"/>
  <c r="Q61" i="21"/>
  <c r="Q67" i="21"/>
  <c r="Q62" i="21"/>
  <c r="AG51" i="21"/>
  <c r="BR69" i="21"/>
  <c r="BR70" i="21"/>
  <c r="BR67" i="21"/>
  <c r="BR73" i="21"/>
  <c r="BR74" i="21"/>
  <c r="BR71" i="21"/>
  <c r="BR64" i="21"/>
  <c r="BR61" i="21"/>
  <c r="BR62" i="21"/>
  <c r="BR75" i="21"/>
  <c r="BR68" i="21"/>
  <c r="BR66" i="21"/>
  <c r="BR63" i="21"/>
  <c r="BR72" i="21"/>
  <c r="BR65" i="21"/>
  <c r="H62" i="21"/>
  <c r="H69" i="21"/>
  <c r="H67" i="21"/>
  <c r="H63" i="21"/>
  <c r="H64" i="21"/>
  <c r="H66" i="21"/>
  <c r="H70" i="21"/>
  <c r="H73" i="21"/>
  <c r="H71" i="21"/>
  <c r="H68" i="21"/>
  <c r="H74" i="21"/>
  <c r="H61" i="21"/>
  <c r="H75" i="21"/>
  <c r="H72" i="21"/>
  <c r="H65" i="21"/>
  <c r="BE71" i="21"/>
  <c r="BE68" i="21"/>
  <c r="BE65" i="21"/>
  <c r="BE64" i="21"/>
  <c r="BE66" i="21"/>
  <c r="BE75" i="21"/>
  <c r="BE69" i="21"/>
  <c r="BE72" i="21"/>
  <c r="BE70" i="21"/>
  <c r="BE63" i="21"/>
  <c r="BE73" i="21"/>
  <c r="BE74" i="21"/>
  <c r="BE61" i="21"/>
  <c r="BE67" i="21"/>
  <c r="BE62" i="21"/>
  <c r="Y64" i="21"/>
  <c r="Y71" i="21"/>
  <c r="Y65" i="21"/>
  <c r="Y66" i="21"/>
  <c r="Y72" i="21"/>
  <c r="Y68" i="21"/>
  <c r="Y75" i="21"/>
  <c r="Y69" i="21"/>
  <c r="Y70" i="21"/>
  <c r="Y63" i="21"/>
  <c r="Y73" i="21"/>
  <c r="Y74" i="21"/>
  <c r="Y61" i="21"/>
  <c r="Y67" i="21"/>
  <c r="Y62" i="21"/>
  <c r="M55" i="21"/>
  <c r="O59" i="21"/>
  <c r="E56" i="21"/>
  <c r="K50" i="21"/>
  <c r="M58" i="21"/>
  <c r="V55" i="21"/>
  <c r="W54" i="21"/>
  <c r="AC64" i="21"/>
  <c r="AC71" i="21"/>
  <c r="AC65" i="21"/>
  <c r="AC74" i="21"/>
  <c r="AC68" i="21"/>
  <c r="AC75" i="21"/>
  <c r="AC69" i="21"/>
  <c r="AC62" i="21"/>
  <c r="AC72" i="21"/>
  <c r="AC63" i="21"/>
  <c r="AC73" i="21"/>
  <c r="AC66" i="21"/>
  <c r="AC61" i="21"/>
  <c r="AC67" i="21"/>
  <c r="AC70" i="21"/>
  <c r="D50" i="21"/>
  <c r="S71" i="21"/>
  <c r="S65" i="21"/>
  <c r="S70" i="21"/>
  <c r="S75" i="21"/>
  <c r="S69" i="21"/>
  <c r="S74" i="21"/>
  <c r="S72" i="21"/>
  <c r="S64" i="21"/>
  <c r="S63" i="21"/>
  <c r="S73" i="21"/>
  <c r="S62" i="21"/>
  <c r="S67" i="21"/>
  <c r="S68" i="21"/>
  <c r="S66" i="21"/>
  <c r="S61" i="21"/>
  <c r="Q51" i="21"/>
  <c r="Q57" i="21"/>
  <c r="Q12" i="21" s="1"/>
  <c r="J62" i="21"/>
  <c r="J66" i="21"/>
  <c r="J69" i="21"/>
  <c r="J67" i="21"/>
  <c r="J68" i="21"/>
  <c r="J74" i="21"/>
  <c r="J70" i="21"/>
  <c r="J73" i="21"/>
  <c r="J71" i="21"/>
  <c r="J72" i="21"/>
  <c r="J61" i="21"/>
  <c r="J75" i="21"/>
  <c r="J64" i="21"/>
  <c r="J63" i="21"/>
  <c r="J65" i="21"/>
  <c r="C53" i="21"/>
  <c r="J52" i="21"/>
  <c r="O54" i="21"/>
  <c r="U53" i="21"/>
  <c r="U58" i="21"/>
  <c r="AC54" i="21"/>
  <c r="AH60" i="21"/>
  <c r="N62" i="21"/>
  <c r="N69" i="21"/>
  <c r="N67" i="21"/>
  <c r="N70" i="21"/>
  <c r="N73" i="21"/>
  <c r="N71" i="21"/>
  <c r="N64" i="21"/>
  <c r="N66" i="21"/>
  <c r="N61" i="21"/>
  <c r="N75" i="21"/>
  <c r="N68" i="21"/>
  <c r="N72" i="21"/>
  <c r="N63" i="21"/>
  <c r="N74" i="21"/>
  <c r="N65" i="21"/>
  <c r="BV54" i="21"/>
  <c r="G68" i="21"/>
  <c r="G71" i="21"/>
  <c r="G62" i="21"/>
  <c r="G75" i="21"/>
  <c r="G66" i="21"/>
  <c r="G64" i="21"/>
  <c r="G63" i="21"/>
  <c r="G61" i="21"/>
  <c r="G65" i="21"/>
  <c r="G70" i="21"/>
  <c r="G67" i="21"/>
  <c r="G69" i="21"/>
  <c r="G73" i="21"/>
  <c r="G72" i="21"/>
  <c r="G74" i="21"/>
  <c r="M56" i="21"/>
  <c r="K57" i="21"/>
  <c r="K12" i="21" s="1"/>
  <c r="W56" i="21"/>
  <c r="AD74" i="21"/>
  <c r="AD70" i="21"/>
  <c r="AD69" i="21"/>
  <c r="AD67" i="21"/>
  <c r="AD73" i="21"/>
  <c r="AD71" i="21"/>
  <c r="AD64" i="21"/>
  <c r="AD61" i="21"/>
  <c r="AD75" i="21"/>
  <c r="AD68" i="21"/>
  <c r="AD62" i="21"/>
  <c r="AD63" i="21"/>
  <c r="AD66" i="21"/>
  <c r="AD65" i="21"/>
  <c r="AD72" i="21"/>
  <c r="BE51" i="21"/>
  <c r="BK50" i="21"/>
  <c r="BQ53" i="21"/>
  <c r="AY60" i="21"/>
  <c r="BE52" i="21"/>
  <c r="BQ50" i="21"/>
  <c r="BV56" i="21"/>
  <c r="Z56" i="21"/>
  <c r="AI50" i="21"/>
  <c r="AK58" i="21"/>
  <c r="AN56" i="21"/>
  <c r="AQ71" i="21"/>
  <c r="AQ65" i="21"/>
  <c r="AQ70" i="21"/>
  <c r="AQ64" i="21"/>
  <c r="AQ75" i="21"/>
  <c r="AQ69" i="21"/>
  <c r="AQ74" i="21"/>
  <c r="AQ68" i="21"/>
  <c r="AQ63" i="21"/>
  <c r="AQ73" i="21"/>
  <c r="AQ62" i="21"/>
  <c r="AQ67" i="21"/>
  <c r="AQ66" i="21"/>
  <c r="AQ72" i="21"/>
  <c r="AQ61" i="21"/>
  <c r="AW54" i="21"/>
  <c r="BE54" i="21"/>
  <c r="K56" i="21"/>
  <c r="BR58" i="21"/>
  <c r="J57" i="21"/>
  <c r="J12" i="21" s="1"/>
  <c r="N54" i="21"/>
  <c r="C52" i="21"/>
  <c r="R54" i="21"/>
  <c r="W60" i="21"/>
  <c r="AC52" i="21"/>
  <c r="AH54" i="21"/>
  <c r="AU59" i="21"/>
  <c r="BH60" i="21"/>
  <c r="BN52" i="21"/>
  <c r="BT59" i="21"/>
  <c r="AR50" i="21"/>
  <c r="AW56" i="21"/>
  <c r="AZ69" i="21"/>
  <c r="AZ66" i="21"/>
  <c r="AZ67" i="21"/>
  <c r="AZ72" i="21"/>
  <c r="AZ73" i="21"/>
  <c r="AZ74" i="21"/>
  <c r="AZ71" i="21"/>
  <c r="AZ61" i="21"/>
  <c r="AZ75" i="21"/>
  <c r="AZ62" i="21"/>
  <c r="AZ64" i="21"/>
  <c r="AZ63" i="21"/>
  <c r="AZ65" i="21"/>
  <c r="AZ68" i="21"/>
  <c r="AZ70" i="21"/>
  <c r="BD69" i="21"/>
  <c r="BD67" i="21"/>
  <c r="BD64" i="21"/>
  <c r="BD73" i="21"/>
  <c r="BD71" i="21"/>
  <c r="BD68" i="21"/>
  <c r="BD61" i="21"/>
  <c r="BD66" i="21"/>
  <c r="BD75" i="21"/>
  <c r="BD62" i="21"/>
  <c r="BD72" i="21"/>
  <c r="BD63" i="21"/>
  <c r="BD65" i="21"/>
  <c r="BD70" i="21"/>
  <c r="BD74" i="21"/>
  <c r="BK51" i="21"/>
  <c r="BQ54" i="21"/>
  <c r="BV60" i="21"/>
  <c r="AR51" i="21"/>
  <c r="BD59" i="21"/>
  <c r="BJ69" i="21"/>
  <c r="BJ67" i="21"/>
  <c r="BJ62" i="21"/>
  <c r="BJ73" i="21"/>
  <c r="BJ66" i="21"/>
  <c r="BJ71" i="21"/>
  <c r="BJ70" i="21"/>
  <c r="BJ64" i="21"/>
  <c r="BJ61" i="21"/>
  <c r="BJ74" i="21"/>
  <c r="BJ75" i="21"/>
  <c r="BJ68" i="21"/>
  <c r="BJ63" i="21"/>
  <c r="BJ65" i="21"/>
  <c r="BJ72" i="21"/>
  <c r="BQ51" i="21"/>
  <c r="AN57" i="21"/>
  <c r="AN12" i="21" s="1"/>
  <c r="FA10" i="18"/>
  <c r="CA27" i="21" s="1"/>
  <c r="BZ50" i="21"/>
  <c r="FA9" i="18"/>
  <c r="CA26" i="21" s="1"/>
  <c r="BE58" i="21"/>
  <c r="L54" i="21"/>
  <c r="AC55" i="21"/>
  <c r="H58" i="21"/>
  <c r="O56" i="21"/>
  <c r="C56" i="21"/>
  <c r="L55" i="21"/>
  <c r="R58" i="21"/>
  <c r="AB62" i="21"/>
  <c r="AB69" i="21"/>
  <c r="AB67" i="21"/>
  <c r="AB72" i="21"/>
  <c r="AB66" i="21"/>
  <c r="AB73" i="21"/>
  <c r="AB71" i="21"/>
  <c r="AB70" i="21"/>
  <c r="AB61" i="21"/>
  <c r="AB75" i="21"/>
  <c r="AB64" i="21"/>
  <c r="AB63" i="21"/>
  <c r="AB65" i="21"/>
  <c r="AB68" i="21"/>
  <c r="AB74" i="21"/>
  <c r="AF50" i="21"/>
  <c r="BH57" i="21"/>
  <c r="BH12" i="21" s="1"/>
  <c r="BE59" i="21"/>
  <c r="BM71" i="21"/>
  <c r="BM65" i="21"/>
  <c r="BM66" i="21"/>
  <c r="BM75" i="21"/>
  <c r="BM64" i="21"/>
  <c r="BM69" i="21"/>
  <c r="BM70" i="21"/>
  <c r="BM63" i="21"/>
  <c r="BM68" i="21"/>
  <c r="BM73" i="21"/>
  <c r="BM74" i="21"/>
  <c r="BM61" i="21"/>
  <c r="BM62" i="21"/>
  <c r="BM67" i="21"/>
  <c r="BM72" i="21"/>
  <c r="BR51" i="21"/>
  <c r="AU52" i="21"/>
  <c r="AZ54" i="21"/>
  <c r="BE60" i="21"/>
  <c r="BK55" i="21"/>
  <c r="BQ58" i="21"/>
  <c r="BT56" i="21"/>
  <c r="BW71" i="21"/>
  <c r="BW64" i="21"/>
  <c r="BW65" i="21"/>
  <c r="BW70" i="21"/>
  <c r="BW75" i="21"/>
  <c r="BW68" i="21"/>
  <c r="BW69" i="21"/>
  <c r="BW74" i="21"/>
  <c r="BW63" i="21"/>
  <c r="BW72" i="21"/>
  <c r="BW73" i="21"/>
  <c r="BW62" i="21"/>
  <c r="BW67" i="21"/>
  <c r="BW66" i="21"/>
  <c r="BW61" i="21"/>
  <c r="AJ59" i="21"/>
  <c r="AR55" i="21"/>
  <c r="BE53" i="21"/>
  <c r="BK60" i="21"/>
  <c r="BQ55" i="21"/>
  <c r="BW59" i="21"/>
  <c r="I50" i="21"/>
  <c r="D56" i="21"/>
  <c r="FA7" i="18"/>
  <c r="CA24" i="21" s="1"/>
  <c r="AM58" i="21"/>
  <c r="AZ56" i="21"/>
  <c r="AG59" i="21"/>
  <c r="BQ60" i="21"/>
  <c r="G54" i="21"/>
  <c r="L58" i="21"/>
  <c r="AC59" i="21"/>
  <c r="K53" i="21"/>
  <c r="Q60" i="21"/>
  <c r="W52" i="21"/>
  <c r="AB54" i="21"/>
  <c r="AU51" i="21"/>
  <c r="BG59" i="21"/>
  <c r="BM54" i="21"/>
  <c r="BT51" i="21"/>
  <c r="AN58" i="21"/>
  <c r="AQ56" i="21"/>
  <c r="AX69" i="21"/>
  <c r="AX62" i="21"/>
  <c r="AX67" i="21"/>
  <c r="AX74" i="21"/>
  <c r="AX68" i="21"/>
  <c r="AX73" i="21"/>
  <c r="AX70" i="21"/>
  <c r="AX71" i="21"/>
  <c r="AX72" i="21"/>
  <c r="AX61" i="21"/>
  <c r="AX75" i="21"/>
  <c r="AX64" i="21"/>
  <c r="AX63" i="21"/>
  <c r="AX66" i="21"/>
  <c r="AX65" i="21"/>
  <c r="BD58" i="21"/>
  <c r="BG56" i="21"/>
  <c r="BM55" i="21"/>
  <c r="BS54" i="21"/>
  <c r="AF55" i="21"/>
  <c r="AZ59" i="21"/>
  <c r="BG53" i="21"/>
  <c r="BS55" i="21"/>
  <c r="BX69" i="21"/>
  <c r="BX66" i="21"/>
  <c r="BX67" i="21"/>
  <c r="BX72" i="21"/>
  <c r="BX73" i="21"/>
  <c r="BX70" i="21"/>
  <c r="BX71" i="21"/>
  <c r="BX61" i="21"/>
  <c r="BX74" i="21"/>
  <c r="BX75" i="21"/>
  <c r="BX64" i="21"/>
  <c r="BX63" i="21"/>
  <c r="BX65" i="21"/>
  <c r="BX62" i="21"/>
  <c r="BX68" i="21"/>
  <c r="BY59" i="21"/>
  <c r="D55" i="21"/>
  <c r="FA12" i="18"/>
  <c r="CA29" i="21" s="1"/>
  <c r="B3" i="21"/>
  <c r="B4" i="21"/>
  <c r="AY71" i="21"/>
  <c r="AY65" i="21"/>
  <c r="AY70" i="21"/>
  <c r="AY75" i="21"/>
  <c r="AY69" i="21"/>
  <c r="AY68" i="21"/>
  <c r="AY74" i="21"/>
  <c r="AY63" i="21"/>
  <c r="AY64" i="21"/>
  <c r="AY73" i="21"/>
  <c r="AY62" i="21"/>
  <c r="AY67" i="21"/>
  <c r="AY72" i="21"/>
  <c r="AY66" i="21"/>
  <c r="AY61" i="21"/>
  <c r="AA71" i="21"/>
  <c r="AA65" i="21"/>
  <c r="AA70" i="21"/>
  <c r="AA64" i="21"/>
  <c r="AA75" i="21"/>
  <c r="AA69" i="21"/>
  <c r="AA74" i="21"/>
  <c r="AA68" i="21"/>
  <c r="AA63" i="21"/>
  <c r="AA73" i="21"/>
  <c r="AA62" i="21"/>
  <c r="AA67" i="21"/>
  <c r="AA66" i="21"/>
  <c r="AA72" i="21"/>
  <c r="AA61" i="21"/>
  <c r="C51" i="21"/>
  <c r="K58" i="21"/>
  <c r="W53" i="21"/>
  <c r="F51" i="21"/>
  <c r="AK51" i="21"/>
  <c r="K55" i="21"/>
  <c r="E52" i="21"/>
  <c r="AW71" i="21"/>
  <c r="AW65" i="21"/>
  <c r="AW66" i="21"/>
  <c r="AW75" i="21"/>
  <c r="AW69" i="21"/>
  <c r="AW70" i="21"/>
  <c r="AW63" i="21"/>
  <c r="AW64" i="21"/>
  <c r="AW73" i="21"/>
  <c r="AW68" i="21"/>
  <c r="AW74" i="21"/>
  <c r="AW72" i="21"/>
  <c r="AW61" i="21"/>
  <c r="AW67" i="21"/>
  <c r="AW62" i="21"/>
  <c r="BA71" i="21"/>
  <c r="BA65" i="21"/>
  <c r="BA64" i="21"/>
  <c r="BA74" i="21"/>
  <c r="BA75" i="21"/>
  <c r="BA69" i="21"/>
  <c r="BA72" i="21"/>
  <c r="BA62" i="21"/>
  <c r="BA63" i="21"/>
  <c r="BA68" i="21"/>
  <c r="BA73" i="21"/>
  <c r="BA66" i="21"/>
  <c r="BA61" i="21"/>
  <c r="BA67" i="21"/>
  <c r="BA70" i="21"/>
  <c r="C58" i="21"/>
  <c r="U64" i="21"/>
  <c r="U71" i="21"/>
  <c r="U65" i="21"/>
  <c r="U74" i="21"/>
  <c r="U68" i="21"/>
  <c r="U75" i="21"/>
  <c r="U69" i="21"/>
  <c r="U62" i="21"/>
  <c r="U72" i="21"/>
  <c r="U63" i="21"/>
  <c r="U73" i="21"/>
  <c r="U66" i="21"/>
  <c r="U61" i="21"/>
  <c r="U67" i="21"/>
  <c r="U70" i="21"/>
  <c r="E50" i="21"/>
  <c r="F58" i="21"/>
  <c r="Q58" i="21"/>
  <c r="Y54" i="21"/>
  <c r="AG64" i="21"/>
  <c r="AG71" i="21"/>
  <c r="AG65" i="21"/>
  <c r="AG66" i="21"/>
  <c r="AG72" i="21"/>
  <c r="AG68" i="21"/>
  <c r="AG75" i="21"/>
  <c r="AG69" i="21"/>
  <c r="AG70" i="21"/>
  <c r="AG63" i="21"/>
  <c r="AG73" i="21"/>
  <c r="AG74" i="21"/>
  <c r="AG61" i="21"/>
  <c r="AG62" i="21"/>
  <c r="AG67" i="21"/>
  <c r="BT50" i="21"/>
  <c r="Q53" i="21"/>
  <c r="E60" i="21"/>
  <c r="K54" i="21"/>
  <c r="P60" i="21"/>
  <c r="V59" i="21"/>
  <c r="AC53" i="21"/>
  <c r="W58" i="21"/>
  <c r="S54" i="21"/>
  <c r="O55" i="21"/>
  <c r="Q54" i="21"/>
  <c r="E51" i="21"/>
  <c r="M53" i="21"/>
  <c r="R62" i="21"/>
  <c r="R66" i="21"/>
  <c r="R69" i="21"/>
  <c r="R67" i="21"/>
  <c r="R68" i="21"/>
  <c r="R70" i="21"/>
  <c r="R74" i="21"/>
  <c r="R73" i="21"/>
  <c r="R71" i="21"/>
  <c r="R72" i="21"/>
  <c r="R61" i="21"/>
  <c r="R75" i="21"/>
  <c r="R64" i="21"/>
  <c r="R63" i="21"/>
  <c r="R65" i="21"/>
  <c r="V50" i="21"/>
  <c r="AA56" i="21"/>
  <c r="AH74" i="21"/>
  <c r="AH69" i="21"/>
  <c r="AH67" i="21"/>
  <c r="AH68" i="21"/>
  <c r="AH73" i="21"/>
  <c r="AH71" i="21"/>
  <c r="AH72" i="21"/>
  <c r="AH70" i="21"/>
  <c r="AH62" i="21"/>
  <c r="AH61" i="21"/>
  <c r="AH75" i="21"/>
  <c r="AH66" i="21"/>
  <c r="AH63" i="21"/>
  <c r="AH64" i="21"/>
  <c r="AH65" i="21"/>
  <c r="BO50" i="21"/>
  <c r="BR59" i="21"/>
  <c r="AK52" i="21"/>
  <c r="AU60" i="21"/>
  <c r="BA52" i="21"/>
  <c r="BU50" i="21"/>
  <c r="AK57" i="21"/>
  <c r="AK12" i="21" s="1"/>
  <c r="AY57" i="21"/>
  <c r="AY12" i="21" s="1"/>
  <c r="S58" i="21"/>
  <c r="AE71" i="21"/>
  <c r="AE65" i="21"/>
  <c r="AE62" i="21"/>
  <c r="AE68" i="21"/>
  <c r="AE64" i="21"/>
  <c r="AE75" i="21"/>
  <c r="AE69" i="21"/>
  <c r="AE66" i="21"/>
  <c r="AE72" i="21"/>
  <c r="AE63" i="21"/>
  <c r="AE73" i="21"/>
  <c r="AE70" i="21"/>
  <c r="AE67" i="21"/>
  <c r="AE74" i="21"/>
  <c r="AE61" i="21"/>
  <c r="AI71" i="21"/>
  <c r="AI65" i="21"/>
  <c r="AI70" i="21"/>
  <c r="AI64" i="21"/>
  <c r="AI75" i="21"/>
  <c r="AI69" i="21"/>
  <c r="AI74" i="21"/>
  <c r="AI68" i="21"/>
  <c r="AI63" i="21"/>
  <c r="AI73" i="21"/>
  <c r="AI62" i="21"/>
  <c r="AI67" i="21"/>
  <c r="AI72" i="21"/>
  <c r="AI61" i="21"/>
  <c r="AI66" i="21"/>
  <c r="AM50" i="21"/>
  <c r="AR56" i="21"/>
  <c r="AY54" i="21"/>
  <c r="BG54" i="21"/>
  <c r="P50" i="21"/>
  <c r="W59" i="21"/>
  <c r="AK59" i="21"/>
  <c r="BK57" i="21"/>
  <c r="BK12" i="21" s="1"/>
  <c r="BT58" i="21"/>
  <c r="P57" i="21"/>
  <c r="P12" i="21" s="1"/>
  <c r="R57" i="21"/>
  <c r="R12" i="21" s="1"/>
  <c r="E55" i="21"/>
  <c r="M57" i="21"/>
  <c r="M12" i="21" s="1"/>
  <c r="S60" i="21"/>
  <c r="Y52" i="21"/>
  <c r="AD54" i="21"/>
  <c r="AI60" i="21"/>
  <c r="AW55" i="21"/>
  <c r="BC59" i="21"/>
  <c r="BO54" i="21"/>
  <c r="BV55" i="21"/>
  <c r="AN59" i="21"/>
  <c r="BA56" i="21"/>
  <c r="BH69" i="21"/>
  <c r="BH67" i="21"/>
  <c r="BH72" i="21"/>
  <c r="BH73" i="21"/>
  <c r="BH62" i="21"/>
  <c r="BH71" i="21"/>
  <c r="BH66" i="21"/>
  <c r="BH61" i="21"/>
  <c r="BH70" i="21"/>
  <c r="BH75" i="21"/>
  <c r="BH74" i="21"/>
  <c r="BH64" i="21"/>
  <c r="BH63" i="21"/>
  <c r="BH65" i="21"/>
  <c r="BH68" i="21"/>
  <c r="BR60" i="21"/>
  <c r="AZ51" i="21"/>
  <c r="BN69" i="21"/>
  <c r="BN62" i="21"/>
  <c r="BN67" i="21"/>
  <c r="BN68" i="21"/>
  <c r="BN73" i="21"/>
  <c r="BN66" i="21"/>
  <c r="BN71" i="21"/>
  <c r="BN72" i="21"/>
  <c r="BN61" i="21"/>
  <c r="BN70" i="21"/>
  <c r="BN75" i="21"/>
  <c r="BN63" i="21"/>
  <c r="BN64" i="21"/>
  <c r="BN65" i="21"/>
  <c r="BN74" i="21"/>
  <c r="BR57" i="21"/>
  <c r="BR12" i="21" s="1"/>
  <c r="AN50" i="21"/>
  <c r="BZ65" i="21"/>
  <c r="BZ62" i="21"/>
  <c r="BZ63" i="21"/>
  <c r="BZ72" i="21"/>
  <c r="BZ69" i="21"/>
  <c r="BZ66" i="21"/>
  <c r="BZ67" i="21"/>
  <c r="BZ60" i="21"/>
  <c r="BZ53" i="21"/>
  <c r="BZ73" i="21"/>
  <c r="BZ54" i="21"/>
  <c r="BZ70" i="21"/>
  <c r="BZ71" i="21"/>
  <c r="BZ64" i="21"/>
  <c r="BZ58" i="21"/>
  <c r="BZ68" i="21"/>
  <c r="BZ74" i="21"/>
  <c r="BZ59" i="21"/>
  <c r="BZ61" i="21"/>
  <c r="BZ75" i="21"/>
  <c r="AR60" i="21"/>
  <c r="AY58" i="21"/>
  <c r="BG58" i="21"/>
  <c r="P58" i="21"/>
  <c r="AG55" i="21"/>
  <c r="AR57" i="21"/>
  <c r="AR12" i="21" s="1"/>
  <c r="BQ56" i="21"/>
  <c r="F59" i="21"/>
  <c r="L50" i="21"/>
  <c r="S51" i="21"/>
  <c r="E59" i="21"/>
  <c r="N51" i="21"/>
  <c r="V58" i="21"/>
  <c r="Y56" i="21"/>
  <c r="BA51" i="21"/>
  <c r="BG55" i="21"/>
  <c r="BJ56" i="21"/>
  <c r="BS57" i="21"/>
  <c r="BS12" i="21" s="1"/>
  <c r="AK60" i="21"/>
  <c r="AQ52" i="21"/>
  <c r="AV54" i="21"/>
  <c r="BA60" i="21"/>
  <c r="BG52" i="21"/>
  <c r="BM51" i="21"/>
  <c r="BU58" i="21"/>
  <c r="BZ55" i="21"/>
  <c r="AZ55" i="21"/>
  <c r="BM52" i="21"/>
  <c r="BS51" i="21"/>
  <c r="BY50" i="21"/>
  <c r="BY55" i="21"/>
  <c r="D54" i="21"/>
  <c r="FA11" i="18"/>
  <c r="CA28" i="21" s="1"/>
  <c r="BU55" i="21"/>
  <c r="AO50" i="21"/>
  <c r="AQ58" i="21"/>
  <c r="AT56" i="21"/>
  <c r="Q56" i="21"/>
  <c r="V57" i="21"/>
  <c r="V12" i="21" s="1"/>
  <c r="AJ57" i="21"/>
  <c r="AJ12" i="21" s="1"/>
  <c r="BJ55" i="21"/>
  <c r="BS60" i="21"/>
  <c r="M59" i="21"/>
  <c r="P54" i="21"/>
  <c r="C60" i="21"/>
  <c r="L59" i="21"/>
  <c r="S52" i="21"/>
  <c r="X54" i="21"/>
  <c r="AC60" i="21"/>
  <c r="AI52" i="21"/>
  <c r="AV57" i="21"/>
  <c r="AV12" i="21" s="1"/>
  <c r="BC51" i="21"/>
  <c r="BI54" i="21"/>
  <c r="BN60" i="21"/>
  <c r="BU57" i="21"/>
  <c r="BU12" i="21" s="1"/>
  <c r="AL66" i="21"/>
  <c r="AL69" i="21"/>
  <c r="AL67" i="21"/>
  <c r="AL70" i="21"/>
  <c r="AL73" i="21"/>
  <c r="AL71" i="21"/>
  <c r="AL64" i="21"/>
  <c r="AL61" i="21"/>
  <c r="AL75" i="21"/>
  <c r="AL68" i="21"/>
  <c r="AL62" i="21"/>
  <c r="AL74" i="21"/>
  <c r="AL63" i="21"/>
  <c r="AL72" i="21"/>
  <c r="AL65" i="21"/>
  <c r="AP50" i="21"/>
  <c r="AR58" i="21"/>
  <c r="AU56" i="21"/>
  <c r="BB69" i="21"/>
  <c r="BB74" i="21"/>
  <c r="BB67" i="21"/>
  <c r="BB73" i="21"/>
  <c r="BB71" i="21"/>
  <c r="BB64" i="21"/>
  <c r="BB61" i="21"/>
  <c r="BB75" i="21"/>
  <c r="BB62" i="21"/>
  <c r="BB68" i="21"/>
  <c r="BB70" i="21"/>
  <c r="BB72" i="21"/>
  <c r="BB66" i="21"/>
  <c r="BB63" i="21"/>
  <c r="BB65" i="21"/>
  <c r="BF50" i="21"/>
  <c r="BH58" i="21"/>
  <c r="BO51" i="21"/>
  <c r="BT60" i="21"/>
  <c r="AH51" i="21"/>
  <c r="AO57" i="21"/>
  <c r="AO12" i="21" s="1"/>
  <c r="AV51" i="21"/>
  <c r="BB55" i="21"/>
  <c r="BI56" i="21"/>
  <c r="BL69" i="21"/>
  <c r="BL74" i="21"/>
  <c r="BL67" i="21"/>
  <c r="BL64" i="21"/>
  <c r="BL73" i="21"/>
  <c r="BL62" i="21"/>
  <c r="BL71" i="21"/>
  <c r="BL68" i="21"/>
  <c r="BL61" i="21"/>
  <c r="BL66" i="21"/>
  <c r="BL75" i="21"/>
  <c r="BL72" i="21"/>
  <c r="BL63" i="21"/>
  <c r="BL65" i="21"/>
  <c r="BL70" i="21"/>
  <c r="BU51" i="21"/>
  <c r="BY60" i="21"/>
  <c r="D60" i="21"/>
  <c r="BL54" i="21"/>
  <c r="D59" i="21"/>
  <c r="FA13" i="18"/>
  <c r="CA30" i="21" s="1"/>
  <c r="EA34" i="9"/>
  <c r="EA35" i="9"/>
  <c r="BI9" i="21" l="1"/>
  <c r="CA4" i="21"/>
  <c r="CA17" i="21"/>
  <c r="G10" i="21"/>
  <c r="BM11" i="21"/>
  <c r="AK11" i="21"/>
  <c r="D9" i="21"/>
  <c r="BC11" i="21"/>
  <c r="BL11" i="21"/>
  <c r="X11" i="21"/>
  <c r="BJ10" i="21"/>
  <c r="AH11" i="21"/>
  <c r="BT11" i="21"/>
  <c r="BZ11" i="21"/>
  <c r="Y9" i="21"/>
  <c r="T10" i="21"/>
  <c r="AL10" i="21"/>
  <c r="O11" i="21"/>
  <c r="G11" i="21"/>
  <c r="BX10" i="21"/>
  <c r="AJ11" i="21"/>
  <c r="I10" i="21"/>
  <c r="BR11" i="21"/>
  <c r="BB10" i="21"/>
  <c r="M10" i="21"/>
  <c r="AI10" i="21"/>
  <c r="AE10" i="21"/>
  <c r="BV11" i="21"/>
  <c r="BY11" i="21"/>
  <c r="AW9" i="21"/>
  <c r="BS11" i="21"/>
  <c r="BQ11" i="21"/>
  <c r="V10" i="21"/>
  <c r="AC9" i="21"/>
  <c r="AY11" i="21"/>
  <c r="BH11" i="21"/>
  <c r="AZ11" i="21"/>
  <c r="BP10" i="21"/>
  <c r="BK10" i="21"/>
  <c r="BA11" i="21"/>
  <c r="O10" i="21"/>
  <c r="BV10" i="21"/>
  <c r="C10" i="21"/>
  <c r="AZ10" i="21"/>
  <c r="BK11" i="21"/>
  <c r="L10" i="21"/>
  <c r="AC10" i="21"/>
  <c r="BH10" i="21"/>
  <c r="BZ10" i="21"/>
  <c r="AF10" i="21"/>
  <c r="AX10" i="21"/>
  <c r="BN10" i="21"/>
  <c r="BB11" i="21"/>
  <c r="AG9" i="21"/>
  <c r="AT10" i="21"/>
  <c r="G9" i="21"/>
  <c r="E9" i="21"/>
  <c r="F9" i="21"/>
  <c r="AL9" i="21"/>
  <c r="AL11" i="21"/>
  <c r="BI11" i="21"/>
  <c r="AV11" i="21"/>
  <c r="AJ10" i="21"/>
  <c r="P11" i="21"/>
  <c r="BX11" i="21"/>
  <c r="C9" i="21"/>
  <c r="AD10" i="21"/>
  <c r="BW11" i="21"/>
  <c r="J10" i="21"/>
  <c r="AA10" i="21"/>
  <c r="K11" i="21"/>
  <c r="H10" i="21"/>
  <c r="BU11" i="21"/>
  <c r="AZ9" i="21"/>
  <c r="AP10" i="21"/>
  <c r="Z11" i="21"/>
  <c r="BD11" i="21"/>
  <c r="N11" i="21"/>
  <c r="BI10" i="21"/>
  <c r="BP9" i="21"/>
  <c r="AM11" i="21"/>
  <c r="AW11" i="21"/>
  <c r="X10" i="21"/>
  <c r="X9" i="21"/>
  <c r="BC9" i="21"/>
  <c r="AP11" i="21"/>
  <c r="AS10" i="21"/>
  <c r="BF11" i="21"/>
  <c r="Z10" i="21"/>
  <c r="AT11" i="21"/>
  <c r="BL9" i="21"/>
  <c r="BQ10" i="21"/>
  <c r="BO11" i="21"/>
  <c r="U9" i="21"/>
  <c r="F11" i="21"/>
  <c r="AF11" i="21"/>
  <c r="N9" i="21"/>
  <c r="AB10" i="21"/>
  <c r="BL10" i="21"/>
  <c r="L11" i="21"/>
  <c r="R10" i="21"/>
  <c r="BY10" i="21"/>
  <c r="Q11" i="21"/>
  <c r="AR10" i="21"/>
  <c r="BE11" i="21"/>
  <c r="AD11" i="21"/>
  <c r="BN11" i="21"/>
  <c r="AC11" i="21"/>
  <c r="AG10" i="21"/>
  <c r="AR11" i="21"/>
  <c r="AW10" i="21"/>
  <c r="K10" i="21"/>
  <c r="U11" i="21"/>
  <c r="AS11" i="21"/>
  <c r="R11" i="21"/>
  <c r="Y10" i="21"/>
  <c r="BJ11" i="21"/>
  <c r="BP11" i="21"/>
  <c r="AO11" i="21"/>
  <c r="T11" i="21"/>
  <c r="I9" i="21"/>
  <c r="K9" i="21"/>
  <c r="AU9" i="21"/>
  <c r="BR10" i="21"/>
  <c r="BJ9" i="21"/>
  <c r="BO10" i="21"/>
  <c r="BA9" i="21"/>
  <c r="Q9" i="21"/>
  <c r="Y11" i="21"/>
  <c r="AS9" i="21"/>
  <c r="BE10" i="21"/>
  <c r="AU10" i="21"/>
  <c r="AV9" i="21"/>
  <c r="AN11" i="21"/>
  <c r="BE9" i="21"/>
  <c r="AX11" i="21"/>
  <c r="Q10" i="21"/>
  <c r="AQ11" i="21"/>
  <c r="AB9" i="21"/>
  <c r="BG9" i="21"/>
  <c r="BM9" i="21"/>
  <c r="M9" i="21"/>
  <c r="BD10" i="21"/>
  <c r="AQ10" i="21"/>
  <c r="N10" i="21"/>
  <c r="BF10" i="21"/>
  <c r="R9" i="21"/>
  <c r="AP9" i="21"/>
  <c r="BU10" i="21"/>
  <c r="BY9" i="21"/>
  <c r="BU9" i="21"/>
  <c r="W11" i="21"/>
  <c r="W9" i="21"/>
  <c r="AA11" i="21"/>
  <c r="P10" i="21"/>
  <c r="H11" i="21"/>
  <c r="S9" i="21"/>
  <c r="AT9" i="21"/>
  <c r="W10" i="21"/>
  <c r="S10" i="21"/>
  <c r="I11" i="21"/>
  <c r="BA10" i="21"/>
  <c r="AY10" i="21"/>
  <c r="AH9" i="21"/>
  <c r="AD9" i="21"/>
  <c r="T9" i="21"/>
  <c r="AK9" i="21"/>
  <c r="M11" i="21"/>
  <c r="AQ9" i="21"/>
  <c r="AG11" i="21"/>
  <c r="AN10" i="21"/>
  <c r="AO9" i="21"/>
  <c r="BF9" i="21"/>
  <c r="L9" i="21"/>
  <c r="S11" i="21"/>
  <c r="BO9" i="21"/>
  <c r="BS10" i="21"/>
  <c r="AF9" i="21"/>
  <c r="AR9" i="21"/>
  <c r="BQ9" i="21"/>
  <c r="BK9" i="21"/>
  <c r="BD9" i="21"/>
  <c r="AV10" i="21"/>
  <c r="AK10" i="21"/>
  <c r="AA9" i="21"/>
  <c r="AY9" i="21"/>
  <c r="U10" i="21"/>
  <c r="AE11" i="21"/>
  <c r="BB9" i="21"/>
  <c r="AM10" i="21"/>
  <c r="J11" i="21"/>
  <c r="AO10" i="21"/>
  <c r="AX9" i="21"/>
  <c r="Z9" i="21"/>
  <c r="BW10" i="21"/>
  <c r="AB11" i="21"/>
  <c r="O9" i="21"/>
  <c r="V11" i="21"/>
  <c r="AN9" i="21"/>
  <c r="AI11" i="21"/>
  <c r="P9" i="21"/>
  <c r="AM9" i="21"/>
  <c r="V9" i="21"/>
  <c r="BT9" i="21"/>
  <c r="BM10" i="21"/>
  <c r="BZ9" i="21"/>
  <c r="BX9" i="21"/>
  <c r="AH10" i="21"/>
  <c r="BC10" i="21"/>
  <c r="J9" i="21"/>
  <c r="H9" i="21"/>
  <c r="BR9" i="21"/>
  <c r="BG11" i="21"/>
  <c r="BT10" i="21"/>
  <c r="BW9" i="21"/>
  <c r="BH9" i="21"/>
  <c r="AE9" i="21"/>
  <c r="BN9" i="21"/>
  <c r="AJ9" i="21"/>
  <c r="BS9" i="21"/>
  <c r="BV9" i="21"/>
  <c r="B56" i="21"/>
  <c r="B50" i="21"/>
  <c r="AU11" i="21"/>
  <c r="B60" i="21"/>
  <c r="CE60" i="21" s="1"/>
  <c r="B54" i="21"/>
  <c r="B53" i="21"/>
  <c r="CA3" i="21"/>
  <c r="C11" i="21"/>
  <c r="B57" i="21"/>
  <c r="B51" i="21"/>
  <c r="B58" i="21"/>
  <c r="CE58" i="21" s="1"/>
  <c r="B59" i="21"/>
  <c r="CE59" i="21" s="1"/>
  <c r="B52" i="21"/>
  <c r="E10" i="21"/>
  <c r="BG10" i="21"/>
  <c r="D11" i="21"/>
  <c r="E11" i="21"/>
  <c r="B70" i="21"/>
  <c r="CE70" i="21" s="1"/>
  <c r="B73" i="21"/>
  <c r="CE73" i="21" s="1"/>
  <c r="B68" i="21"/>
  <c r="CE68" i="21" s="1"/>
  <c r="B66" i="21"/>
  <c r="CE66" i="21" s="1"/>
  <c r="B71" i="21"/>
  <c r="CE71" i="21" s="1"/>
  <c r="B69" i="21"/>
  <c r="CE69" i="21" s="1"/>
  <c r="B64" i="21"/>
  <c r="CE64" i="21" s="1"/>
  <c r="B75" i="21"/>
  <c r="CE75" i="21" s="1"/>
  <c r="B62" i="21"/>
  <c r="CE62" i="21" s="1"/>
  <c r="B65" i="21"/>
  <c r="CE65" i="21" s="1"/>
  <c r="B63" i="21"/>
  <c r="CE63" i="21" s="1"/>
  <c r="B67" i="21"/>
  <c r="CE67" i="21" s="1"/>
  <c r="B74" i="21"/>
  <c r="CE74" i="21" s="1"/>
  <c r="B61" i="21"/>
  <c r="CE61" i="21" s="1"/>
  <c r="B72" i="21"/>
  <c r="CE72" i="21" s="1"/>
  <c r="B55" i="21"/>
  <c r="D10" i="21"/>
  <c r="AI9" i="21"/>
  <c r="F10" i="21"/>
  <c r="CG75" i="21" l="1"/>
  <c r="CF75" i="21"/>
  <c r="B12" i="21"/>
  <c r="CF72" i="21"/>
  <c r="CG72" i="21"/>
  <c r="CF67" i="21"/>
  <c r="CG67" i="21"/>
  <c r="CF64" i="21"/>
  <c r="CG64" i="21"/>
  <c r="CF61" i="21"/>
  <c r="CG61" i="21"/>
  <c r="CG65" i="21"/>
  <c r="CF65" i="21"/>
  <c r="CF69" i="21"/>
  <c r="CG69" i="21"/>
  <c r="CG73" i="21"/>
  <c r="CF73" i="21"/>
  <c r="CG58" i="21"/>
  <c r="CF58" i="21"/>
  <c r="CF60" i="21"/>
  <c r="CG60" i="21"/>
  <c r="CG66" i="21"/>
  <c r="CF66" i="21"/>
  <c r="CG63" i="21"/>
  <c r="CF63" i="21"/>
  <c r="CF68" i="21"/>
  <c r="CG68" i="21"/>
  <c r="CG59" i="21"/>
  <c r="CF59" i="21"/>
  <c r="CG74" i="21"/>
  <c r="CF74" i="21"/>
  <c r="CG62" i="21"/>
  <c r="CF62" i="21"/>
  <c r="CG71" i="21"/>
  <c r="CF71" i="21"/>
  <c r="CG70" i="21"/>
  <c r="CF70" i="21"/>
  <c r="B9" i="21"/>
  <c r="CA51" i="21"/>
  <c r="CA55" i="21"/>
  <c r="CA58" i="21"/>
  <c r="CD58" i="21" s="1"/>
  <c r="CA50" i="21"/>
  <c r="CA56" i="21"/>
  <c r="CA53" i="21"/>
  <c r="CA52" i="21"/>
  <c r="CA66" i="21"/>
  <c r="CD66" i="21" s="1"/>
  <c r="CA61" i="21"/>
  <c r="CD61" i="21" s="1"/>
  <c r="CA63" i="21"/>
  <c r="CD63" i="21" s="1"/>
  <c r="CA75" i="21"/>
  <c r="CD75" i="21" s="1"/>
  <c r="CA64" i="21"/>
  <c r="CD64" i="21" s="1"/>
  <c r="CA69" i="21"/>
  <c r="CD69" i="21" s="1"/>
  <c r="CA71" i="21"/>
  <c r="CD71" i="21" s="1"/>
  <c r="CA62" i="21"/>
  <c r="CD62" i="21" s="1"/>
  <c r="CA65" i="21"/>
  <c r="CD65" i="21" s="1"/>
  <c r="CA74" i="21"/>
  <c r="CD74" i="21" s="1"/>
  <c r="CA72" i="21"/>
  <c r="CD72" i="21" s="1"/>
  <c r="CA68" i="21"/>
  <c r="CD68" i="21" s="1"/>
  <c r="CA73" i="21"/>
  <c r="CD73" i="21" s="1"/>
  <c r="CA67" i="21"/>
  <c r="CD67" i="21" s="1"/>
  <c r="CA70" i="21"/>
  <c r="CD70" i="21" s="1"/>
  <c r="CA60" i="21"/>
  <c r="CD60" i="21" s="1"/>
  <c r="B10" i="21"/>
  <c r="B11" i="21"/>
  <c r="CA57" i="21"/>
  <c r="CA12" i="21" s="1"/>
  <c r="CA59" i="21"/>
  <c r="CD59" i="21" s="1"/>
  <c r="CA54" i="21"/>
  <c r="CD12" i="21" l="1"/>
  <c r="CF12" i="21" s="1"/>
  <c r="CG53" i="21"/>
  <c r="CG56" i="21"/>
  <c r="CG55" i="21"/>
  <c r="CG52" i="21"/>
  <c r="CG51" i="21"/>
  <c r="CG54" i="21"/>
  <c r="CG50" i="21"/>
  <c r="CG57" i="21"/>
  <c r="CK70" i="21"/>
  <c r="CK71" i="21"/>
  <c r="CK62" i="21"/>
  <c r="CK74" i="21"/>
  <c r="CK73" i="21"/>
  <c r="CK69" i="21"/>
  <c r="CK65" i="21"/>
  <c r="CK61" i="21"/>
  <c r="CK68" i="21"/>
  <c r="CK64" i="21"/>
  <c r="CK63" i="21"/>
  <c r="CK72" i="21"/>
  <c r="CK75" i="21"/>
  <c r="CK66" i="21"/>
  <c r="CK67" i="21"/>
  <c r="CA10" i="21"/>
  <c r="CE55" i="21" s="1"/>
  <c r="CA9" i="21"/>
  <c r="CD57" i="21" s="1"/>
  <c r="CA11" i="21"/>
  <c r="CF51" i="21" s="1"/>
  <c r="CE12" i="21" l="1"/>
  <c r="CG12" i="21" s="1"/>
  <c r="CE57" i="21"/>
  <c r="CE53" i="21"/>
  <c r="CE51" i="21"/>
  <c r="CE50" i="21"/>
  <c r="CE52" i="21"/>
  <c r="CE56" i="21"/>
  <c r="CE54" i="21"/>
  <c r="CD55" i="21"/>
  <c r="CD52" i="21"/>
  <c r="CD56" i="21"/>
  <c r="CF55" i="21"/>
  <c r="CF52" i="21"/>
  <c r="CF54" i="21"/>
  <c r="CD51" i="21"/>
  <c r="CD54" i="21"/>
  <c r="CD50" i="21"/>
  <c r="CF57" i="21"/>
  <c r="CD53" i="21"/>
  <c r="CF56" i="21"/>
  <c r="CF53" i="21"/>
  <c r="CF50" i="21"/>
  <c r="CM69" i="21"/>
  <c r="CN69" i="21"/>
  <c r="CO69" i="21" s="1"/>
  <c r="CM71" i="21"/>
  <c r="CN71" i="21"/>
  <c r="CO71" i="21" s="1"/>
  <c r="CM75" i="21"/>
  <c r="CN75" i="21"/>
  <c r="CO75" i="21" s="1"/>
  <c r="CM72" i="21"/>
  <c r="CN72" i="21"/>
  <c r="CO72" i="21" s="1"/>
  <c r="CM73" i="21"/>
  <c r="CN73" i="21"/>
  <c r="CO73" i="21" s="1"/>
  <c r="CM70" i="21"/>
  <c r="CN70" i="21"/>
  <c r="CO70" i="21" s="1"/>
  <c r="CM66" i="21"/>
  <c r="CN66" i="21"/>
  <c r="CO66" i="21" s="1"/>
  <c r="CM68" i="21"/>
  <c r="CN68" i="21"/>
  <c r="CO68" i="21" s="1"/>
  <c r="CM63" i="21"/>
  <c r="CN63" i="21"/>
  <c r="CO63" i="21" s="1"/>
  <c r="CM61" i="21"/>
  <c r="CN61" i="21"/>
  <c r="CO61" i="21" s="1"/>
  <c r="CM74" i="21"/>
  <c r="CN74" i="21"/>
  <c r="CO74" i="21" s="1"/>
  <c r="CM67" i="21"/>
  <c r="CN67" i="21"/>
  <c r="CO67" i="21" s="1"/>
  <c r="CM64" i="21"/>
  <c r="CN64" i="21"/>
  <c r="CO64" i="21" s="1"/>
  <c r="CM65" i="21"/>
  <c r="CN65" i="21"/>
  <c r="CO65" i="21" s="1"/>
  <c r="CM62" i="21"/>
  <c r="CN62" i="21"/>
  <c r="CO62" i="21" s="1"/>
  <c r="CD10" i="21"/>
  <c r="CE10" i="21" s="1"/>
  <c r="CG10" i="21" s="1"/>
  <c r="CD9" i="21"/>
  <c r="CD11" i="21"/>
  <c r="J3" i="16"/>
  <c r="CF10" i="21" l="1"/>
  <c r="CE9" i="21"/>
  <c r="CN13" i="21" s="1"/>
  <c r="CD15" i="21"/>
  <c r="CK50" i="21"/>
  <c r="CN50" i="21" s="1"/>
  <c r="CO50" i="21" s="1"/>
  <c r="CE11" i="21"/>
  <c r="CG11" i="21" s="1"/>
  <c r="CK59" i="21"/>
  <c r="CK51" i="21"/>
  <c r="CK56" i="21"/>
  <c r="CK60" i="21"/>
  <c r="CF9" i="21"/>
  <c r="CK57" i="21"/>
  <c r="CK54" i="21"/>
  <c r="CF11" i="21"/>
  <c r="CK53" i="21"/>
  <c r="CK52" i="21"/>
  <c r="CK55" i="21"/>
  <c r="CK58" i="21"/>
  <c r="CM58" i="21" l="1"/>
  <c r="CF34" i="21" s="1"/>
  <c r="CN58" i="21"/>
  <c r="CO58" i="21" s="1"/>
  <c r="CM60" i="21"/>
  <c r="CN60" i="21"/>
  <c r="CO60" i="21" s="1"/>
  <c r="CM55" i="21"/>
  <c r="CF25" i="21" s="1"/>
  <c r="CN55" i="21"/>
  <c r="CO55" i="21" s="1"/>
  <c r="CM54" i="21"/>
  <c r="CF24" i="21" s="1"/>
  <c r="CN54" i="21"/>
  <c r="CO54" i="21" s="1"/>
  <c r="CM56" i="21"/>
  <c r="CF26" i="21" s="1"/>
  <c r="CN56" i="21"/>
  <c r="CO56" i="21" s="1"/>
  <c r="CM52" i="21"/>
  <c r="CF22" i="21" s="1"/>
  <c r="CN52" i="21"/>
  <c r="CO52" i="21" s="1"/>
  <c r="CM57" i="21"/>
  <c r="CF27" i="21" s="1"/>
  <c r="CN57" i="21"/>
  <c r="CO57" i="21" s="1"/>
  <c r="CM51" i="21"/>
  <c r="CF21" i="21" s="1"/>
  <c r="CN51" i="21"/>
  <c r="CO51" i="21" s="1"/>
  <c r="CM53" i="21"/>
  <c r="CF23" i="21" s="1"/>
  <c r="CN53" i="21"/>
  <c r="CO53" i="21" s="1"/>
  <c r="CM59" i="21"/>
  <c r="CN59" i="21"/>
  <c r="CO59" i="21" s="1"/>
  <c r="CG9" i="21"/>
  <c r="CM50" i="21"/>
  <c r="CF20" i="21" s="1"/>
  <c r="D17" i="21"/>
  <c r="BR47" i="15"/>
  <c r="BP47" i="15" s="1"/>
  <c r="BR46" i="15"/>
  <c r="BP46" i="15" s="1"/>
  <c r="BR45" i="15"/>
  <c r="BP45" i="15" s="1"/>
  <c r="BR44" i="15"/>
  <c r="BP44" i="15" s="1"/>
  <c r="BR43" i="15"/>
  <c r="BP43" i="15" s="1"/>
  <c r="BR42" i="15"/>
  <c r="BP42" i="15" s="1"/>
  <c r="BR41" i="15"/>
  <c r="BP41" i="15" s="1"/>
  <c r="BR40" i="15"/>
  <c r="BP40" i="15" s="1"/>
  <c r="BR39" i="15"/>
  <c r="BP39" i="15" s="1"/>
  <c r="BR38" i="15"/>
  <c r="BP38" i="15" s="1"/>
  <c r="BR37" i="15"/>
  <c r="BP37" i="15" s="1"/>
  <c r="BR36" i="15"/>
  <c r="BP36" i="15" s="1"/>
  <c r="BR35" i="15"/>
  <c r="BP35" i="15" s="1"/>
  <c r="BR34" i="15"/>
  <c r="BP34" i="15" s="1"/>
  <c r="BR33" i="15"/>
  <c r="BP33" i="15" s="1"/>
  <c r="AL44" i="17" l="1"/>
  <c r="CS21" i="21"/>
  <c r="CU21" i="21"/>
  <c r="CT21" i="21"/>
  <c r="CU22" i="21"/>
  <c r="CT22" i="21"/>
  <c r="CS22" i="21"/>
  <c r="CU24" i="21"/>
  <c r="CS24" i="21"/>
  <c r="CR24" i="21"/>
  <c r="CU20" i="21"/>
  <c r="CS20" i="21"/>
  <c r="CR23" i="21"/>
  <c r="CS23" i="21"/>
  <c r="CU23" i="21"/>
  <c r="CT27" i="21"/>
  <c r="CR27" i="21"/>
  <c r="CS27" i="21"/>
  <c r="CU26" i="21"/>
  <c r="CS26" i="21"/>
  <c r="CR26" i="21"/>
  <c r="CR25" i="21"/>
  <c r="CU25" i="21"/>
  <c r="CT25" i="21"/>
  <c r="CT34" i="21"/>
  <c r="CS34" i="21"/>
  <c r="CU34" i="21"/>
  <c r="CR34" i="21"/>
  <c r="CF43" i="21"/>
  <c r="CF38" i="21"/>
  <c r="CF36" i="21"/>
  <c r="CF37" i="21"/>
  <c r="CF44" i="21"/>
  <c r="CF40" i="21"/>
  <c r="CF35" i="21"/>
  <c r="CF33" i="21"/>
  <c r="CF42" i="21"/>
  <c r="CF41" i="21"/>
  <c r="CF29" i="21"/>
  <c r="CF30" i="21"/>
  <c r="CF45" i="21"/>
  <c r="CF28" i="21"/>
  <c r="CF31" i="21"/>
  <c r="CF32" i="21"/>
  <c r="CF39" i="21"/>
  <c r="CD21" i="21"/>
  <c r="CD26" i="21"/>
  <c r="CD28" i="21"/>
  <c r="CL28" i="21" s="1"/>
  <c r="CD22" i="21"/>
  <c r="CD27" i="21"/>
  <c r="CD24" i="21"/>
  <c r="CE18" i="21"/>
  <c r="CD23" i="21"/>
  <c r="CD20" i="21"/>
  <c r="CD25" i="21"/>
  <c r="CK12" i="21"/>
  <c r="CK11" i="21"/>
  <c r="CK9" i="21"/>
  <c r="CR17" i="21" s="1"/>
  <c r="CK10" i="21"/>
  <c r="CS17" i="21" s="1"/>
  <c r="CH18" i="21"/>
  <c r="I2" i="16"/>
  <c r="CR32" i="21" l="1"/>
  <c r="CU32" i="21"/>
  <c r="CS32" i="21"/>
  <c r="CT32" i="21"/>
  <c r="CR30" i="21"/>
  <c r="CU30" i="21"/>
  <c r="CS30" i="21"/>
  <c r="CT30" i="21"/>
  <c r="CS33" i="21"/>
  <c r="CR33" i="21"/>
  <c r="CT33" i="21"/>
  <c r="CU33" i="21"/>
  <c r="CU37" i="21"/>
  <c r="CT37" i="21"/>
  <c r="CS37" i="21"/>
  <c r="CR37" i="21"/>
  <c r="CS31" i="21"/>
  <c r="CR31" i="21"/>
  <c r="CT31" i="21"/>
  <c r="CU31" i="21"/>
  <c r="CU29" i="21"/>
  <c r="CT29" i="21"/>
  <c r="CR29" i="21"/>
  <c r="CS29" i="21"/>
  <c r="CU35" i="21"/>
  <c r="CT35" i="21"/>
  <c r="CS35" i="21"/>
  <c r="CR35" i="21"/>
  <c r="CT36" i="21"/>
  <c r="CS36" i="21"/>
  <c r="CU36" i="21"/>
  <c r="CR36" i="21"/>
  <c r="CT28" i="21"/>
  <c r="CS28" i="21"/>
  <c r="CU28" i="21"/>
  <c r="CR28" i="21"/>
  <c r="CU41" i="21"/>
  <c r="CT41" i="21"/>
  <c r="CR41" i="21"/>
  <c r="CS41" i="21"/>
  <c r="CT40" i="21"/>
  <c r="CS40" i="21"/>
  <c r="CU40" i="21"/>
  <c r="CR40" i="21"/>
  <c r="CR38" i="21"/>
  <c r="CU38" i="21"/>
  <c r="CT38" i="21"/>
  <c r="CS38" i="21"/>
  <c r="CS39" i="21"/>
  <c r="CR39" i="21"/>
  <c r="CU39" i="21"/>
  <c r="CT39" i="21"/>
  <c r="CU45" i="21"/>
  <c r="CT45" i="21"/>
  <c r="CS45" i="21"/>
  <c r="CR45" i="21"/>
  <c r="CR42" i="21"/>
  <c r="CU42" i="21"/>
  <c r="CS42" i="21"/>
  <c r="CT42" i="21"/>
  <c r="CT44" i="21"/>
  <c r="CS44" i="21"/>
  <c r="CU44" i="21"/>
  <c r="CR44" i="21"/>
  <c r="CS43" i="21"/>
  <c r="CR43" i="21"/>
  <c r="CT43" i="21"/>
  <c r="CU43" i="21"/>
  <c r="CU17" i="21"/>
  <c r="CT17" i="21"/>
  <c r="CH28" i="21"/>
  <c r="CE28" i="21"/>
  <c r="CG28" i="21" s="1"/>
  <c r="CH12" i="21"/>
  <c r="CK16" i="21"/>
  <c r="CP18" i="21" s="1"/>
  <c r="CH9" i="21"/>
  <c r="CH10" i="21"/>
  <c r="CH11" i="21"/>
  <c r="CP17" i="21" l="1"/>
  <c r="CW17" i="21"/>
  <c r="CV17" i="21"/>
  <c r="CS46" i="21" s="1"/>
  <c r="CZ14" i="15"/>
  <c r="CZ17" i="15"/>
  <c r="CZ23" i="15"/>
  <c r="CZ12" i="15"/>
  <c r="CZ19" i="15"/>
  <c r="CZ13" i="15"/>
  <c r="CZ11" i="15"/>
  <c r="CZ24" i="15"/>
  <c r="CZ22" i="15"/>
  <c r="CZ16" i="15"/>
  <c r="CZ25" i="15"/>
  <c r="CZ26" i="15"/>
  <c r="CZ20" i="15"/>
  <c r="CZ21" i="15"/>
  <c r="CZ18" i="15"/>
  <c r="CZ15" i="15"/>
  <c r="CM10" i="21"/>
  <c r="CM12" i="21"/>
  <c r="CP15" i="21"/>
  <c r="CP16" i="21"/>
  <c r="CM13" i="21"/>
  <c r="CM9" i="21"/>
  <c r="CM14" i="21"/>
  <c r="CM11" i="21"/>
  <c r="CG18" i="21"/>
  <c r="CD18" i="21"/>
  <c r="CP19" i="21" l="1"/>
  <c r="CU46" i="21"/>
  <c r="CM18" i="21"/>
  <c r="CK18" i="21"/>
  <c r="CD32" i="21"/>
  <c r="CL32" i="21" s="1"/>
  <c r="CD36" i="21"/>
  <c r="CL36" i="21" s="1"/>
  <c r="CD40" i="21"/>
  <c r="CL40" i="21" s="1"/>
  <c r="CD44" i="21"/>
  <c r="CD29" i="21"/>
  <c r="CD33" i="21"/>
  <c r="CL33" i="21" s="1"/>
  <c r="CD37" i="21"/>
  <c r="CL37" i="21" s="1"/>
  <c r="CD41" i="21"/>
  <c r="CL41" i="21" s="1"/>
  <c r="CD45" i="21"/>
  <c r="CD30" i="21"/>
  <c r="CL30" i="21" s="1"/>
  <c r="CD34" i="21"/>
  <c r="CL34" i="21" s="1"/>
  <c r="CD38" i="21"/>
  <c r="CL38" i="21" s="1"/>
  <c r="CD42" i="21"/>
  <c r="CL42" i="21" s="1"/>
  <c r="CD31" i="21"/>
  <c r="CL31" i="21" s="1"/>
  <c r="CD35" i="21"/>
  <c r="CL35" i="21" s="1"/>
  <c r="CD39" i="21"/>
  <c r="CL39" i="21" s="1"/>
  <c r="CD43" i="21"/>
  <c r="CL43" i="21" s="1"/>
  <c r="CM16" i="21"/>
  <c r="CM15" i="21"/>
  <c r="CE19" i="21"/>
  <c r="CL29" i="21" l="1"/>
  <c r="CH29" i="21" s="1"/>
  <c r="CL22" i="21"/>
  <c r="CL25" i="21"/>
  <c r="CL26" i="21"/>
  <c r="CL21" i="21"/>
  <c r="CL23" i="21"/>
  <c r="CL24" i="21"/>
  <c r="CL27" i="21"/>
  <c r="CL20" i="21"/>
  <c r="CK17" i="21"/>
  <c r="CM17" i="21"/>
  <c r="CN16" i="21" s="1"/>
  <c r="CN19" i="21" s="1"/>
  <c r="CN18" i="21"/>
  <c r="CE39" i="21"/>
  <c r="CG39" i="21" s="1"/>
  <c r="CH39" i="21"/>
  <c r="CE38" i="21"/>
  <c r="CG38" i="21" s="1"/>
  <c r="CH41" i="21"/>
  <c r="CE41" i="21"/>
  <c r="CG41" i="21" s="1"/>
  <c r="CH44" i="21"/>
  <c r="CE44" i="21"/>
  <c r="CG44" i="21" s="1"/>
  <c r="CE35" i="21"/>
  <c r="CG35" i="21" s="1"/>
  <c r="CE34" i="21"/>
  <c r="CG34" i="21" s="1"/>
  <c r="CE37" i="21"/>
  <c r="CG37" i="21" s="1"/>
  <c r="CE40" i="21"/>
  <c r="CG40" i="21" s="1"/>
  <c r="CH40" i="21"/>
  <c r="CE31" i="21"/>
  <c r="CG31" i="21" s="1"/>
  <c r="CH31" i="21"/>
  <c r="CH30" i="21"/>
  <c r="CE30" i="21"/>
  <c r="CG30" i="21" s="1"/>
  <c r="CE33" i="21"/>
  <c r="CG33" i="21" s="1"/>
  <c r="CE36" i="21"/>
  <c r="CG36" i="21" s="1"/>
  <c r="CE43" i="21"/>
  <c r="CG43" i="21" s="1"/>
  <c r="CH43" i="21"/>
  <c r="CH42" i="21"/>
  <c r="CE42" i="21"/>
  <c r="CG42" i="21" s="1"/>
  <c r="CE45" i="21"/>
  <c r="CG45" i="21" s="1"/>
  <c r="CE29" i="21"/>
  <c r="CG29" i="21" s="1"/>
  <c r="CH32" i="21"/>
  <c r="CE32" i="21"/>
  <c r="CG32" i="21" s="1"/>
  <c r="CN15" i="21"/>
  <c r="CE15" i="21"/>
  <c r="DA23" i="15"/>
  <c r="BK23" i="15"/>
  <c r="BG23" i="15"/>
  <c r="S23" i="15"/>
  <c r="AQ23" i="15"/>
  <c r="AM23" i="15"/>
  <c r="BC23" i="15"/>
  <c r="AY23" i="15"/>
  <c r="AA23" i="15"/>
  <c r="DA19" i="15"/>
  <c r="BK19" i="15"/>
  <c r="BG19" i="15"/>
  <c r="S19" i="15"/>
  <c r="AQ19" i="15"/>
  <c r="AM19" i="15"/>
  <c r="AY19" i="15"/>
  <c r="BC19" i="15"/>
  <c r="AA19" i="15"/>
  <c r="DA15" i="15"/>
  <c r="BK15" i="15"/>
  <c r="BG15" i="15"/>
  <c r="S15" i="15"/>
  <c r="AQ15" i="15"/>
  <c r="AM15" i="15"/>
  <c r="AY15" i="15"/>
  <c r="AA15" i="15"/>
  <c r="BC15" i="15"/>
  <c r="DA11" i="15"/>
  <c r="BK11" i="15"/>
  <c r="BG11" i="15"/>
  <c r="S11" i="15"/>
  <c r="AQ11" i="15"/>
  <c r="AM11" i="15"/>
  <c r="BC11" i="15"/>
  <c r="AY11" i="15"/>
  <c r="AA11" i="15"/>
  <c r="DA7" i="15"/>
  <c r="BK7" i="15"/>
  <c r="BG7" i="15"/>
  <c r="S7" i="15"/>
  <c r="AQ7" i="15"/>
  <c r="AM7" i="15"/>
  <c r="BC7" i="15"/>
  <c r="AY7" i="15"/>
  <c r="AA7" i="15"/>
  <c r="DA26" i="15"/>
  <c r="BG26" i="15"/>
  <c r="BK26" i="15"/>
  <c r="AY26" i="15"/>
  <c r="S26" i="15"/>
  <c r="AQ26" i="15"/>
  <c r="AA26" i="15"/>
  <c r="BC26" i="15"/>
  <c r="AM26" i="15"/>
  <c r="DA22" i="15"/>
  <c r="BG22" i="15"/>
  <c r="AM22" i="15"/>
  <c r="S22" i="15"/>
  <c r="AQ22" i="15"/>
  <c r="BC22" i="15"/>
  <c r="AY22" i="15"/>
  <c r="AA22" i="15"/>
  <c r="BK22" i="15"/>
  <c r="DA18" i="15"/>
  <c r="BG18" i="15"/>
  <c r="BC18" i="15"/>
  <c r="S18" i="15"/>
  <c r="BK18" i="15"/>
  <c r="AM18" i="15"/>
  <c r="AA18" i="15"/>
  <c r="AY18" i="15"/>
  <c r="AQ18" i="15"/>
  <c r="DA14" i="15"/>
  <c r="BG14" i="15"/>
  <c r="S14" i="15"/>
  <c r="AQ14" i="15"/>
  <c r="BC14" i="15"/>
  <c r="AA14" i="15"/>
  <c r="AM14" i="15"/>
  <c r="BK14" i="15"/>
  <c r="AY14" i="15"/>
  <c r="DA10" i="15"/>
  <c r="CB10" i="15" s="1"/>
  <c r="BG10" i="15"/>
  <c r="AY10" i="15"/>
  <c r="BK10" i="15"/>
  <c r="BC10" i="15"/>
  <c r="AM10" i="15"/>
  <c r="S10" i="15"/>
  <c r="AQ10" i="15"/>
  <c r="AA10" i="15"/>
  <c r="DA6" i="15"/>
  <c r="BG6" i="15"/>
  <c r="BK6" i="15"/>
  <c r="AM6" i="15"/>
  <c r="AY6" i="15"/>
  <c r="AA6" i="15"/>
  <c r="S6" i="15"/>
  <c r="AQ6" i="15"/>
  <c r="BC6" i="15"/>
  <c r="DA25" i="15"/>
  <c r="S25" i="15"/>
  <c r="AQ25" i="15"/>
  <c r="AA25" i="15"/>
  <c r="BG25" i="15"/>
  <c r="BC25" i="15"/>
  <c r="AM25" i="15"/>
  <c r="BK25" i="15"/>
  <c r="AY25" i="15"/>
  <c r="DA21" i="15"/>
  <c r="BK21" i="15"/>
  <c r="AY21" i="15"/>
  <c r="AA21" i="15"/>
  <c r="BC21" i="15"/>
  <c r="BG21" i="15"/>
  <c r="AM21" i="15"/>
  <c r="S21" i="15"/>
  <c r="AQ21" i="15"/>
  <c r="DA17" i="15"/>
  <c r="BK17" i="15"/>
  <c r="AM17" i="15"/>
  <c r="AA17" i="15"/>
  <c r="BG17" i="15"/>
  <c r="AY17" i="15"/>
  <c r="S17" i="15"/>
  <c r="AQ17" i="15"/>
  <c r="BC17" i="15"/>
  <c r="DA13" i="15"/>
  <c r="BK13" i="15"/>
  <c r="BG13" i="15"/>
  <c r="BC13" i="15"/>
  <c r="AA13" i="15"/>
  <c r="AY13" i="15"/>
  <c r="AQ13" i="15"/>
  <c r="AM13" i="15"/>
  <c r="S13" i="15"/>
  <c r="DA9" i="15"/>
  <c r="S9" i="15"/>
  <c r="AQ9" i="15"/>
  <c r="AA9" i="15"/>
  <c r="AM9" i="15"/>
  <c r="AY9" i="15"/>
  <c r="BK9" i="15"/>
  <c r="BC9" i="15"/>
  <c r="BG9" i="15"/>
  <c r="DA5" i="15"/>
  <c r="BK5" i="15"/>
  <c r="AY5" i="15"/>
  <c r="AA5" i="15"/>
  <c r="BG5" i="15"/>
  <c r="S5" i="15"/>
  <c r="AQ5" i="15"/>
  <c r="BC5" i="15"/>
  <c r="AM5" i="15"/>
  <c r="DA24" i="15"/>
  <c r="BK24" i="15"/>
  <c r="BC24" i="15"/>
  <c r="AY24" i="15"/>
  <c r="BG24" i="15"/>
  <c r="AQ24" i="15"/>
  <c r="AA24" i="15"/>
  <c r="AM24" i="15"/>
  <c r="S24" i="15"/>
  <c r="DA20" i="15"/>
  <c r="BK20" i="15"/>
  <c r="BG20" i="15"/>
  <c r="BC20" i="15"/>
  <c r="AY20" i="15"/>
  <c r="S20" i="15"/>
  <c r="AQ20" i="15"/>
  <c r="AM20" i="15"/>
  <c r="AA20" i="15"/>
  <c r="DA16" i="15"/>
  <c r="BK16" i="15"/>
  <c r="BC16" i="15"/>
  <c r="AY16" i="15"/>
  <c r="AA16" i="15"/>
  <c r="BG16" i="15"/>
  <c r="S16" i="15"/>
  <c r="AQ16" i="15"/>
  <c r="AM16" i="15"/>
  <c r="DA12" i="15"/>
  <c r="BK12" i="15"/>
  <c r="BG12" i="15"/>
  <c r="BC12" i="15"/>
  <c r="AY12" i="15"/>
  <c r="AM12" i="15"/>
  <c r="S12" i="15"/>
  <c r="AQ12" i="15"/>
  <c r="AA12" i="15"/>
  <c r="DA8" i="15"/>
  <c r="BK8" i="15"/>
  <c r="BC8" i="15"/>
  <c r="AY8" i="15"/>
  <c r="AA8" i="15"/>
  <c r="AM8" i="15"/>
  <c r="BG8" i="15"/>
  <c r="S8" i="15"/>
  <c r="AQ8" i="15"/>
  <c r="DA4" i="15"/>
  <c r="BK4" i="15"/>
  <c r="BG4" i="15"/>
  <c r="BC4" i="15"/>
  <c r="AY4" i="15"/>
  <c r="S4" i="15"/>
  <c r="AQ4" i="15"/>
  <c r="AM4" i="15"/>
  <c r="AA4" i="15"/>
  <c r="CK34" i="21" l="1"/>
  <c r="CK33" i="21"/>
  <c r="CK32" i="21"/>
  <c r="CK31" i="21"/>
  <c r="CK20" i="21"/>
  <c r="CK26" i="21"/>
  <c r="CO21" i="21"/>
  <c r="CP21" i="21" s="1"/>
  <c r="CO20" i="21"/>
  <c r="CP20" i="21" s="1"/>
  <c r="CH45" i="21"/>
  <c r="CH27" i="21"/>
  <c r="CE21" i="21"/>
  <c r="CE23" i="21"/>
  <c r="CE27" i="21"/>
  <c r="CE24" i="21"/>
  <c r="CE22" i="21"/>
  <c r="CE25" i="21"/>
  <c r="CE26" i="21"/>
  <c r="CE20" i="21"/>
  <c r="K17" i="15"/>
  <c r="G22" i="15"/>
  <c r="K21" i="15"/>
  <c r="G24" i="15"/>
  <c r="G23" i="15"/>
  <c r="K20" i="15"/>
  <c r="G16" i="15"/>
  <c r="K26" i="15"/>
  <c r="G14" i="15"/>
  <c r="G26" i="15"/>
  <c r="K22" i="15"/>
  <c r="K14" i="15"/>
  <c r="G19" i="15"/>
  <c r="K19" i="15"/>
  <c r="K15" i="15"/>
  <c r="G18" i="15"/>
  <c r="G21" i="15"/>
  <c r="K18" i="15"/>
  <c r="K16" i="15"/>
  <c r="K24" i="15"/>
  <c r="K25" i="15"/>
  <c r="G17" i="15"/>
  <c r="G25" i="15"/>
  <c r="K23" i="15"/>
  <c r="G15" i="15"/>
  <c r="G20" i="15"/>
  <c r="CO19" i="21" l="1"/>
  <c r="DD18" i="21" s="1"/>
  <c r="CK35" i="21"/>
  <c r="CK36" i="21"/>
  <c r="CK29" i="21"/>
  <c r="CK22" i="21"/>
  <c r="CK28" i="21" s="1"/>
  <c r="CK24" i="21"/>
  <c r="CK30" i="21" s="1"/>
  <c r="DA19" i="21"/>
  <c r="DK19" i="21"/>
  <c r="DF19" i="21"/>
  <c r="DD19" i="21"/>
  <c r="DI19" i="21"/>
  <c r="CO22" i="21"/>
  <c r="CY19" i="21"/>
  <c r="CU27" i="21"/>
  <c r="CZ10" i="15"/>
  <c r="G12" i="15"/>
  <c r="G9" i="15"/>
  <c r="G5" i="15"/>
  <c r="G11" i="15"/>
  <c r="G8" i="15"/>
  <c r="G7" i="15"/>
  <c r="G4" i="15"/>
  <c r="G13" i="15"/>
  <c r="G10" i="15"/>
  <c r="G6" i="15"/>
  <c r="K4" i="15"/>
  <c r="K5" i="15"/>
  <c r="K6" i="15"/>
  <c r="K7" i="15"/>
  <c r="K8" i="15"/>
  <c r="K9" i="15"/>
  <c r="K10" i="15"/>
  <c r="K11" i="15"/>
  <c r="K12" i="15"/>
  <c r="K13" i="15"/>
  <c r="Y15" i="17" l="1"/>
  <c r="DC19" i="21"/>
  <c r="DH19" i="21"/>
  <c r="DE19" i="21"/>
  <c r="DJ19" i="21"/>
  <c r="CX19" i="21"/>
  <c r="CZ19" i="21"/>
  <c r="A22" i="13"/>
  <c r="A23" i="13"/>
  <c r="A24" i="13"/>
  <c r="A25" i="13"/>
  <c r="A26" i="13"/>
  <c r="A27" i="13"/>
  <c r="A28" i="13"/>
  <c r="A29" i="13"/>
  <c r="A30" i="13"/>
  <c r="CX28" i="21" l="1"/>
  <c r="DH28" i="21" s="1"/>
  <c r="CZ31" i="21"/>
  <c r="DJ31" i="21" s="1"/>
  <c r="CX41" i="21"/>
  <c r="DH41" i="21" s="1"/>
  <c r="CX40" i="21"/>
  <c r="DH40" i="21" s="1"/>
  <c r="CX39" i="21"/>
  <c r="DH39" i="21" s="1"/>
  <c r="CX45" i="21"/>
  <c r="CX29" i="21"/>
  <c r="DH29" i="21" s="1"/>
  <c r="CX44" i="21"/>
  <c r="DH44" i="21" s="1"/>
  <c r="CX31" i="21"/>
  <c r="DH31" i="21" s="1"/>
  <c r="CY29" i="21"/>
  <c r="DI29" i="21" s="1"/>
  <c r="CX30" i="21"/>
  <c r="DH30" i="21" s="1"/>
  <c r="CY30" i="21"/>
  <c r="DI30" i="21" s="1"/>
  <c r="CX32" i="21"/>
  <c r="DH32" i="21" s="1"/>
  <c r="CY28" i="21"/>
  <c r="DI28" i="21" s="1"/>
  <c r="CY27" i="21"/>
  <c r="DI27" i="21" s="1"/>
  <c r="CY41" i="21"/>
  <c r="DI41" i="21" s="1"/>
  <c r="CY40" i="21"/>
  <c r="DI40" i="21" s="1"/>
  <c r="CY43" i="21"/>
  <c r="DI43" i="21" s="1"/>
  <c r="CY45" i="21"/>
  <c r="CX27" i="21"/>
  <c r="DH27" i="21" s="1"/>
  <c r="CY44" i="21"/>
  <c r="DI44" i="21" s="1"/>
  <c r="CX42" i="21"/>
  <c r="DH42" i="21" s="1"/>
  <c r="CX43" i="21"/>
  <c r="DH43" i="21" s="1"/>
  <c r="CY31" i="21"/>
  <c r="DI31" i="21" s="1"/>
  <c r="CY32" i="21"/>
  <c r="DI32" i="21" s="1"/>
  <c r="CY42" i="21"/>
  <c r="DI42" i="21" s="1"/>
  <c r="CY39" i="21"/>
  <c r="DI39" i="21" s="1"/>
  <c r="CZ29" i="21"/>
  <c r="DJ29" i="21" s="1"/>
  <c r="CZ30" i="21"/>
  <c r="DJ30" i="21" s="1"/>
  <c r="CZ28" i="21"/>
  <c r="DJ28" i="21" s="1"/>
  <c r="CZ39" i="21"/>
  <c r="DJ39" i="21" s="1"/>
  <c r="CZ41" i="21"/>
  <c r="DJ41" i="21" s="1"/>
  <c r="DA28" i="21"/>
  <c r="DK28" i="21" s="1"/>
  <c r="DA30" i="21"/>
  <c r="DK30" i="21" s="1"/>
  <c r="DA41" i="21"/>
  <c r="DK41" i="21" s="1"/>
  <c r="DA44" i="21"/>
  <c r="DK44" i="21" s="1"/>
  <c r="DA32" i="21"/>
  <c r="DK32" i="21" s="1"/>
  <c r="DA29" i="21"/>
  <c r="DK29" i="21" s="1"/>
  <c r="DA39" i="21"/>
  <c r="DK39" i="21" s="1"/>
  <c r="DA43" i="21"/>
  <c r="DK43" i="21" s="1"/>
  <c r="DA31" i="21"/>
  <c r="DK31" i="21" s="1"/>
  <c r="DA42" i="21"/>
  <c r="DK42" i="21" s="1"/>
  <c r="DA40" i="21"/>
  <c r="DK40" i="21" s="1"/>
  <c r="DA27" i="21"/>
  <c r="DK27" i="21" s="1"/>
  <c r="DA45" i="21"/>
  <c r="CZ27" i="21"/>
  <c r="DJ27" i="21" s="1"/>
  <c r="CZ45" i="21"/>
  <c r="CZ32" i="21"/>
  <c r="DJ32" i="21" s="1"/>
  <c r="CZ40" i="21"/>
  <c r="DJ40" i="21" s="1"/>
  <c r="CZ43" i="21"/>
  <c r="DJ43" i="21" s="1"/>
  <c r="CZ44" i="21"/>
  <c r="DJ44" i="21" s="1"/>
  <c r="CZ42" i="21"/>
  <c r="DJ42" i="21" s="1"/>
  <c r="I2" i="13"/>
  <c r="D7" i="13" s="1"/>
  <c r="J21" i="13"/>
  <c r="J23" i="13"/>
  <c r="J24" i="13"/>
  <c r="J25" i="13"/>
  <c r="J27" i="13"/>
  <c r="J28" i="13"/>
  <c r="J29" i="13"/>
  <c r="AA44" i="16"/>
  <c r="AA44" i="13"/>
  <c r="AF43" i="13"/>
  <c r="AF43" i="16"/>
  <c r="H32" i="15"/>
  <c r="L32" i="15"/>
  <c r="P32" i="15"/>
  <c r="T32" i="15"/>
  <c r="X32" i="15"/>
  <c r="AB32" i="15"/>
  <c r="AF32" i="15"/>
  <c r="AJ32" i="15"/>
  <c r="AN32" i="15"/>
  <c r="AR32" i="15"/>
  <c r="AV32" i="15"/>
  <c r="AZ32" i="15"/>
  <c r="BD32" i="15"/>
  <c r="BH32" i="15"/>
  <c r="BL32" i="15"/>
  <c r="D9" i="13" l="1"/>
  <c r="AE15" i="15"/>
  <c r="AE14" i="15"/>
  <c r="AE17" i="15"/>
  <c r="AE26" i="15"/>
  <c r="AE25" i="15"/>
  <c r="AE19" i="15"/>
  <c r="AE22" i="15"/>
  <c r="AE23" i="15"/>
  <c r="AE18" i="15"/>
  <c r="AE21" i="15"/>
  <c r="AE16" i="15"/>
  <c r="AE24" i="15"/>
  <c r="AE20" i="15"/>
  <c r="D10" i="13"/>
  <c r="D14" i="13"/>
  <c r="D18" i="13"/>
  <c r="D17" i="13"/>
  <c r="D11" i="13"/>
  <c r="D15" i="13"/>
  <c r="D19" i="13"/>
  <c r="D13" i="13"/>
  <c r="D8" i="13"/>
  <c r="D12" i="13"/>
  <c r="AE11" i="15"/>
  <c r="AE8" i="15"/>
  <c r="AE10" i="15"/>
  <c r="AE7" i="15"/>
  <c r="AE13" i="15"/>
  <c r="AE4" i="15"/>
  <c r="AE5" i="15"/>
  <c r="AE6" i="15"/>
  <c r="AE9" i="15"/>
  <c r="AE12" i="15"/>
  <c r="DA3" i="15"/>
  <c r="BK3" i="15"/>
  <c r="BG3" i="15"/>
  <c r="BC3" i="15"/>
  <c r="S3" i="15"/>
  <c r="AM3" i="15"/>
  <c r="AA3" i="15"/>
  <c r="AQ3" i="15"/>
  <c r="AY3" i="15"/>
  <c r="AE3" i="15"/>
  <c r="J20" i="13"/>
  <c r="J16" i="13"/>
  <c r="L22" i="13"/>
  <c r="M22" i="13" s="1"/>
  <c r="L23" i="13"/>
  <c r="M23" i="13" s="1"/>
  <c r="Y27" i="13"/>
  <c r="AA27" i="17" s="1"/>
  <c r="Y28" i="13"/>
  <c r="AA28" i="17" s="1"/>
  <c r="Y22" i="13"/>
  <c r="AA22" i="17" s="1"/>
  <c r="L25" i="13"/>
  <c r="M25" i="13" s="1"/>
  <c r="Y25" i="13"/>
  <c r="AA25" i="17" s="1"/>
  <c r="Y24" i="13"/>
  <c r="AA24" i="17" s="1"/>
  <c r="L24" i="13"/>
  <c r="M24" i="13" s="1"/>
  <c r="L27" i="13"/>
  <c r="M27" i="13" s="1"/>
  <c r="AB26" i="17"/>
  <c r="AB30" i="17"/>
  <c r="L30" i="13"/>
  <c r="M30" i="13" s="1"/>
  <c r="Y30" i="13"/>
  <c r="AA30" i="17" s="1"/>
  <c r="AB27" i="17"/>
  <c r="AB24" i="17"/>
  <c r="AB23" i="17"/>
  <c r="AB25" i="17"/>
  <c r="AB22" i="17"/>
  <c r="L26" i="13"/>
  <c r="M26" i="13" s="1"/>
  <c r="Y26" i="13"/>
  <c r="AA26" i="17" s="1"/>
  <c r="AB29" i="17"/>
  <c r="AB28" i="17"/>
  <c r="L29" i="13"/>
  <c r="M29" i="13" s="1"/>
  <c r="Y29" i="13"/>
  <c r="AA29" i="17" s="1"/>
  <c r="J30" i="13"/>
  <c r="J26" i="13"/>
  <c r="J22" i="13"/>
  <c r="K23" i="17" l="1"/>
  <c r="K24" i="17"/>
  <c r="K25" i="17"/>
  <c r="K29" i="17"/>
  <c r="K28" i="17"/>
  <c r="K27" i="17"/>
  <c r="K30" i="17"/>
  <c r="K22" i="17"/>
  <c r="K26" i="17"/>
  <c r="DA30" i="15"/>
  <c r="DA29" i="15"/>
  <c r="DA36" i="15"/>
  <c r="CB26" i="15"/>
  <c r="CB17" i="15"/>
  <c r="CB15" i="15"/>
  <c r="CB23" i="15"/>
  <c r="CB25" i="15"/>
  <c r="CB16" i="15"/>
  <c r="CB19" i="15"/>
  <c r="CB18" i="15"/>
  <c r="CB20" i="15"/>
  <c r="CB21" i="15"/>
  <c r="CB24" i="15"/>
  <c r="CB11" i="15"/>
  <c r="CB22" i="15"/>
  <c r="CB14" i="15"/>
  <c r="J9" i="13"/>
  <c r="CB6" i="15"/>
  <c r="CB7" i="15"/>
  <c r="D39" i="13"/>
  <c r="D38" i="13"/>
  <c r="J10" i="13"/>
  <c r="J11" i="13"/>
  <c r="J12" i="13"/>
  <c r="J17" i="13"/>
  <c r="D33" i="13"/>
  <c r="D34" i="13"/>
  <c r="J15" i="13"/>
  <c r="J19" i="13"/>
  <c r="J14" i="13"/>
  <c r="J8" i="13"/>
  <c r="J13" i="13"/>
  <c r="J7" i="13"/>
  <c r="CB8" i="15"/>
  <c r="CB9" i="15"/>
  <c r="CB12" i="15"/>
  <c r="CB4" i="15"/>
  <c r="CB5" i="15"/>
  <c r="CB13" i="15"/>
  <c r="D36" i="13"/>
  <c r="J18" i="13"/>
  <c r="CU3" i="15"/>
  <c r="CB3" i="15"/>
  <c r="G3" i="15"/>
  <c r="X23" i="16"/>
  <c r="X29" i="16"/>
  <c r="BG29" i="15"/>
  <c r="BH3" i="15" s="1"/>
  <c r="BC29" i="15"/>
  <c r="BD3" i="15" s="1"/>
  <c r="AU29" i="15"/>
  <c r="AV3" i="15" s="1"/>
  <c r="BK29" i="15"/>
  <c r="BL3" i="15" s="1"/>
  <c r="AY29" i="15"/>
  <c r="AZ3" i="15" s="1"/>
  <c r="AM29" i="15"/>
  <c r="AN3" i="15" s="1"/>
  <c r="AQ29" i="15"/>
  <c r="AR3" i="15" s="1"/>
  <c r="Y23" i="13"/>
  <c r="AA23" i="17" s="1"/>
  <c r="L28" i="13"/>
  <c r="M28" i="13" s="1"/>
  <c r="W29" i="15"/>
  <c r="X3" i="15" s="1"/>
  <c r="BW31" i="15"/>
  <c r="DA39" i="15" l="1"/>
  <c r="CU29" i="15"/>
  <c r="CU30" i="15"/>
  <c r="DA34" i="15"/>
  <c r="CU36" i="15"/>
  <c r="DA31" i="15"/>
  <c r="D41" i="13"/>
  <c r="E21" i="13"/>
  <c r="G21" i="13" s="1"/>
  <c r="I21" i="13" s="1"/>
  <c r="E10" i="13"/>
  <c r="G10" i="13" s="1"/>
  <c r="J32" i="13"/>
  <c r="J36" i="13"/>
  <c r="D35" i="13"/>
  <c r="D40" i="13"/>
  <c r="E25" i="13"/>
  <c r="H25" i="13" s="1"/>
  <c r="E16" i="13"/>
  <c r="G16" i="13" s="1"/>
  <c r="E26" i="13"/>
  <c r="H26" i="13" s="1"/>
  <c r="E19" i="13"/>
  <c r="G19" i="13" s="1"/>
  <c r="E18" i="13"/>
  <c r="F18" i="13" s="1"/>
  <c r="J34" i="13"/>
  <c r="E7" i="13"/>
  <c r="G7" i="13" s="1"/>
  <c r="E17" i="13"/>
  <c r="G17" i="13" s="1"/>
  <c r="E22" i="13"/>
  <c r="F22" i="13" s="1"/>
  <c r="E14" i="13"/>
  <c r="G14" i="13" s="1"/>
  <c r="E23" i="13"/>
  <c r="G23" i="13" s="1"/>
  <c r="E27" i="13"/>
  <c r="H27" i="13" s="1"/>
  <c r="E28" i="13"/>
  <c r="F28" i="13" s="1"/>
  <c r="E20" i="13"/>
  <c r="G20" i="13" s="1"/>
  <c r="E13" i="13"/>
  <c r="G13" i="13" s="1"/>
  <c r="E30" i="13"/>
  <c r="F30" i="13" s="1"/>
  <c r="E15" i="13"/>
  <c r="G15" i="13" s="1"/>
  <c r="E11" i="13"/>
  <c r="G11" i="13" s="1"/>
  <c r="E24" i="13"/>
  <c r="F24" i="13" s="1"/>
  <c r="D37" i="13"/>
  <c r="V44" i="13" s="1"/>
  <c r="E8" i="13"/>
  <c r="G8" i="13" s="1"/>
  <c r="E12" i="13"/>
  <c r="F12" i="13" s="1"/>
  <c r="E9" i="13"/>
  <c r="F9" i="13" s="1"/>
  <c r="E29" i="13"/>
  <c r="G29" i="13" s="1"/>
  <c r="Z28" i="17"/>
  <c r="Z30" i="17"/>
  <c r="X27" i="16"/>
  <c r="X30" i="16"/>
  <c r="X22" i="16"/>
  <c r="X24" i="16"/>
  <c r="X28" i="16"/>
  <c r="X26" i="16"/>
  <c r="Z25" i="17"/>
  <c r="Z26" i="17"/>
  <c r="Z27" i="17"/>
  <c r="X25" i="16"/>
  <c r="Z24" i="17"/>
  <c r="Z22" i="17"/>
  <c r="Z23" i="17"/>
  <c r="AN7" i="15"/>
  <c r="AN11" i="15"/>
  <c r="AN6" i="15"/>
  <c r="AN14" i="15"/>
  <c r="AN18" i="15"/>
  <c r="AN19" i="15"/>
  <c r="AN5" i="15"/>
  <c r="AN23" i="15"/>
  <c r="AN10" i="15"/>
  <c r="AN15" i="15"/>
  <c r="AN21" i="15"/>
  <c r="AN20" i="15"/>
  <c r="AN4" i="15"/>
  <c r="AN25" i="15"/>
  <c r="AN24" i="15"/>
  <c r="AN13" i="15"/>
  <c r="AN16" i="15"/>
  <c r="AN26" i="15"/>
  <c r="AN17" i="15"/>
  <c r="AN8" i="15"/>
  <c r="AN9" i="15"/>
  <c r="AN12" i="15"/>
  <c r="AN22" i="15"/>
  <c r="BD6" i="15"/>
  <c r="BD10" i="15"/>
  <c r="BD14" i="15"/>
  <c r="BD18" i="15"/>
  <c r="BD22" i="15"/>
  <c r="BD26" i="15"/>
  <c r="BD7" i="15"/>
  <c r="BD11" i="15"/>
  <c r="BD15" i="15"/>
  <c r="BD19" i="15"/>
  <c r="BD23" i="15"/>
  <c r="BD4" i="15"/>
  <c r="BD8" i="15"/>
  <c r="BD12" i="15"/>
  <c r="BD16" i="15"/>
  <c r="BD20" i="15"/>
  <c r="BD24" i="15"/>
  <c r="BD9" i="15"/>
  <c r="BD25" i="15"/>
  <c r="BD5" i="15"/>
  <c r="BD13" i="15"/>
  <c r="BD17" i="15"/>
  <c r="BD21" i="15"/>
  <c r="X6" i="15"/>
  <c r="X10" i="15"/>
  <c r="X14" i="15"/>
  <c r="X18" i="15"/>
  <c r="X22" i="15"/>
  <c r="X26" i="15"/>
  <c r="X4" i="15"/>
  <c r="X8" i="15"/>
  <c r="X12" i="15"/>
  <c r="X16" i="15"/>
  <c r="X20" i="15"/>
  <c r="X24" i="15"/>
  <c r="X11" i="15"/>
  <c r="X19" i="15"/>
  <c r="X7" i="15"/>
  <c r="X15" i="15"/>
  <c r="X23" i="15"/>
  <c r="X25" i="15"/>
  <c r="X17" i="15"/>
  <c r="X13" i="15"/>
  <c r="X9" i="15"/>
  <c r="X21" i="15"/>
  <c r="X5" i="15"/>
  <c r="AZ6" i="15"/>
  <c r="AZ10" i="15"/>
  <c r="AZ14" i="15"/>
  <c r="AZ18" i="15"/>
  <c r="AZ22" i="15"/>
  <c r="AZ26" i="15"/>
  <c r="AZ7" i="15"/>
  <c r="AZ11" i="15"/>
  <c r="AZ15" i="15"/>
  <c r="AZ19" i="15"/>
  <c r="AZ23" i="15"/>
  <c r="AZ4" i="15"/>
  <c r="AZ8" i="15"/>
  <c r="AZ12" i="15"/>
  <c r="AZ16" i="15"/>
  <c r="AZ20" i="15"/>
  <c r="AZ24" i="15"/>
  <c r="AZ13" i="15"/>
  <c r="AZ9" i="15"/>
  <c r="AZ5" i="15"/>
  <c r="AZ25" i="15"/>
  <c r="AZ17" i="15"/>
  <c r="AZ21" i="15"/>
  <c r="BH6" i="15"/>
  <c r="BH10" i="15"/>
  <c r="BH14" i="15"/>
  <c r="BH18" i="15"/>
  <c r="BH22" i="15"/>
  <c r="BH26" i="15"/>
  <c r="BH7" i="15"/>
  <c r="BH11" i="15"/>
  <c r="BH15" i="15"/>
  <c r="BH19" i="15"/>
  <c r="BH23" i="15"/>
  <c r="BH4" i="15"/>
  <c r="BH8" i="15"/>
  <c r="BH12" i="15"/>
  <c r="BH16" i="15"/>
  <c r="BH20" i="15"/>
  <c r="BH24" i="15"/>
  <c r="BH13" i="15"/>
  <c r="BH9" i="15"/>
  <c r="BH5" i="15"/>
  <c r="BH17" i="15"/>
  <c r="BH21" i="15"/>
  <c r="BH25" i="15"/>
  <c r="BL6" i="15"/>
  <c r="BL10" i="15"/>
  <c r="BL14" i="15"/>
  <c r="BL18" i="15"/>
  <c r="BL22" i="15"/>
  <c r="BL26" i="15"/>
  <c r="BL7" i="15"/>
  <c r="BL11" i="15"/>
  <c r="BL15" i="15"/>
  <c r="BL19" i="15"/>
  <c r="BL23" i="15"/>
  <c r="BL12" i="15"/>
  <c r="BL4" i="15"/>
  <c r="BL8" i="15"/>
  <c r="BL16" i="15"/>
  <c r="BL20" i="15"/>
  <c r="BL24" i="15"/>
  <c r="BL5" i="15"/>
  <c r="BL13" i="15"/>
  <c r="BL21" i="15"/>
  <c r="BL25" i="15"/>
  <c r="BL9" i="15"/>
  <c r="BL17" i="15"/>
  <c r="AR4" i="15"/>
  <c r="AR8" i="15"/>
  <c r="AR12" i="15"/>
  <c r="AR16" i="15"/>
  <c r="AR20" i="15"/>
  <c r="AR24" i="15"/>
  <c r="AR5" i="15"/>
  <c r="AR9" i="15"/>
  <c r="AR13" i="15"/>
  <c r="AR17" i="15"/>
  <c r="AR21" i="15"/>
  <c r="AR25" i="15"/>
  <c r="AR6" i="15"/>
  <c r="AR10" i="15"/>
  <c r="AR14" i="15"/>
  <c r="AR18" i="15"/>
  <c r="AR22" i="15"/>
  <c r="AR26" i="15"/>
  <c r="AR19" i="15"/>
  <c r="AR7" i="15"/>
  <c r="AR23" i="15"/>
  <c r="AR11" i="15"/>
  <c r="AR15" i="15"/>
  <c r="AV5" i="15"/>
  <c r="AV9" i="15"/>
  <c r="AV13" i="15"/>
  <c r="AV17" i="15"/>
  <c r="AV21" i="15"/>
  <c r="AV25" i="15"/>
  <c r="AV6" i="15"/>
  <c r="AV10" i="15"/>
  <c r="AV14" i="15"/>
  <c r="AV18" i="15"/>
  <c r="AV22" i="15"/>
  <c r="AV26" i="15"/>
  <c r="AV11" i="15"/>
  <c r="AV19" i="15"/>
  <c r="AV4" i="15"/>
  <c r="AV12" i="15"/>
  <c r="AV20" i="15"/>
  <c r="AV7" i="15"/>
  <c r="AV15" i="15"/>
  <c r="AV23" i="15"/>
  <c r="AV16" i="15"/>
  <c r="AV24" i="15"/>
  <c r="AV8" i="15"/>
  <c r="AA29" i="15"/>
  <c r="AB3" i="15" s="1"/>
  <c r="S29" i="15"/>
  <c r="T3" i="15" s="1"/>
  <c r="G29" i="15"/>
  <c r="H3" i="15" s="1"/>
  <c r="AI29" i="15"/>
  <c r="AJ3" i="15" s="1"/>
  <c r="O29" i="15"/>
  <c r="P3" i="15" s="1"/>
  <c r="K29" i="15"/>
  <c r="L3" i="15" s="1"/>
  <c r="G18" i="13" l="1"/>
  <c r="CR25" i="15"/>
  <c r="CP9" i="15"/>
  <c r="CW24" i="15"/>
  <c r="CN5" i="15"/>
  <c r="CL22" i="15"/>
  <c r="CQ17" i="15"/>
  <c r="CW23" i="15"/>
  <c r="CK15" i="15"/>
  <c r="CQ9" i="15"/>
  <c r="CR17" i="15"/>
  <c r="CP5" i="15"/>
  <c r="CL3" i="15"/>
  <c r="CW16" i="15"/>
  <c r="CR21" i="15"/>
  <c r="CW8" i="15"/>
  <c r="CQ25" i="15"/>
  <c r="CQ3" i="15"/>
  <c r="CR3" i="15"/>
  <c r="CM21" i="15"/>
  <c r="CP21" i="15"/>
  <c r="CN13" i="15"/>
  <c r="CW7" i="15"/>
  <c r="CW19" i="15"/>
  <c r="CW18" i="15"/>
  <c r="CW25" i="15"/>
  <c r="CW9" i="15"/>
  <c r="CK23" i="15"/>
  <c r="CK22" i="15"/>
  <c r="CK6" i="15"/>
  <c r="CK13" i="15"/>
  <c r="CK20" i="15"/>
  <c r="CK4" i="15"/>
  <c r="CQ21" i="15"/>
  <c r="CQ20" i="15"/>
  <c r="CQ12" i="15"/>
  <c r="CQ11" i="15"/>
  <c r="CQ18" i="15"/>
  <c r="CR9" i="15"/>
  <c r="CR16" i="15"/>
  <c r="CR23" i="15"/>
  <c r="CR7" i="15"/>
  <c r="CR14" i="15"/>
  <c r="CM17" i="15"/>
  <c r="CM13" i="15"/>
  <c r="CM12" i="15"/>
  <c r="CM19" i="15"/>
  <c r="CM26" i="15"/>
  <c r="CM10" i="15"/>
  <c r="CP23" i="15"/>
  <c r="CP11" i="15"/>
  <c r="CP12" i="15"/>
  <c r="CP22" i="15"/>
  <c r="CP6" i="15"/>
  <c r="CN20" i="15"/>
  <c r="CN4" i="15"/>
  <c r="CN11" i="15"/>
  <c r="CN18" i="15"/>
  <c r="CL17" i="15"/>
  <c r="CL24" i="15"/>
  <c r="CL21" i="15"/>
  <c r="CL5" i="15"/>
  <c r="CL6" i="15"/>
  <c r="CN3" i="15"/>
  <c r="CK3" i="15"/>
  <c r="CW20" i="15"/>
  <c r="CW11" i="15"/>
  <c r="CW14" i="15"/>
  <c r="CW21" i="15"/>
  <c r="CW5" i="15"/>
  <c r="CK7" i="15"/>
  <c r="CK18" i="15"/>
  <c r="CK25" i="15"/>
  <c r="CK9" i="15"/>
  <c r="CK16" i="15"/>
  <c r="CQ13" i="15"/>
  <c r="CQ16" i="15"/>
  <c r="CQ23" i="15"/>
  <c r="CQ7" i="15"/>
  <c r="CQ14" i="15"/>
  <c r="CR13" i="15"/>
  <c r="CR12" i="15"/>
  <c r="CR19" i="15"/>
  <c r="CR26" i="15"/>
  <c r="CR10" i="15"/>
  <c r="CM25" i="15"/>
  <c r="CM24" i="15"/>
  <c r="CM8" i="15"/>
  <c r="CM15" i="15"/>
  <c r="CM22" i="15"/>
  <c r="CM6" i="15"/>
  <c r="CP13" i="15"/>
  <c r="CP15" i="15"/>
  <c r="CP24" i="15"/>
  <c r="CP8" i="15"/>
  <c r="CP18" i="15"/>
  <c r="CN21" i="15"/>
  <c r="CN25" i="15"/>
  <c r="CN16" i="15"/>
  <c r="CN23" i="15"/>
  <c r="CN7" i="15"/>
  <c r="CN14" i="15"/>
  <c r="CL12" i="15"/>
  <c r="CL26" i="15"/>
  <c r="CL25" i="15"/>
  <c r="CL15" i="15"/>
  <c r="CL19" i="15"/>
  <c r="CL11" i="15"/>
  <c r="CW12" i="15"/>
  <c r="CW26" i="15"/>
  <c r="CW10" i="15"/>
  <c r="CW17" i="15"/>
  <c r="CK19" i="15"/>
  <c r="CK14" i="15"/>
  <c r="CK21" i="15"/>
  <c r="CK5" i="15"/>
  <c r="CK12" i="15"/>
  <c r="CQ5" i="15"/>
  <c r="CQ8" i="15"/>
  <c r="CQ19" i="15"/>
  <c r="CQ26" i="15"/>
  <c r="CQ10" i="15"/>
  <c r="CR24" i="15"/>
  <c r="CR8" i="15"/>
  <c r="CR15" i="15"/>
  <c r="CR22" i="15"/>
  <c r="CR6" i="15"/>
  <c r="CM5" i="15"/>
  <c r="CM20" i="15"/>
  <c r="CM4" i="15"/>
  <c r="CM11" i="15"/>
  <c r="CM18" i="15"/>
  <c r="CP17" i="15"/>
  <c r="CP7" i="15"/>
  <c r="CP20" i="15"/>
  <c r="CP4" i="15"/>
  <c r="CP14" i="15"/>
  <c r="CN17" i="15"/>
  <c r="CN9" i="15"/>
  <c r="CN12" i="15"/>
  <c r="CN19" i="15"/>
  <c r="CN26" i="15"/>
  <c r="CN10" i="15"/>
  <c r="CL9" i="15"/>
  <c r="CL16" i="15"/>
  <c r="CL4" i="15"/>
  <c r="CL10" i="15"/>
  <c r="CL18" i="15"/>
  <c r="CL7" i="15"/>
  <c r="CP3" i="15"/>
  <c r="CW15" i="15"/>
  <c r="CW4" i="15"/>
  <c r="CW22" i="15"/>
  <c r="CW6" i="15"/>
  <c r="CW13" i="15"/>
  <c r="CK11" i="15"/>
  <c r="CK26" i="15"/>
  <c r="CK10" i="15"/>
  <c r="CK17" i="15"/>
  <c r="CK24" i="15"/>
  <c r="CK8" i="15"/>
  <c r="CQ24" i="15"/>
  <c r="CQ4" i="15"/>
  <c r="CQ15" i="15"/>
  <c r="CQ22" i="15"/>
  <c r="CQ6" i="15"/>
  <c r="CR5" i="15"/>
  <c r="CR20" i="15"/>
  <c r="CR4" i="15"/>
  <c r="CR11" i="15"/>
  <c r="CR18" i="15"/>
  <c r="CM9" i="15"/>
  <c r="CM16" i="15"/>
  <c r="CM23" i="15"/>
  <c r="CM7" i="15"/>
  <c r="CM14" i="15"/>
  <c r="CP25" i="15"/>
  <c r="CP19" i="15"/>
  <c r="CP16" i="15"/>
  <c r="CP26" i="15"/>
  <c r="CP10" i="15"/>
  <c r="CN24" i="15"/>
  <c r="CN8" i="15"/>
  <c r="CN15" i="15"/>
  <c r="CN22" i="15"/>
  <c r="CN6" i="15"/>
  <c r="CL8" i="15"/>
  <c r="CL13" i="15"/>
  <c r="CL20" i="15"/>
  <c r="CL23" i="15"/>
  <c r="CL14" i="15"/>
  <c r="CW3" i="15"/>
  <c r="CM3" i="15"/>
  <c r="F16" i="13"/>
  <c r="CU39" i="15"/>
  <c r="J38" i="13"/>
  <c r="CU31" i="15"/>
  <c r="CU32" i="15" s="1"/>
  <c r="DA33" i="15"/>
  <c r="DA32" i="15"/>
  <c r="CU34" i="15"/>
  <c r="H40" i="13"/>
  <c r="H30" i="13"/>
  <c r="F21" i="13"/>
  <c r="H21" i="13" s="1"/>
  <c r="K21" i="13" s="1"/>
  <c r="X21" i="13" s="1"/>
  <c r="H41" i="13"/>
  <c r="H23" i="13"/>
  <c r="F10" i="13"/>
  <c r="F19" i="13"/>
  <c r="F11" i="13"/>
  <c r="I26" i="13"/>
  <c r="K26" i="13" s="1"/>
  <c r="X26" i="13" s="1"/>
  <c r="F7" i="13"/>
  <c r="F26" i="13"/>
  <c r="H28" i="13"/>
  <c r="F29" i="13"/>
  <c r="F17" i="13"/>
  <c r="F25" i="13"/>
  <c r="G27" i="13"/>
  <c r="J37" i="13"/>
  <c r="H22" i="13"/>
  <c r="G28" i="13"/>
  <c r="G22" i="13"/>
  <c r="F15" i="13"/>
  <c r="I28" i="13"/>
  <c r="G26" i="13"/>
  <c r="F14" i="13"/>
  <c r="F27" i="13"/>
  <c r="G30" i="13"/>
  <c r="H29" i="13"/>
  <c r="G25" i="13"/>
  <c r="I27" i="13"/>
  <c r="K27" i="13" s="1"/>
  <c r="X27" i="13" s="1"/>
  <c r="I30" i="13"/>
  <c r="H35" i="13"/>
  <c r="U44" i="13" s="1"/>
  <c r="I29" i="13"/>
  <c r="I25" i="13"/>
  <c r="K25" i="13" s="1"/>
  <c r="X25" i="13" s="1"/>
  <c r="F8" i="13"/>
  <c r="I22" i="13"/>
  <c r="F13" i="13"/>
  <c r="F23" i="13"/>
  <c r="H24" i="13"/>
  <c r="G9" i="13"/>
  <c r="I23" i="13"/>
  <c r="I24" i="13"/>
  <c r="G24" i="13"/>
  <c r="G12" i="13"/>
  <c r="F20" i="13"/>
  <c r="P6" i="15"/>
  <c r="P10" i="15"/>
  <c r="P14" i="15"/>
  <c r="P18" i="15"/>
  <c r="P22" i="15"/>
  <c r="P26" i="15"/>
  <c r="P7" i="15"/>
  <c r="P11" i="15"/>
  <c r="P15" i="15"/>
  <c r="P19" i="15"/>
  <c r="P23" i="15"/>
  <c r="P4" i="15"/>
  <c r="P8" i="15"/>
  <c r="P12" i="15"/>
  <c r="P16" i="15"/>
  <c r="P20" i="15"/>
  <c r="P24" i="15"/>
  <c r="P13" i="15"/>
  <c r="P17" i="15"/>
  <c r="P21" i="15"/>
  <c r="P5" i="15"/>
  <c r="P25" i="15"/>
  <c r="P9" i="15"/>
  <c r="AJ7" i="15"/>
  <c r="AJ11" i="15"/>
  <c r="AJ15" i="15"/>
  <c r="AJ19" i="15"/>
  <c r="AJ23" i="15"/>
  <c r="AJ4" i="15"/>
  <c r="AJ9" i="15"/>
  <c r="AJ20" i="15"/>
  <c r="AJ25" i="15"/>
  <c r="AJ5" i="15"/>
  <c r="AJ16" i="15"/>
  <c r="AJ21" i="15"/>
  <c r="AJ12" i="15"/>
  <c r="AJ17" i="15"/>
  <c r="AJ8" i="15"/>
  <c r="AJ13" i="15"/>
  <c r="AJ24" i="15"/>
  <c r="AJ14" i="15"/>
  <c r="AJ26" i="15"/>
  <c r="AJ10" i="15"/>
  <c r="AJ18" i="15"/>
  <c r="AJ22" i="15"/>
  <c r="AJ6" i="15"/>
  <c r="H6" i="15"/>
  <c r="H10" i="15"/>
  <c r="H14" i="15"/>
  <c r="H18" i="15"/>
  <c r="H22" i="15"/>
  <c r="H26" i="15"/>
  <c r="H7" i="15"/>
  <c r="H11" i="15"/>
  <c r="H15" i="15"/>
  <c r="H19" i="15"/>
  <c r="H23" i="15"/>
  <c r="H4" i="15"/>
  <c r="H8" i="15"/>
  <c r="H12" i="15"/>
  <c r="H16" i="15"/>
  <c r="H20" i="15"/>
  <c r="H24" i="15"/>
  <c r="H17" i="15"/>
  <c r="H21" i="15"/>
  <c r="H9" i="15"/>
  <c r="H5" i="15"/>
  <c r="H13" i="15"/>
  <c r="H25" i="15"/>
  <c r="T6" i="15"/>
  <c r="T10" i="15"/>
  <c r="T14" i="15"/>
  <c r="T18" i="15"/>
  <c r="T22" i="15"/>
  <c r="T26" i="15"/>
  <c r="T4" i="15"/>
  <c r="T8" i="15"/>
  <c r="T12" i="15"/>
  <c r="T16" i="15"/>
  <c r="T20" i="15"/>
  <c r="T24" i="15"/>
  <c r="T11" i="15"/>
  <c r="T19" i="15"/>
  <c r="T7" i="15"/>
  <c r="T15" i="15"/>
  <c r="T23" i="15"/>
  <c r="T17" i="15"/>
  <c r="T5" i="15"/>
  <c r="T13" i="15"/>
  <c r="T9" i="15"/>
  <c r="T25" i="15"/>
  <c r="T21" i="15"/>
  <c r="L6" i="15"/>
  <c r="L10" i="15"/>
  <c r="L14" i="15"/>
  <c r="L18" i="15"/>
  <c r="L22" i="15"/>
  <c r="L26" i="15"/>
  <c r="L7" i="15"/>
  <c r="L11" i="15"/>
  <c r="L15" i="15"/>
  <c r="L19" i="15"/>
  <c r="L23" i="15"/>
  <c r="L4" i="15"/>
  <c r="L8" i="15"/>
  <c r="L12" i="15"/>
  <c r="L16" i="15"/>
  <c r="L20" i="15"/>
  <c r="L24" i="15"/>
  <c r="L13" i="15"/>
  <c r="L17" i="15"/>
  <c r="L21" i="15"/>
  <c r="L9" i="15"/>
  <c r="L5" i="15"/>
  <c r="L25" i="15"/>
  <c r="AB4" i="15"/>
  <c r="AB8" i="15"/>
  <c r="AB12" i="15"/>
  <c r="AB16" i="15"/>
  <c r="AB20" i="15"/>
  <c r="AB24" i="15"/>
  <c r="AB14" i="15"/>
  <c r="AB18" i="15"/>
  <c r="AB6" i="15"/>
  <c r="AB22" i="15"/>
  <c r="AB10" i="15"/>
  <c r="AB26" i="15"/>
  <c r="AB11" i="15"/>
  <c r="AB25" i="15"/>
  <c r="AB13" i="15"/>
  <c r="AB15" i="15"/>
  <c r="AB17" i="15"/>
  <c r="AB23" i="15"/>
  <c r="AB7" i="15"/>
  <c r="AB21" i="15"/>
  <c r="AB9" i="15"/>
  <c r="AB19" i="15"/>
  <c r="AB5" i="15"/>
  <c r="A21" i="13"/>
  <c r="H20" i="13"/>
  <c r="I20" i="13"/>
  <c r="A19" i="13"/>
  <c r="A20" i="13"/>
  <c r="BH31" i="15"/>
  <c r="BJ3" i="15" s="1"/>
  <c r="BH30" i="15"/>
  <c r="BH29" i="15"/>
  <c r="BD29" i="15"/>
  <c r="BD30" i="15"/>
  <c r="BD31" i="15"/>
  <c r="AV30" i="15"/>
  <c r="AV31" i="15"/>
  <c r="AX3" i="15" s="1"/>
  <c r="AV29" i="15"/>
  <c r="BL31" i="15"/>
  <c r="BM19" i="15" s="1"/>
  <c r="AZ31" i="15"/>
  <c r="AZ30" i="15"/>
  <c r="BL30" i="15"/>
  <c r="BL29" i="15"/>
  <c r="AZ29" i="15"/>
  <c r="H16" i="13"/>
  <c r="I16" i="13"/>
  <c r="AN30" i="15"/>
  <c r="AN31" i="15"/>
  <c r="AP3" i="15" s="1"/>
  <c r="A17" i="13"/>
  <c r="A18" i="13"/>
  <c r="A10" i="13"/>
  <c r="A16" i="13"/>
  <c r="AR30" i="15"/>
  <c r="AR31" i="15"/>
  <c r="AT3" i="15" s="1"/>
  <c r="X30" i="15"/>
  <c r="X29" i="15"/>
  <c r="X31" i="15"/>
  <c r="Z3" i="15" s="1"/>
  <c r="CV9" i="15" l="1"/>
  <c r="CV3" i="15"/>
  <c r="CT21" i="15"/>
  <c r="CT20" i="15"/>
  <c r="CO21" i="15"/>
  <c r="CO5" i="15"/>
  <c r="CO7" i="15"/>
  <c r="CO3" i="15"/>
  <c r="CS13" i="15"/>
  <c r="CS17" i="15"/>
  <c r="CS19" i="15"/>
  <c r="CH18" i="15"/>
  <c r="CH24" i="15"/>
  <c r="CV11" i="15"/>
  <c r="CT4" i="15"/>
  <c r="CO20" i="15"/>
  <c r="CS12" i="15"/>
  <c r="CS10" i="15"/>
  <c r="CH25" i="15"/>
  <c r="CV21" i="15"/>
  <c r="CV15" i="15"/>
  <c r="CV26" i="15"/>
  <c r="CV18" i="15"/>
  <c r="CV16" i="15"/>
  <c r="CT25" i="15"/>
  <c r="CT17" i="15"/>
  <c r="CT16" i="15"/>
  <c r="CT23" i="15"/>
  <c r="CT7" i="15"/>
  <c r="CT14" i="15"/>
  <c r="CO25" i="15"/>
  <c r="CO17" i="15"/>
  <c r="CO19" i="15"/>
  <c r="CO16" i="15"/>
  <c r="CO26" i="15"/>
  <c r="CO10" i="15"/>
  <c r="CS5" i="15"/>
  <c r="CS24" i="15"/>
  <c r="CS8" i="15"/>
  <c r="CS15" i="15"/>
  <c r="CS22" i="15"/>
  <c r="CS6" i="15"/>
  <c r="CH10" i="15"/>
  <c r="CH13" i="15"/>
  <c r="CH21" i="15"/>
  <c r="CH20" i="15"/>
  <c r="CH19" i="15"/>
  <c r="CV6" i="15"/>
  <c r="CT18" i="15"/>
  <c r="CO14" i="15"/>
  <c r="CH12" i="15"/>
  <c r="CH7" i="15"/>
  <c r="CV5" i="15"/>
  <c r="CV7" i="15"/>
  <c r="CV13" i="15"/>
  <c r="CV10" i="15"/>
  <c r="CV14" i="15"/>
  <c r="CV12" i="15"/>
  <c r="CT5" i="15"/>
  <c r="CT13" i="15"/>
  <c r="CT12" i="15"/>
  <c r="CT19" i="15"/>
  <c r="CT26" i="15"/>
  <c r="CT10" i="15"/>
  <c r="CO9" i="15"/>
  <c r="CO23" i="15"/>
  <c r="CO11" i="15"/>
  <c r="CO12" i="15"/>
  <c r="CO22" i="15"/>
  <c r="CO6" i="15"/>
  <c r="CS9" i="15"/>
  <c r="CS20" i="15"/>
  <c r="CS4" i="15"/>
  <c r="CS11" i="15"/>
  <c r="CS18" i="15"/>
  <c r="CH6" i="15"/>
  <c r="CH26" i="15"/>
  <c r="CH8" i="15"/>
  <c r="CH16" i="15"/>
  <c r="CH9" i="15"/>
  <c r="CH15" i="15"/>
  <c r="CV17" i="15"/>
  <c r="CV20" i="15"/>
  <c r="CV4" i="15"/>
  <c r="CT11" i="15"/>
  <c r="CO4" i="15"/>
  <c r="CS26" i="15"/>
  <c r="CH23" i="15"/>
  <c r="CV19" i="15"/>
  <c r="CV23" i="15"/>
  <c r="CV25" i="15"/>
  <c r="CV22" i="15"/>
  <c r="CV24" i="15"/>
  <c r="CV8" i="15"/>
  <c r="CT9" i="15"/>
  <c r="CT24" i="15"/>
  <c r="CT8" i="15"/>
  <c r="CT15" i="15"/>
  <c r="CT22" i="15"/>
  <c r="CT6" i="15"/>
  <c r="CO13" i="15"/>
  <c r="CO15" i="15"/>
  <c r="CO24" i="15"/>
  <c r="CO8" i="15"/>
  <c r="CO18" i="15"/>
  <c r="CS25" i="15"/>
  <c r="CS21" i="15"/>
  <c r="CS16" i="15"/>
  <c r="CS23" i="15"/>
  <c r="CS7" i="15"/>
  <c r="CS14" i="15"/>
  <c r="CH22" i="15"/>
  <c r="CH14" i="15"/>
  <c r="CH17" i="15"/>
  <c r="CH5" i="15"/>
  <c r="CH4" i="15"/>
  <c r="CH11" i="15"/>
  <c r="CH3" i="15"/>
  <c r="CT3" i="15"/>
  <c r="CS3" i="15"/>
  <c r="A15" i="13"/>
  <c r="L15" i="13" s="1"/>
  <c r="M15" i="13" s="1"/>
  <c r="Z24" i="15"/>
  <c r="Z26" i="15"/>
  <c r="Z4" i="15"/>
  <c r="Y4" i="15" s="1"/>
  <c r="Z12" i="15"/>
  <c r="Z5" i="15"/>
  <c r="Y5" i="15" s="1"/>
  <c r="Z10" i="15"/>
  <c r="Y10" i="15" s="1"/>
  <c r="Z20" i="15"/>
  <c r="Z25" i="15"/>
  <c r="Z15" i="15"/>
  <c r="Z19" i="15"/>
  <c r="Z11" i="15"/>
  <c r="Z16" i="15"/>
  <c r="Z7" i="15"/>
  <c r="Y7" i="15" s="1"/>
  <c r="Z18" i="15"/>
  <c r="Z13" i="15"/>
  <c r="Z6" i="15"/>
  <c r="Y6" i="15" s="1"/>
  <c r="Z23" i="15"/>
  <c r="Z21" i="15"/>
  <c r="Z14" i="15"/>
  <c r="Z17" i="15"/>
  <c r="Z8" i="15"/>
  <c r="Y8" i="15" s="1"/>
  <c r="Z22" i="15"/>
  <c r="Z9" i="15"/>
  <c r="Y9" i="15" s="1"/>
  <c r="CN30" i="15"/>
  <c r="CN29" i="15"/>
  <c r="CR30" i="15"/>
  <c r="CR29" i="15"/>
  <c r="CP30" i="15"/>
  <c r="CP29" i="15"/>
  <c r="CM29" i="15"/>
  <c r="CM30" i="15"/>
  <c r="CK30" i="15"/>
  <c r="CK29" i="15"/>
  <c r="CQ29" i="15"/>
  <c r="CQ30" i="15"/>
  <c r="CL30" i="15"/>
  <c r="CL29" i="15"/>
  <c r="CW30" i="15"/>
  <c r="CW29" i="15"/>
  <c r="A14" i="13"/>
  <c r="Y14" i="13" s="1"/>
  <c r="AA14" i="17" s="1"/>
  <c r="A9" i="13"/>
  <c r="Y9" i="13" s="1"/>
  <c r="AA9" i="17" s="1"/>
  <c r="CU33" i="15"/>
  <c r="CL36" i="15"/>
  <c r="CW36" i="15"/>
  <c r="CP36" i="15"/>
  <c r="CM36" i="15"/>
  <c r="CN36" i="15"/>
  <c r="CR36" i="15"/>
  <c r="CK36" i="15"/>
  <c r="CQ36" i="15"/>
  <c r="K30" i="13"/>
  <c r="X30" i="13" s="1"/>
  <c r="A11" i="13"/>
  <c r="L11" i="13" s="1"/>
  <c r="M11" i="13" s="1"/>
  <c r="A7" i="13"/>
  <c r="L7" i="13" s="1"/>
  <c r="A8" i="13"/>
  <c r="L8" i="13" s="1"/>
  <c r="A12" i="13"/>
  <c r="A13" i="13"/>
  <c r="Y13" i="13" s="1"/>
  <c r="AA13" i="17" s="1"/>
  <c r="K23" i="13"/>
  <c r="X23" i="13" s="1"/>
  <c r="K28" i="13"/>
  <c r="X28" i="13" s="1"/>
  <c r="I9" i="13"/>
  <c r="H9" i="13"/>
  <c r="K22" i="13"/>
  <c r="X22" i="13" s="1"/>
  <c r="K24" i="13"/>
  <c r="X24" i="13" s="1"/>
  <c r="H19" i="13"/>
  <c r="H13" i="13"/>
  <c r="K29" i="13"/>
  <c r="X29" i="13" s="1"/>
  <c r="I10" i="13"/>
  <c r="H8" i="13"/>
  <c r="H15" i="13"/>
  <c r="H12" i="13"/>
  <c r="I18" i="13"/>
  <c r="H10" i="13"/>
  <c r="H17" i="13"/>
  <c r="I13" i="13"/>
  <c r="I14" i="13"/>
  <c r="I11" i="13"/>
  <c r="I12" i="13"/>
  <c r="H18" i="13"/>
  <c r="I15" i="13"/>
  <c r="I17" i="13"/>
  <c r="H14" i="13"/>
  <c r="I8" i="13"/>
  <c r="I19" i="13"/>
  <c r="H7" i="13"/>
  <c r="H11" i="13"/>
  <c r="I7" i="13"/>
  <c r="AX23" i="15"/>
  <c r="BM16" i="15"/>
  <c r="AX21" i="15"/>
  <c r="BM22" i="15"/>
  <c r="BN3" i="15"/>
  <c r="BM3" i="15"/>
  <c r="AX4" i="15"/>
  <c r="AX16" i="15"/>
  <c r="AT13" i="15"/>
  <c r="AT11" i="15"/>
  <c r="BM18" i="15"/>
  <c r="BM12" i="15"/>
  <c r="BM21" i="15"/>
  <c r="BM25" i="15"/>
  <c r="AT21" i="15"/>
  <c r="AT10" i="15"/>
  <c r="AX9" i="15"/>
  <c r="BM24" i="15"/>
  <c r="BM23" i="15"/>
  <c r="BM26" i="15"/>
  <c r="AX17" i="15"/>
  <c r="AT25" i="15"/>
  <c r="AX7" i="15"/>
  <c r="BM20" i="15"/>
  <c r="BM15" i="15"/>
  <c r="BM14" i="15"/>
  <c r="BM17" i="15"/>
  <c r="AP7" i="15"/>
  <c r="BN10" i="15"/>
  <c r="BN14" i="15"/>
  <c r="BN6" i="15"/>
  <c r="AP23" i="15"/>
  <c r="AP18" i="15"/>
  <c r="AP9" i="15"/>
  <c r="BN26" i="15"/>
  <c r="BN9" i="15"/>
  <c r="AT14" i="15"/>
  <c r="AX10" i="15"/>
  <c r="AP11" i="15"/>
  <c r="AP26" i="15"/>
  <c r="BN7" i="15"/>
  <c r="BN17" i="15"/>
  <c r="AT18" i="15"/>
  <c r="AX14" i="15"/>
  <c r="BN4" i="15"/>
  <c r="AX13" i="15"/>
  <c r="AP6" i="15"/>
  <c r="AP17" i="15"/>
  <c r="BN18" i="15"/>
  <c r="BN21" i="15"/>
  <c r="AT6" i="15"/>
  <c r="AX25" i="15"/>
  <c r="AX24" i="15"/>
  <c r="AP20" i="15"/>
  <c r="BN24" i="15"/>
  <c r="AX6" i="15"/>
  <c r="BN5" i="15"/>
  <c r="AP25" i="15"/>
  <c r="BN13" i="15"/>
  <c r="BN20" i="15"/>
  <c r="BN15" i="15"/>
  <c r="AP10" i="15"/>
  <c r="BN19" i="15"/>
  <c r="AT12" i="15"/>
  <c r="AT19" i="15"/>
  <c r="AX26" i="15"/>
  <c r="AP19" i="15"/>
  <c r="AP12" i="15"/>
  <c r="BN23" i="15"/>
  <c r="AT16" i="15"/>
  <c r="AT7" i="15"/>
  <c r="AX11" i="15"/>
  <c r="BN25" i="15"/>
  <c r="AX22" i="15"/>
  <c r="AP5" i="15"/>
  <c r="AP22" i="15"/>
  <c r="BN11" i="15"/>
  <c r="AT4" i="15"/>
  <c r="AT22" i="15"/>
  <c r="AX18" i="15"/>
  <c r="AP13" i="15"/>
  <c r="AT8" i="15"/>
  <c r="AX15" i="15"/>
  <c r="AP16" i="15"/>
  <c r="AP24" i="15"/>
  <c r="Y3" i="15"/>
  <c r="AP4" i="15"/>
  <c r="BN8" i="15"/>
  <c r="AT5" i="15"/>
  <c r="AT15" i="15"/>
  <c r="AX12" i="15"/>
  <c r="AT26" i="15"/>
  <c r="AP15" i="15"/>
  <c r="BN16" i="15"/>
  <c r="AT9" i="15"/>
  <c r="AX5" i="15"/>
  <c r="AX20" i="15"/>
  <c r="AT24" i="15"/>
  <c r="AX8" i="15"/>
  <c r="AP21" i="15"/>
  <c r="BN12" i="15"/>
  <c r="AT20" i="15"/>
  <c r="AT23" i="15"/>
  <c r="AX19" i="15"/>
  <c r="AP14" i="15"/>
  <c r="AP8" i="15"/>
  <c r="BN22" i="15"/>
  <c r="AT17" i="15"/>
  <c r="BF10" i="15"/>
  <c r="BF8" i="15"/>
  <c r="BF3" i="15"/>
  <c r="BB21" i="15"/>
  <c r="BA21" i="15" s="1"/>
  <c r="BB3" i="15"/>
  <c r="BJ20" i="15"/>
  <c r="BI20" i="15" s="1"/>
  <c r="BF12" i="15"/>
  <c r="BB20" i="15"/>
  <c r="BA20" i="15" s="1"/>
  <c r="BJ15" i="15"/>
  <c r="BI15" i="15" s="1"/>
  <c r="BF23" i="15"/>
  <c r="BE23" i="15" s="1"/>
  <c r="BB6" i="15"/>
  <c r="BB24" i="15"/>
  <c r="BA24" i="15" s="1"/>
  <c r="BJ21" i="15"/>
  <c r="BI21" i="15" s="1"/>
  <c r="BF18" i="15"/>
  <c r="BE18" i="15" s="1"/>
  <c r="BF5" i="15"/>
  <c r="BB19" i="15"/>
  <c r="BA19" i="15" s="1"/>
  <c r="BJ16" i="15"/>
  <c r="BI16" i="15" s="1"/>
  <c r="BF6" i="15"/>
  <c r="BF24" i="15"/>
  <c r="BE24" i="15" s="1"/>
  <c r="BB23" i="15"/>
  <c r="BA23" i="15" s="1"/>
  <c r="BJ18" i="15"/>
  <c r="BI18" i="15" s="1"/>
  <c r="BJ5" i="15"/>
  <c r="BF26" i="15"/>
  <c r="BE26" i="15" s="1"/>
  <c r="BF9" i="15"/>
  <c r="BB18" i="15"/>
  <c r="BA18" i="15" s="1"/>
  <c r="BB5" i="15"/>
  <c r="BJ8" i="15"/>
  <c r="BF16" i="15"/>
  <c r="BE16" i="15" s="1"/>
  <c r="BB22" i="15"/>
  <c r="BA22" i="15" s="1"/>
  <c r="BB25" i="15"/>
  <c r="BA25" i="15" s="1"/>
  <c r="BJ19" i="15"/>
  <c r="BI19" i="15" s="1"/>
  <c r="BF11" i="15"/>
  <c r="BB10" i="15"/>
  <c r="BB12" i="15"/>
  <c r="BJ14" i="15"/>
  <c r="BI14" i="15" s="1"/>
  <c r="BJ9" i="15"/>
  <c r="BI9" i="15" s="1"/>
  <c r="BF22" i="15"/>
  <c r="BE22" i="15" s="1"/>
  <c r="BF13" i="15"/>
  <c r="BB16" i="15"/>
  <c r="BA16" i="15" s="1"/>
  <c r="BJ11" i="15"/>
  <c r="BI11" i="15" s="1"/>
  <c r="BF17" i="15"/>
  <c r="BE17" i="15" s="1"/>
  <c r="BB11" i="15"/>
  <c r="BJ6" i="15"/>
  <c r="BJ24" i="15"/>
  <c r="BI24" i="15" s="1"/>
  <c r="BF14" i="15"/>
  <c r="BE14" i="15" s="1"/>
  <c r="BF25" i="15"/>
  <c r="BE25" i="15" s="1"/>
  <c r="BB15" i="15"/>
  <c r="BA15" i="15" s="1"/>
  <c r="BJ10" i="15"/>
  <c r="BI10" i="15" s="1"/>
  <c r="BJ12" i="15"/>
  <c r="BI12" i="15" s="1"/>
  <c r="BF4" i="15"/>
  <c r="BB26" i="15"/>
  <c r="BA26" i="15" s="1"/>
  <c r="BB13" i="15"/>
  <c r="BJ7" i="15"/>
  <c r="BI7" i="15" s="1"/>
  <c r="BJ25" i="15"/>
  <c r="BI25" i="15" s="1"/>
  <c r="BF15" i="15"/>
  <c r="BE15" i="15" s="1"/>
  <c r="BB14" i="15"/>
  <c r="BA14" i="15" s="1"/>
  <c r="BB9" i="15"/>
  <c r="BJ4" i="15"/>
  <c r="BF19" i="15"/>
  <c r="BE19" i="15" s="1"/>
  <c r="BB4" i="15"/>
  <c r="BJ22" i="15"/>
  <c r="BI22" i="15" s="1"/>
  <c r="BJ17" i="15"/>
  <c r="BI17" i="15" s="1"/>
  <c r="BF7" i="15"/>
  <c r="BF21" i="15"/>
  <c r="BE21" i="15" s="1"/>
  <c r="BB8" i="15"/>
  <c r="BJ26" i="15"/>
  <c r="BI26" i="15" s="1"/>
  <c r="BJ13" i="15"/>
  <c r="BI13" i="15" s="1"/>
  <c r="BF20" i="15"/>
  <c r="BE20" i="15" s="1"/>
  <c r="BB17" i="15"/>
  <c r="BA17" i="15" s="1"/>
  <c r="BJ23" i="15"/>
  <c r="BI23" i="15" s="1"/>
  <c r="BB7" i="15"/>
  <c r="AB31" i="15"/>
  <c r="AD3" i="15" s="1"/>
  <c r="AB30" i="15"/>
  <c r="AB29" i="15"/>
  <c r="T29" i="15"/>
  <c r="T30" i="15"/>
  <c r="T31" i="15"/>
  <c r="V3" i="15" s="1"/>
  <c r="Y21" i="13"/>
  <c r="AA21" i="17" s="1"/>
  <c r="L21" i="13"/>
  <c r="M21" i="13" s="1"/>
  <c r="K20" i="13"/>
  <c r="X20" i="13" s="1"/>
  <c r="AJ31" i="15"/>
  <c r="AL26" i="15" s="1"/>
  <c r="AJ30" i="15"/>
  <c r="AJ29" i="15"/>
  <c r="Y20" i="13"/>
  <c r="AA20" i="17" s="1"/>
  <c r="L20" i="13"/>
  <c r="M20" i="13" s="1"/>
  <c r="L19" i="13"/>
  <c r="M19" i="13" s="1"/>
  <c r="Y19" i="13"/>
  <c r="AA19" i="17" s="1"/>
  <c r="K16" i="13"/>
  <c r="X16" i="13" s="1"/>
  <c r="L17" i="13"/>
  <c r="M17" i="13" s="1"/>
  <c r="Y17" i="13"/>
  <c r="AA17" i="17" s="1"/>
  <c r="Y16" i="13"/>
  <c r="AA16" i="17" s="1"/>
  <c r="L16" i="13"/>
  <c r="M16" i="13" s="1"/>
  <c r="Y10" i="13"/>
  <c r="AA10" i="17" s="1"/>
  <c r="L10" i="13"/>
  <c r="M10" i="13" s="1"/>
  <c r="L18" i="13"/>
  <c r="M18" i="13" s="1"/>
  <c r="Y18" i="13"/>
  <c r="AA18" i="17" s="1"/>
  <c r="P29" i="15"/>
  <c r="P30" i="15"/>
  <c r="P31" i="15"/>
  <c r="R3" i="15" s="1"/>
  <c r="L31" i="15"/>
  <c r="N3" i="15" s="1"/>
  <c r="L30" i="15"/>
  <c r="L29" i="15"/>
  <c r="H31" i="15"/>
  <c r="J3" i="15" s="1"/>
  <c r="H29" i="15"/>
  <c r="H30" i="15"/>
  <c r="Y15" i="13" l="1"/>
  <c r="AA15" i="17" s="1"/>
  <c r="L9" i="13"/>
  <c r="M9" i="13" s="1"/>
  <c r="L14" i="13"/>
  <c r="M14" i="13" s="1"/>
  <c r="V24" i="15"/>
  <c r="V11" i="15"/>
  <c r="V26" i="15"/>
  <c r="V25" i="15"/>
  <c r="AL18" i="15"/>
  <c r="AL5" i="15"/>
  <c r="V9" i="15"/>
  <c r="U9" i="15" s="1"/>
  <c r="CH29" i="15"/>
  <c r="AL13" i="15"/>
  <c r="V16" i="15"/>
  <c r="AL4" i="15"/>
  <c r="V13" i="15"/>
  <c r="AL25" i="15"/>
  <c r="V14" i="15"/>
  <c r="V5" i="15"/>
  <c r="U5" i="15" s="1"/>
  <c r="AL14" i="15"/>
  <c r="AL9" i="15"/>
  <c r="V6" i="15"/>
  <c r="U6" i="15" s="1"/>
  <c r="AL21" i="15"/>
  <c r="AL23" i="15"/>
  <c r="V7" i="15"/>
  <c r="U7" i="15" s="1"/>
  <c r="V15" i="15"/>
  <c r="AL6" i="15"/>
  <c r="AL19" i="15"/>
  <c r="AL10" i="15"/>
  <c r="V19" i="15"/>
  <c r="AL17" i="15"/>
  <c r="AL16" i="15"/>
  <c r="AL12" i="15"/>
  <c r="V4" i="15"/>
  <c r="U4" i="15" s="1"/>
  <c r="V21" i="15"/>
  <c r="V18" i="15"/>
  <c r="V12" i="15"/>
  <c r="AL3" i="15"/>
  <c r="AK3" i="15" s="1"/>
  <c r="AL20" i="15"/>
  <c r="V10" i="15"/>
  <c r="U10" i="15" s="1"/>
  <c r="V17" i="15"/>
  <c r="AL22" i="15"/>
  <c r="AL8" i="15"/>
  <c r="AL7" i="15"/>
  <c r="AL24" i="15"/>
  <c r="V20" i="15"/>
  <c r="AL11" i="15"/>
  <c r="V8" i="15"/>
  <c r="U8" i="15" s="1"/>
  <c r="V22" i="15"/>
  <c r="AL15" i="15"/>
  <c r="V23" i="15"/>
  <c r="CP39" i="15"/>
  <c r="CN39" i="15"/>
  <c r="CW39" i="15"/>
  <c r="CR39" i="15"/>
  <c r="CH30" i="15"/>
  <c r="CO30" i="15"/>
  <c r="CO29" i="15"/>
  <c r="CV30" i="15"/>
  <c r="CV29" i="15"/>
  <c r="CQ39" i="15"/>
  <c r="CM39" i="15"/>
  <c r="CT29" i="15"/>
  <c r="CT30" i="15"/>
  <c r="CL39" i="15"/>
  <c r="CK39" i="15"/>
  <c r="CS30" i="15"/>
  <c r="CS29" i="15"/>
  <c r="Y11" i="13"/>
  <c r="AA11" i="17" s="1"/>
  <c r="L13" i="13"/>
  <c r="M13" i="13" s="1"/>
  <c r="Y7" i="13"/>
  <c r="AA7" i="17" s="1"/>
  <c r="CR31" i="15"/>
  <c r="CR33" i="15" s="1"/>
  <c r="CP31" i="15"/>
  <c r="CP33" i="15" s="1"/>
  <c r="CW34" i="15"/>
  <c r="CQ31" i="15"/>
  <c r="CQ33" i="15" s="1"/>
  <c r="CM31" i="15"/>
  <c r="CM32" i="15" s="1"/>
  <c r="CK34" i="15"/>
  <c r="CN34" i="15"/>
  <c r="CL31" i="15"/>
  <c r="CL32" i="15" s="1"/>
  <c r="CT36" i="15"/>
  <c r="CR34" i="15"/>
  <c r="CP34" i="15"/>
  <c r="CW31" i="15"/>
  <c r="CS36" i="15"/>
  <c r="CQ34" i="15"/>
  <c r="CK31" i="15"/>
  <c r="CM34" i="15"/>
  <c r="CL34" i="15"/>
  <c r="CN31" i="15"/>
  <c r="CH36" i="15"/>
  <c r="CO36" i="15"/>
  <c r="CV36" i="15"/>
  <c r="K18" i="13"/>
  <c r="X18" i="13" s="1"/>
  <c r="Y8" i="13"/>
  <c r="AA8" i="17" s="1"/>
  <c r="B2" i="13"/>
  <c r="L12" i="13"/>
  <c r="M12" i="13" s="1"/>
  <c r="Y12" i="13"/>
  <c r="AA12" i="17" s="1"/>
  <c r="K9" i="13"/>
  <c r="X9" i="13" s="1"/>
  <c r="K19" i="13"/>
  <c r="X19" i="13" s="1"/>
  <c r="K14" i="13"/>
  <c r="X14" i="13" s="1"/>
  <c r="K12" i="13"/>
  <c r="X12" i="13" s="1"/>
  <c r="H36" i="13"/>
  <c r="K15" i="13"/>
  <c r="X15" i="13" s="1"/>
  <c r="K13" i="13"/>
  <c r="X13" i="13" s="1"/>
  <c r="K10" i="13"/>
  <c r="X10" i="13" s="1"/>
  <c r="K17" i="13"/>
  <c r="X17" i="13" s="1"/>
  <c r="K11" i="13"/>
  <c r="X11" i="13" s="1"/>
  <c r="K8" i="13"/>
  <c r="X8" i="13" s="1"/>
  <c r="K7" i="13"/>
  <c r="X7" i="13" s="1"/>
  <c r="H34" i="13"/>
  <c r="I32" i="13"/>
  <c r="I36" i="13"/>
  <c r="I34" i="13"/>
  <c r="H32" i="13"/>
  <c r="B5" i="13" s="1"/>
  <c r="AB44" i="13" s="1"/>
  <c r="N24" i="15"/>
  <c r="M24" i="15" s="1"/>
  <c r="AD24" i="15"/>
  <c r="AD14" i="15"/>
  <c r="AD21" i="15"/>
  <c r="N7" i="15"/>
  <c r="N26" i="15"/>
  <c r="M26" i="15" s="1"/>
  <c r="AD19" i="15"/>
  <c r="AD4" i="15"/>
  <c r="N11" i="15"/>
  <c r="N4" i="15"/>
  <c r="N23" i="15"/>
  <c r="M23" i="15" s="1"/>
  <c r="N19" i="15"/>
  <c r="M19" i="15" s="1"/>
  <c r="AD16" i="15"/>
  <c r="AD26" i="15"/>
  <c r="AD20" i="15"/>
  <c r="N16" i="15"/>
  <c r="M16" i="15" s="1"/>
  <c r="N6" i="15"/>
  <c r="N5" i="15"/>
  <c r="AD8" i="15"/>
  <c r="AD22" i="15"/>
  <c r="AD23" i="15"/>
  <c r="AD11" i="15"/>
  <c r="AD12" i="15"/>
  <c r="AD10" i="15"/>
  <c r="AD7" i="15"/>
  <c r="AD6" i="15"/>
  <c r="AD9" i="15"/>
  <c r="N8" i="15"/>
  <c r="N17" i="15"/>
  <c r="M17" i="15" s="1"/>
  <c r="AD25" i="15"/>
  <c r="AD13" i="15"/>
  <c r="AD5" i="15"/>
  <c r="AD17" i="15"/>
  <c r="AD18" i="15"/>
  <c r="AD15" i="15"/>
  <c r="R9" i="15"/>
  <c r="J25" i="15"/>
  <c r="I25" i="15" s="1"/>
  <c r="R23" i="15"/>
  <c r="J22" i="15"/>
  <c r="I22" i="15" s="1"/>
  <c r="J23" i="15"/>
  <c r="I23" i="15" s="1"/>
  <c r="R12" i="15"/>
  <c r="J20" i="15"/>
  <c r="I20" i="15" s="1"/>
  <c r="J5" i="15"/>
  <c r="R18" i="15"/>
  <c r="R21" i="15"/>
  <c r="J26" i="15"/>
  <c r="I26" i="15" s="1"/>
  <c r="J13" i="15"/>
  <c r="N20" i="15"/>
  <c r="M20" i="15" s="1"/>
  <c r="Z29" i="15"/>
  <c r="R7" i="15"/>
  <c r="J6" i="15"/>
  <c r="R8" i="15"/>
  <c r="J16" i="15"/>
  <c r="I16" i="15" s="1"/>
  <c r="N22" i="15"/>
  <c r="M22" i="15" s="1"/>
  <c r="N9" i="15"/>
  <c r="R14" i="15"/>
  <c r="J15" i="15"/>
  <c r="I15" i="15" s="1"/>
  <c r="N25" i="15"/>
  <c r="M25" i="15" s="1"/>
  <c r="R10" i="15"/>
  <c r="R13" i="15"/>
  <c r="J18" i="15"/>
  <c r="I18" i="15" s="1"/>
  <c r="J9" i="15"/>
  <c r="N12" i="15"/>
  <c r="R4" i="15"/>
  <c r="J12" i="15"/>
  <c r="R22" i="15"/>
  <c r="R5" i="15"/>
  <c r="J7" i="15"/>
  <c r="R19" i="15"/>
  <c r="J4" i="15"/>
  <c r="R20" i="15"/>
  <c r="J10" i="15"/>
  <c r="J17" i="15"/>
  <c r="I17" i="15" s="1"/>
  <c r="R15" i="15"/>
  <c r="R11" i="15"/>
  <c r="J19" i="15"/>
  <c r="I19" i="15" s="1"/>
  <c r="N18" i="15"/>
  <c r="M18" i="15" s="1"/>
  <c r="N21" i="15"/>
  <c r="M21" i="15" s="1"/>
  <c r="R16" i="15"/>
  <c r="J8" i="15"/>
  <c r="R6" i="15"/>
  <c r="R24" i="15"/>
  <c r="J14" i="15"/>
  <c r="I14" i="15" s="1"/>
  <c r="J21" i="15"/>
  <c r="I21" i="15" s="1"/>
  <c r="N15" i="15"/>
  <c r="M15" i="15" s="1"/>
  <c r="R17" i="15"/>
  <c r="J24" i="15"/>
  <c r="I24" i="15" s="1"/>
  <c r="R26" i="15"/>
  <c r="R25" i="15"/>
  <c r="J11" i="15"/>
  <c r="N10" i="15"/>
  <c r="N13" i="15"/>
  <c r="N14" i="15"/>
  <c r="M14" i="15" s="1"/>
  <c r="U3" i="15"/>
  <c r="AX29" i="15"/>
  <c r="BJ29" i="15"/>
  <c r="BB29" i="15"/>
  <c r="AT29" i="15"/>
  <c r="AP29" i="15"/>
  <c r="BF29" i="15"/>
  <c r="AE29" i="15"/>
  <c r="AF3" i="15" s="1"/>
  <c r="BN29" i="15"/>
  <c r="M8" i="13"/>
  <c r="M7" i="13"/>
  <c r="H38" i="13" l="1"/>
  <c r="CS39" i="15"/>
  <c r="CV39" i="15"/>
  <c r="CH39" i="15"/>
  <c r="CO39" i="15"/>
  <c r="CT39" i="15"/>
  <c r="CP32" i="15"/>
  <c r="CR32" i="15"/>
  <c r="CM33" i="15"/>
  <c r="CL33" i="15"/>
  <c r="CV31" i="15"/>
  <c r="CV32" i="15" s="1"/>
  <c r="CQ32" i="15"/>
  <c r="CS31" i="15"/>
  <c r="CS32" i="15" s="1"/>
  <c r="CH31" i="15"/>
  <c r="CH32" i="15" s="1"/>
  <c r="CO31" i="15"/>
  <c r="CO32" i="15" s="1"/>
  <c r="CT31" i="15"/>
  <c r="CT32" i="15" s="1"/>
  <c r="CO34" i="15"/>
  <c r="CS34" i="15"/>
  <c r="CK33" i="15"/>
  <c r="CK32" i="15"/>
  <c r="CT34" i="15"/>
  <c r="CV34" i="15"/>
  <c r="CH34" i="15"/>
  <c r="CN32" i="15"/>
  <c r="CN33" i="15"/>
  <c r="CW32" i="15"/>
  <c r="CW33" i="15"/>
  <c r="Y2" i="13"/>
  <c r="W2" i="13" s="1"/>
  <c r="Y1" i="13"/>
  <c r="W1" i="13" s="1"/>
  <c r="Y3" i="13"/>
  <c r="W3" i="13" s="1"/>
  <c r="Y4" i="13"/>
  <c r="W4" i="13" s="1"/>
  <c r="L2" i="13"/>
  <c r="O22" i="13" s="1"/>
  <c r="P22" i="13" s="1"/>
  <c r="D4" i="13"/>
  <c r="W32" i="13" s="1"/>
  <c r="B3" i="13"/>
  <c r="AF44" i="13" s="1"/>
  <c r="D32" i="13"/>
  <c r="U32" i="13" s="1"/>
  <c r="H37" i="13"/>
  <c r="K34" i="13"/>
  <c r="K3" i="13"/>
  <c r="K32" i="13"/>
  <c r="K36" i="13"/>
  <c r="K2" i="13"/>
  <c r="I37" i="13"/>
  <c r="I38" i="13"/>
  <c r="J2" i="13"/>
  <c r="AF7" i="15"/>
  <c r="AF11" i="15"/>
  <c r="AF15" i="15"/>
  <c r="AF19" i="15"/>
  <c r="AF23" i="15"/>
  <c r="AF5" i="15"/>
  <c r="AF9" i="15"/>
  <c r="AF13" i="15"/>
  <c r="AF17" i="15"/>
  <c r="AF21" i="15"/>
  <c r="AF25" i="15"/>
  <c r="AF4" i="15"/>
  <c r="AF12" i="15"/>
  <c r="AF20" i="15"/>
  <c r="AF8" i="15"/>
  <c r="AF16" i="15"/>
  <c r="AF24" i="15"/>
  <c r="AF10" i="15"/>
  <c r="AF26" i="15"/>
  <c r="AF18" i="15"/>
  <c r="AF22" i="15"/>
  <c r="AF14" i="15"/>
  <c r="AF6" i="15"/>
  <c r="AD29" i="15"/>
  <c r="V29" i="15"/>
  <c r="AL29" i="15"/>
  <c r="R29" i="15"/>
  <c r="AB21" i="17"/>
  <c r="M2" i="13"/>
  <c r="N7" i="13" s="1"/>
  <c r="K21" i="17" l="1"/>
  <c r="CJ22" i="15"/>
  <c r="CJ26" i="15"/>
  <c r="CJ14" i="15"/>
  <c r="CJ10" i="15"/>
  <c r="CJ20" i="15"/>
  <c r="CJ21" i="15"/>
  <c r="CJ5" i="15"/>
  <c r="CJ11" i="15"/>
  <c r="CJ12" i="15"/>
  <c r="CJ23" i="15"/>
  <c r="CJ7" i="15"/>
  <c r="CJ18" i="15"/>
  <c r="CJ16" i="15"/>
  <c r="CJ4" i="15"/>
  <c r="CJ13" i="15"/>
  <c r="CJ19" i="15"/>
  <c r="CJ24" i="15"/>
  <c r="CJ17" i="15"/>
  <c r="CJ6" i="15"/>
  <c r="CJ8" i="15"/>
  <c r="CJ25" i="15"/>
  <c r="CJ9" i="15"/>
  <c r="CJ15" i="15"/>
  <c r="CJ3" i="15"/>
  <c r="CV33" i="15"/>
  <c r="O12" i="13"/>
  <c r="P12" i="13" s="1"/>
  <c r="O25" i="13"/>
  <c r="P25" i="13" s="1"/>
  <c r="O10" i="13"/>
  <c r="P10" i="13" s="1"/>
  <c r="CS33" i="15"/>
  <c r="O7" i="13"/>
  <c r="P7" i="13" s="1"/>
  <c r="O14" i="13"/>
  <c r="P14" i="13" s="1"/>
  <c r="O28" i="13"/>
  <c r="P28" i="13" s="1"/>
  <c r="O9" i="13"/>
  <c r="P9" i="13" s="1"/>
  <c r="CH33" i="15"/>
  <c r="O20" i="13"/>
  <c r="P20" i="13" s="1"/>
  <c r="O24" i="13"/>
  <c r="P24" i="13" s="1"/>
  <c r="O11" i="13"/>
  <c r="P11" i="13" s="1"/>
  <c r="O17" i="13"/>
  <c r="P17" i="13" s="1"/>
  <c r="O30" i="13"/>
  <c r="P30" i="13" s="1"/>
  <c r="O13" i="13"/>
  <c r="P13" i="13" s="1"/>
  <c r="CT33" i="15"/>
  <c r="CO33" i="15"/>
  <c r="K38" i="13"/>
  <c r="O16" i="13"/>
  <c r="P16" i="13" s="1"/>
  <c r="O29" i="13"/>
  <c r="P29" i="13" s="1"/>
  <c r="O21" i="13"/>
  <c r="P21" i="13" s="1"/>
  <c r="O26" i="13"/>
  <c r="P26" i="13" s="1"/>
  <c r="O19" i="13"/>
  <c r="P19" i="13" s="1"/>
  <c r="O8" i="13"/>
  <c r="P8" i="13" s="1"/>
  <c r="D3" i="13"/>
  <c r="U35" i="13" s="1"/>
  <c r="O15" i="13"/>
  <c r="P15" i="13" s="1"/>
  <c r="O27" i="13"/>
  <c r="P27" i="13" s="1"/>
  <c r="O23" i="13"/>
  <c r="P23" i="13" s="1"/>
  <c r="O18" i="13"/>
  <c r="P18" i="13" s="1"/>
  <c r="W36" i="13"/>
  <c r="W44" i="13"/>
  <c r="W35" i="13"/>
  <c r="W33" i="13"/>
  <c r="W34" i="13" s="1"/>
  <c r="K1" i="13"/>
  <c r="K37" i="13"/>
  <c r="X2" i="13"/>
  <c r="X1" i="13"/>
  <c r="X4" i="13"/>
  <c r="Y44" i="13" s="1"/>
  <c r="X3" i="13"/>
  <c r="AB19" i="17"/>
  <c r="AB7" i="17"/>
  <c r="AB13" i="17"/>
  <c r="AB16" i="17"/>
  <c r="AB20" i="17"/>
  <c r="AF30" i="15"/>
  <c r="BR31" i="15" s="1"/>
  <c r="AB14" i="17"/>
  <c r="AB11" i="17"/>
  <c r="AB18" i="17"/>
  <c r="AF29" i="15"/>
  <c r="AB17" i="17"/>
  <c r="AB15" i="17"/>
  <c r="AB9" i="17"/>
  <c r="AB8" i="17"/>
  <c r="AB10" i="17"/>
  <c r="AB12" i="17"/>
  <c r="AF31" i="15"/>
  <c r="AH3" i="15" s="1"/>
  <c r="Q7" i="13"/>
  <c r="N8" i="13"/>
  <c r="Q8" i="13" s="1"/>
  <c r="N20" i="13"/>
  <c r="Q20" i="13" s="1"/>
  <c r="N23" i="13"/>
  <c r="Q23" i="13" s="1"/>
  <c r="N30" i="13"/>
  <c r="Q30" i="13" s="1"/>
  <c r="N22" i="13"/>
  <c r="Q22" i="13" s="1"/>
  <c r="N21" i="13"/>
  <c r="Q21" i="13" s="1"/>
  <c r="N28" i="13"/>
  <c r="Q28" i="13" s="1"/>
  <c r="N26" i="13"/>
  <c r="Q26" i="13" s="1"/>
  <c r="N25" i="13"/>
  <c r="Q25" i="13" s="1"/>
  <c r="N24" i="13"/>
  <c r="Q24" i="13" s="1"/>
  <c r="N19" i="13"/>
  <c r="Q19" i="13" s="1"/>
  <c r="N29" i="13"/>
  <c r="Q29" i="13" s="1"/>
  <c r="N27" i="13"/>
  <c r="Q27" i="13" s="1"/>
  <c r="N17" i="13"/>
  <c r="Q17" i="13" s="1"/>
  <c r="N16" i="13"/>
  <c r="Q16" i="13" s="1"/>
  <c r="N13" i="13"/>
  <c r="Q13" i="13" s="1"/>
  <c r="N14" i="13"/>
  <c r="Q14" i="13" s="1"/>
  <c r="N12" i="13"/>
  <c r="Q12" i="13" s="1"/>
  <c r="N18" i="13"/>
  <c r="Q18" i="13" s="1"/>
  <c r="N9" i="13"/>
  <c r="Q9" i="13" s="1"/>
  <c r="N10" i="13"/>
  <c r="Q10" i="13" s="1"/>
  <c r="N15" i="13"/>
  <c r="Q15" i="13" s="1"/>
  <c r="N11" i="13"/>
  <c r="Q11" i="13" s="1"/>
  <c r="K11" i="17" l="1"/>
  <c r="K12" i="17"/>
  <c r="K8" i="17"/>
  <c r="K9" i="17"/>
  <c r="K20" i="17"/>
  <c r="K10" i="17"/>
  <c r="K15" i="17"/>
  <c r="K16" i="17"/>
  <c r="K17" i="17"/>
  <c r="K14" i="17"/>
  <c r="K13" i="17"/>
  <c r="K18" i="17"/>
  <c r="K19" i="17"/>
  <c r="K7" i="17"/>
  <c r="BV7" i="17" s="1"/>
  <c r="AF5" i="17"/>
  <c r="AE5" i="17"/>
  <c r="AJ5" i="17"/>
  <c r="AD5" i="17"/>
  <c r="AC5" i="17"/>
  <c r="AB5" i="17"/>
  <c r="AB1" i="17"/>
  <c r="CJ30" i="15"/>
  <c r="CJ29" i="15"/>
  <c r="AC44" i="13"/>
  <c r="D1" i="13"/>
  <c r="U33" i="13"/>
  <c r="U34" i="13" s="1"/>
  <c r="B1" i="13"/>
  <c r="A5" i="13"/>
  <c r="CJ36" i="15"/>
  <c r="U36" i="13"/>
  <c r="U3" i="13"/>
  <c r="U2" i="13"/>
  <c r="U1" i="13"/>
  <c r="AB4" i="17"/>
  <c r="AB3" i="17"/>
  <c r="AB2" i="17"/>
  <c r="AH16" i="15"/>
  <c r="AH17" i="15"/>
  <c r="AH11" i="15"/>
  <c r="AH10" i="15"/>
  <c r="AH25" i="15"/>
  <c r="AH19" i="15"/>
  <c r="AH18" i="15"/>
  <c r="AH12" i="15"/>
  <c r="AH5" i="15"/>
  <c r="AH14" i="15"/>
  <c r="AH8" i="15"/>
  <c r="AH13" i="15"/>
  <c r="AH7" i="15"/>
  <c r="AH24" i="15"/>
  <c r="AH21" i="15"/>
  <c r="AH15" i="15"/>
  <c r="AH26" i="15"/>
  <c r="AH4" i="15"/>
  <c r="AH23" i="15"/>
  <c r="AH22" i="15"/>
  <c r="AH20" i="15"/>
  <c r="AH9" i="15"/>
  <c r="AH6" i="15"/>
  <c r="T10" i="13"/>
  <c r="U10" i="13" s="1"/>
  <c r="R10" i="13"/>
  <c r="T14" i="13"/>
  <c r="U14" i="13" s="1"/>
  <c r="R14" i="13"/>
  <c r="T27" i="13"/>
  <c r="U27" i="13" s="1"/>
  <c r="R27" i="13"/>
  <c r="R25" i="13"/>
  <c r="T25" i="13"/>
  <c r="U25" i="13" s="1"/>
  <c r="T22" i="13"/>
  <c r="U22" i="13" s="1"/>
  <c r="R22" i="13"/>
  <c r="T8" i="13"/>
  <c r="U8" i="13" s="1"/>
  <c r="R8" i="13"/>
  <c r="R9" i="13"/>
  <c r="T9" i="13"/>
  <c r="U9" i="13" s="1"/>
  <c r="R13" i="13"/>
  <c r="T13" i="13"/>
  <c r="U13" i="13" s="1"/>
  <c r="R29" i="13"/>
  <c r="T29" i="13"/>
  <c r="U29" i="13" s="1"/>
  <c r="R26" i="13"/>
  <c r="T26" i="13"/>
  <c r="U26" i="13" s="1"/>
  <c r="T30" i="13"/>
  <c r="U30" i="13" s="1"/>
  <c r="R30" i="13"/>
  <c r="R11" i="13"/>
  <c r="T11" i="13"/>
  <c r="U11" i="13" s="1"/>
  <c r="T18" i="13"/>
  <c r="U18" i="13" s="1"/>
  <c r="R18" i="13"/>
  <c r="R16" i="13"/>
  <c r="T16" i="13"/>
  <c r="U16" i="13" s="1"/>
  <c r="T19" i="13"/>
  <c r="U19" i="13" s="1"/>
  <c r="R19" i="13"/>
  <c r="R28" i="13"/>
  <c r="T28" i="13"/>
  <c r="U28" i="13" s="1"/>
  <c r="T23" i="13"/>
  <c r="U23" i="13" s="1"/>
  <c r="R23" i="13"/>
  <c r="R7" i="13"/>
  <c r="T7" i="13"/>
  <c r="T15" i="13"/>
  <c r="U15" i="13" s="1"/>
  <c r="R15" i="13"/>
  <c r="R12" i="13"/>
  <c r="T12" i="13"/>
  <c r="U12" i="13" s="1"/>
  <c r="Q2" i="13"/>
  <c r="R17" i="13"/>
  <c r="T17" i="13"/>
  <c r="U17" i="13" s="1"/>
  <c r="T24" i="13"/>
  <c r="U24" i="13" s="1"/>
  <c r="R24" i="13"/>
  <c r="R21" i="13"/>
  <c r="T21" i="13"/>
  <c r="U21" i="13" s="1"/>
  <c r="R20" i="13"/>
  <c r="T20" i="13"/>
  <c r="U20" i="13" s="1"/>
  <c r="N2" i="13"/>
  <c r="BJ36" i="17" l="1"/>
  <c r="BJ38" i="17" s="1"/>
  <c r="K36" i="17"/>
  <c r="BH35" i="17"/>
  <c r="BV9" i="17"/>
  <c r="BV13" i="17"/>
  <c r="BV8" i="17"/>
  <c r="BV14" i="17"/>
  <c r="BV12" i="17"/>
  <c r="BV15" i="17"/>
  <c r="BV11" i="17"/>
  <c r="BH34" i="17"/>
  <c r="BF8" i="17"/>
  <c r="AS14" i="17"/>
  <c r="AS13" i="17"/>
  <c r="AS11" i="17"/>
  <c r="AS15" i="17"/>
  <c r="AS7" i="17"/>
  <c r="AS12" i="17"/>
  <c r="AS23" i="17"/>
  <c r="AT23" i="17" s="1"/>
  <c r="AS26" i="17"/>
  <c r="AT26" i="17" s="1"/>
  <c r="AS24" i="17"/>
  <c r="AT24" i="17" s="1"/>
  <c r="AS28" i="17"/>
  <c r="AT28" i="17" s="1"/>
  <c r="AS27" i="17"/>
  <c r="AT27" i="17" s="1"/>
  <c r="AS30" i="17"/>
  <c r="AT30" i="17" s="1"/>
  <c r="AS25" i="17"/>
  <c r="AT25" i="17" s="1"/>
  <c r="AS29" i="17"/>
  <c r="AT29" i="17" s="1"/>
  <c r="AS22" i="17"/>
  <c r="AT22" i="17" s="1"/>
  <c r="AS21" i="17"/>
  <c r="AT21" i="17" s="1"/>
  <c r="AS17" i="17"/>
  <c r="AT17" i="17" s="1"/>
  <c r="AS16" i="17"/>
  <c r="AT16" i="17" s="1"/>
  <c r="AS8" i="17"/>
  <c r="AS20" i="17"/>
  <c r="AT20" i="17" s="1"/>
  <c r="AS19" i="17"/>
  <c r="AT19" i="17" s="1"/>
  <c r="AS9" i="17"/>
  <c r="AS18" i="17"/>
  <c r="AT18" i="17" s="1"/>
  <c r="AS10" i="17"/>
  <c r="AT10" i="17" s="1"/>
  <c r="BB4" i="17"/>
  <c r="BE4" i="17" s="1" a="1"/>
  <c r="BE4" i="17" s="1"/>
  <c r="AZ6" i="17"/>
  <c r="AI5" i="17"/>
  <c r="AK5" i="17"/>
  <c r="AJ2" i="17"/>
  <c r="AJ1" i="17"/>
  <c r="AU44" i="17"/>
  <c r="AH5" i="17"/>
  <c r="AH2" i="17" s="1"/>
  <c r="AG5" i="17"/>
  <c r="CJ39" i="15"/>
  <c r="H1" i="13"/>
  <c r="D2" i="13"/>
  <c r="H2" i="13" s="1"/>
  <c r="H4" i="13"/>
  <c r="X44" i="13" s="1"/>
  <c r="CJ31" i="15"/>
  <c r="CJ32" i="15" s="1"/>
  <c r="CJ34" i="15"/>
  <c r="X21" i="16"/>
  <c r="X20" i="16"/>
  <c r="X16" i="16"/>
  <c r="AH29" i="15"/>
  <c r="T4" i="13"/>
  <c r="C5" i="13" s="1"/>
  <c r="AD44" i="13" s="1"/>
  <c r="U7" i="13"/>
  <c r="T6" i="13"/>
  <c r="W24" i="13" s="1"/>
  <c r="R2" i="13"/>
  <c r="BJ37" i="17" l="1"/>
  <c r="BV35" i="17"/>
  <c r="BV33" i="17"/>
  <c r="BV32" i="17"/>
  <c r="BV34" i="17"/>
  <c r="BY12" i="17" s="1"/>
  <c r="BD4" i="17"/>
  <c r="BM47" i="17"/>
  <c r="AT32" i="17"/>
  <c r="AP44" i="17" s="1"/>
  <c r="AT33" i="17"/>
  <c r="AM44" i="17" s="1"/>
  <c r="AQ1" i="17"/>
  <c r="AP1" i="17"/>
  <c r="AT13" i="17"/>
  <c r="AT12" i="17"/>
  <c r="AT11" i="17"/>
  <c r="AT15" i="17"/>
  <c r="AT14" i="17"/>
  <c r="AT9" i="17"/>
  <c r="AT8" i="17"/>
  <c r="AT7" i="17"/>
  <c r="AK2" i="17"/>
  <c r="AK1" i="17"/>
  <c r="AH1" i="17"/>
  <c r="AI2" i="17"/>
  <c r="AI1" i="17"/>
  <c r="AG2" i="17"/>
  <c r="AG1" i="17"/>
  <c r="AV44" i="17"/>
  <c r="AR44" i="17"/>
  <c r="AS44" i="17"/>
  <c r="AR33" i="17"/>
  <c r="AT44" i="17"/>
  <c r="I4" i="13"/>
  <c r="CJ33" i="15"/>
  <c r="W11" i="13"/>
  <c r="W22" i="13"/>
  <c r="V28" i="13"/>
  <c r="W12" i="13"/>
  <c r="V13" i="13"/>
  <c r="W29" i="13"/>
  <c r="W19" i="13"/>
  <c r="W8" i="13"/>
  <c r="V23" i="13"/>
  <c r="V15" i="13"/>
  <c r="W10" i="13"/>
  <c r="V14" i="13"/>
  <c r="W26" i="13"/>
  <c r="V20" i="13"/>
  <c r="W17" i="13"/>
  <c r="V27" i="13"/>
  <c r="V29" i="13"/>
  <c r="V21" i="13"/>
  <c r="W27" i="13"/>
  <c r="V9" i="13"/>
  <c r="W16" i="13"/>
  <c r="W14" i="13"/>
  <c r="V26" i="13"/>
  <c r="V17" i="13"/>
  <c r="V18" i="13"/>
  <c r="W25" i="13"/>
  <c r="W30" i="13"/>
  <c r="V16" i="13"/>
  <c r="W21" i="13"/>
  <c r="W20" i="13"/>
  <c r="V10" i="13"/>
  <c r="V22" i="13"/>
  <c r="W9" i="13"/>
  <c r="V11" i="13"/>
  <c r="W28" i="13"/>
  <c r="V19" i="13"/>
  <c r="V12" i="13"/>
  <c r="V8" i="13"/>
  <c r="W13" i="13"/>
  <c r="W15" i="13"/>
  <c r="W23" i="13"/>
  <c r="V25" i="13"/>
  <c r="V30" i="13"/>
  <c r="W18" i="13"/>
  <c r="V24" i="13"/>
  <c r="U4" i="13"/>
  <c r="W7" i="13"/>
  <c r="V7" i="13"/>
  <c r="U5" i="13"/>
  <c r="T5" i="13" s="1"/>
  <c r="O3" i="13" s="1"/>
  <c r="O2" i="13" s="1"/>
  <c r="BY13" i="17" l="1"/>
  <c r="BY7" i="17"/>
  <c r="BX13" i="17"/>
  <c r="BX15" i="17"/>
  <c r="BX7" i="17"/>
  <c r="BX9" i="17"/>
  <c r="BX12" i="17"/>
  <c r="BX14" i="17"/>
  <c r="BX27" i="17"/>
  <c r="BX19" i="17"/>
  <c r="BX18" i="17"/>
  <c r="BX25" i="17"/>
  <c r="BX20" i="17"/>
  <c r="BX17" i="17"/>
  <c r="BX29" i="17"/>
  <c r="BX28" i="17"/>
  <c r="BX10" i="17"/>
  <c r="BX26" i="17"/>
  <c r="BX21" i="17"/>
  <c r="BX22" i="17"/>
  <c r="BX24" i="17"/>
  <c r="BX30" i="17"/>
  <c r="BX23" i="17"/>
  <c r="BX16" i="17"/>
  <c r="BX8" i="17"/>
  <c r="BX11" i="17"/>
  <c r="BK47" i="17"/>
  <c r="BF4" i="17" s="1"/>
  <c r="BA4" i="17" s="1" a="1"/>
  <c r="BA4" i="17" s="1"/>
  <c r="AT37" i="17"/>
  <c r="AT36" i="17"/>
  <c r="AT34" i="17"/>
  <c r="AT35" i="17"/>
  <c r="AT38" i="17"/>
  <c r="AL1" i="17"/>
  <c r="V5" i="13"/>
  <c r="R3" i="13" s="1"/>
  <c r="P3" i="13" s="1"/>
  <c r="W5" i="13"/>
  <c r="L5" i="13" s="1"/>
  <c r="BN48" i="17" l="1"/>
  <c r="BN47" i="17"/>
  <c r="BN49" i="17"/>
  <c r="AT39" i="17"/>
  <c r="AG24" i="15"/>
  <c r="AG15" i="15"/>
  <c r="Q24" i="15"/>
  <c r="Q21" i="15"/>
  <c r="Q26" i="15"/>
  <c r="L6" i="13"/>
  <c r="AE44" i="13" s="1"/>
  <c r="A6" i="13" l="1"/>
  <c r="Z44" i="13" s="1"/>
  <c r="BM13" i="15"/>
  <c r="BM10" i="15"/>
  <c r="BM11" i="15"/>
  <c r="BE13" i="15"/>
  <c r="BE11" i="15"/>
  <c r="BE12" i="15"/>
  <c r="BA13" i="15"/>
  <c r="BA11" i="15"/>
  <c r="BA12" i="15"/>
  <c r="AG13" i="15"/>
  <c r="AG14" i="15"/>
  <c r="AO12" i="15"/>
  <c r="AO7" i="15"/>
  <c r="AO13" i="15"/>
  <c r="AO15" i="15"/>
  <c r="AO14" i="15"/>
  <c r="AO11" i="15"/>
  <c r="AO16" i="15"/>
  <c r="AO23" i="15"/>
  <c r="AO17" i="15"/>
  <c r="AO18" i="15"/>
  <c r="AO19" i="15"/>
  <c r="AO24" i="15"/>
  <c r="AO26" i="15"/>
  <c r="AO20" i="15"/>
  <c r="AO5" i="15"/>
  <c r="AO21" i="15"/>
  <c r="AO22" i="15"/>
  <c r="AO25" i="15"/>
  <c r="Q22" i="15"/>
  <c r="Q17" i="15"/>
  <c r="Q20" i="15"/>
  <c r="AG26" i="15"/>
  <c r="AG25" i="15"/>
  <c r="AG20" i="15"/>
  <c r="Q19" i="15"/>
  <c r="Q18" i="15"/>
  <c r="Q23" i="15"/>
  <c r="Q13" i="15"/>
  <c r="Q15" i="15"/>
  <c r="Q16" i="15"/>
  <c r="AG22" i="15"/>
  <c r="AG21" i="15"/>
  <c r="AG16" i="15"/>
  <c r="Q11" i="15"/>
  <c r="Q14" i="15"/>
  <c r="Q25" i="15"/>
  <c r="AG11" i="15"/>
  <c r="AG18" i="15"/>
  <c r="AG23" i="15"/>
  <c r="AG17" i="15"/>
  <c r="AG19" i="15"/>
  <c r="AC8" i="15"/>
  <c r="AC5" i="15"/>
  <c r="AC10" i="15"/>
  <c r="AC20" i="15"/>
  <c r="AC25" i="15"/>
  <c r="AC4" i="15"/>
  <c r="AC26" i="15"/>
  <c r="AW25" i="15"/>
  <c r="AW26" i="15"/>
  <c r="AS20" i="15"/>
  <c r="AS22" i="15"/>
  <c r="AS21" i="15"/>
  <c r="AK5" i="15"/>
  <c r="AK10" i="15"/>
  <c r="AK8" i="15"/>
  <c r="AK9" i="15"/>
  <c r="AK6" i="15"/>
  <c r="AK4" i="15"/>
  <c r="AK7" i="15"/>
  <c r="AW20" i="15"/>
  <c r="AC3" i="15"/>
  <c r="AC22" i="15"/>
  <c r="AC6" i="15"/>
  <c r="AC17" i="15"/>
  <c r="AC19" i="15"/>
  <c r="AC16" i="15"/>
  <c r="AS19" i="15"/>
  <c r="AS18" i="15"/>
  <c r="AS23" i="15"/>
  <c r="AS17" i="15"/>
  <c r="AS3" i="15"/>
  <c r="AS16" i="15"/>
  <c r="AW22" i="15"/>
  <c r="AW21" i="15"/>
  <c r="AW16" i="15"/>
  <c r="AC15" i="15"/>
  <c r="AC18" i="15"/>
  <c r="AC23" i="15"/>
  <c r="AC13" i="15"/>
  <c r="AC21" i="15"/>
  <c r="AC12" i="15"/>
  <c r="AS14" i="15"/>
  <c r="AS15" i="15"/>
  <c r="AS13" i="15"/>
  <c r="AS11" i="15"/>
  <c r="AS12" i="15"/>
  <c r="AW15" i="15"/>
  <c r="AW18" i="15"/>
  <c r="AW23" i="15"/>
  <c r="AW17" i="15"/>
  <c r="AW19" i="15"/>
  <c r="AW12" i="15"/>
  <c r="AC11" i="15"/>
  <c r="AC14" i="15"/>
  <c r="AC24" i="15"/>
  <c r="AS26" i="15"/>
  <c r="AS10" i="15"/>
  <c r="AS25" i="15"/>
  <c r="AS24" i="15"/>
  <c r="AW14" i="15"/>
  <c r="AW11" i="15"/>
  <c r="AW13" i="15"/>
  <c r="AW24" i="15"/>
  <c r="Z21" i="17"/>
  <c r="Z20" i="17"/>
  <c r="Z16" i="17"/>
  <c r="Q12" i="15" l="1"/>
  <c r="J2" i="17" l="1"/>
  <c r="Y37" i="17" l="1"/>
  <c r="Z38" i="17"/>
  <c r="AE44" i="16" l="1"/>
  <c r="N29" i="15" l="1"/>
  <c r="J29" i="15"/>
  <c r="I11" i="15" l="1"/>
  <c r="I13" i="15"/>
  <c r="I12" i="15"/>
  <c r="M13" i="15"/>
  <c r="M12" i="15"/>
  <c r="M11" i="15"/>
  <c r="H3" i="16" l="1"/>
  <c r="BU52" i="15" l="1"/>
  <c r="I3" i="16"/>
  <c r="CE40" i="15" l="1" a="1"/>
  <c r="CE40" i="15" s="1"/>
  <c r="CC40" i="15" s="1"/>
  <c r="X18" i="16" l="1"/>
  <c r="X19" i="16"/>
  <c r="X17" i="16"/>
  <c r="X10" i="16"/>
  <c r="Z18" i="17" l="1"/>
  <c r="Z10" i="17"/>
  <c r="Z19" i="17"/>
  <c r="Z17" i="17"/>
  <c r="CD32" i="15" l="1"/>
  <c r="CE41" i="15"/>
  <c r="W41" i="17" l="1"/>
  <c r="W39" i="17" l="1"/>
  <c r="W40" i="17"/>
  <c r="W38" i="17"/>
  <c r="W37" i="17" l="1"/>
  <c r="V41" i="17" l="1"/>
  <c r="V40" i="17"/>
  <c r="V38" i="17"/>
  <c r="V39" i="17" l="1"/>
  <c r="X37" i="17" l="1"/>
  <c r="L24" i="16" l="1"/>
  <c r="M24" i="16" s="1"/>
  <c r="L26" i="16"/>
  <c r="M26" i="16" s="1"/>
  <c r="L27" i="16"/>
  <c r="M27" i="16" s="1"/>
  <c r="L29" i="16"/>
  <c r="M29" i="16" s="1"/>
  <c r="L22" i="16"/>
  <c r="M22" i="16" s="1"/>
  <c r="L23" i="16"/>
  <c r="M23" i="16" s="1"/>
  <c r="L30" i="16"/>
  <c r="M30" i="16" s="1"/>
  <c r="L25" i="16"/>
  <c r="M25" i="16" s="1"/>
  <c r="L28" i="16"/>
  <c r="M28" i="16" s="1"/>
  <c r="L20" i="16"/>
  <c r="M20" i="16" s="1"/>
  <c r="L21" i="16"/>
  <c r="M21" i="16" s="1"/>
  <c r="L16" i="16"/>
  <c r="M16" i="16" s="1"/>
  <c r="L19" i="16"/>
  <c r="M19" i="16" s="1"/>
  <c r="L17" i="16"/>
  <c r="M17" i="16" s="1"/>
  <c r="L10" i="16"/>
  <c r="M10" i="16" s="1"/>
  <c r="L18" i="16"/>
  <c r="M18" i="16" s="1"/>
  <c r="AD44" i="16" l="1"/>
  <c r="K4" i="16"/>
  <c r="CH33" i="21" l="1"/>
  <c r="CH37" i="21"/>
  <c r="CH35" i="21"/>
  <c r="CH36" i="21"/>
  <c r="CW12" i="21"/>
  <c r="CH34" i="21"/>
  <c r="CH38" i="21"/>
  <c r="CH25" i="21"/>
  <c r="CH24" i="21"/>
  <c r="CH26" i="21"/>
  <c r="CH21" i="21"/>
  <c r="CH23" i="21"/>
  <c r="CH20" i="21"/>
  <c r="CT20" i="21" s="1"/>
  <c r="CH22" i="21"/>
  <c r="CZ23" i="21" l="1"/>
  <c r="DJ23" i="21" s="1"/>
  <c r="CY23" i="21"/>
  <c r="DI23" i="21" s="1"/>
  <c r="CT23" i="21"/>
  <c r="DA23" i="21"/>
  <c r="DK23" i="21" s="1"/>
  <c r="CX23" i="21"/>
  <c r="DH23" i="21" s="1"/>
  <c r="DA25" i="21"/>
  <c r="DK25" i="21" s="1"/>
  <c r="CY25" i="21"/>
  <c r="DI25" i="21" s="1"/>
  <c r="CX25" i="21"/>
  <c r="DH25" i="21" s="1"/>
  <c r="CS25" i="21"/>
  <c r="CZ25" i="21"/>
  <c r="DJ25" i="21" s="1"/>
  <c r="CY36" i="21"/>
  <c r="DI36" i="21" s="1"/>
  <c r="CX36" i="21"/>
  <c r="DH36" i="21" s="1"/>
  <c r="DA36" i="21"/>
  <c r="DK36" i="21" s="1"/>
  <c r="CZ36" i="21"/>
  <c r="DJ36" i="21" s="1"/>
  <c r="DA21" i="21"/>
  <c r="DK21" i="21" s="1"/>
  <c r="CR21" i="21"/>
  <c r="CZ21" i="21"/>
  <c r="DJ21" i="21" s="1"/>
  <c r="CX21" i="21"/>
  <c r="DH21" i="21" s="1"/>
  <c r="CY21" i="21"/>
  <c r="DI21" i="21" s="1"/>
  <c r="CZ38" i="21"/>
  <c r="DJ38" i="21" s="1"/>
  <c r="CY38" i="21"/>
  <c r="DI38" i="21" s="1"/>
  <c r="CX38" i="21"/>
  <c r="DH38" i="21" s="1"/>
  <c r="DA38" i="21"/>
  <c r="DK38" i="21" s="1"/>
  <c r="CY35" i="21"/>
  <c r="DI35" i="21" s="1"/>
  <c r="CX35" i="21"/>
  <c r="DH35" i="21" s="1"/>
  <c r="DA35" i="21"/>
  <c r="DK35" i="21" s="1"/>
  <c r="CZ35" i="21"/>
  <c r="DJ35" i="21" s="1"/>
  <c r="CX22" i="21"/>
  <c r="DH22" i="21" s="1"/>
  <c r="DA22" i="21"/>
  <c r="DK22" i="21" s="1"/>
  <c r="CR22" i="21"/>
  <c r="CZ22" i="21"/>
  <c r="DJ22" i="21" s="1"/>
  <c r="CY22" i="21"/>
  <c r="DI22" i="21" s="1"/>
  <c r="DA37" i="21"/>
  <c r="DK37" i="21" s="1"/>
  <c r="CZ37" i="21"/>
  <c r="DJ37" i="21" s="1"/>
  <c r="CY37" i="21"/>
  <c r="DI37" i="21" s="1"/>
  <c r="CX37" i="21"/>
  <c r="DH37" i="21" s="1"/>
  <c r="CX26" i="21"/>
  <c r="DH26" i="21" s="1"/>
  <c r="DA26" i="21"/>
  <c r="DK26" i="21" s="1"/>
  <c r="CZ26" i="21"/>
  <c r="DJ26" i="21" s="1"/>
  <c r="CT26" i="21"/>
  <c r="CY26" i="21"/>
  <c r="DI26" i="21" s="1"/>
  <c r="CY34" i="21"/>
  <c r="DI34" i="21" s="1"/>
  <c r="CX34" i="21"/>
  <c r="DH34" i="21" s="1"/>
  <c r="DA34" i="21"/>
  <c r="DK34" i="21" s="1"/>
  <c r="CZ34" i="21"/>
  <c r="DJ34" i="21" s="1"/>
  <c r="CY20" i="21"/>
  <c r="DI20" i="21" s="1"/>
  <c r="CX20" i="21"/>
  <c r="DH20" i="21" s="1"/>
  <c r="CZ20" i="21"/>
  <c r="DJ20" i="21" s="1"/>
  <c r="CR20" i="21"/>
  <c r="DA20" i="21"/>
  <c r="DK20" i="21" s="1"/>
  <c r="DA24" i="21"/>
  <c r="DK24" i="21" s="1"/>
  <c r="CZ24" i="21"/>
  <c r="DJ24" i="21" s="1"/>
  <c r="CY24" i="21"/>
  <c r="DI24" i="21" s="1"/>
  <c r="CT24" i="21"/>
  <c r="CX24" i="21"/>
  <c r="DH24" i="21" s="1"/>
  <c r="DA33" i="21"/>
  <c r="DK33" i="21" s="1"/>
  <c r="CZ33" i="21"/>
  <c r="DJ33" i="21" s="1"/>
  <c r="CY33" i="21"/>
  <c r="DI33" i="21" s="1"/>
  <c r="CX33" i="21"/>
  <c r="DH33" i="21" s="1"/>
  <c r="CZ8" i="15"/>
  <c r="CZ4" i="15"/>
  <c r="CZ5" i="15"/>
  <c r="CZ9" i="15"/>
  <c r="CZ6" i="15"/>
  <c r="CZ3" i="15"/>
  <c r="CZ7" i="15"/>
  <c r="L4" i="16"/>
  <c r="CU15" i="21"/>
  <c r="CU14" i="21" s="1"/>
  <c r="Y12" i="17" l="1"/>
  <c r="Y9" i="17"/>
  <c r="Y11" i="17"/>
  <c r="Y13" i="17"/>
  <c r="Y8" i="17"/>
  <c r="Y14" i="17"/>
  <c r="Y7" i="17"/>
  <c r="CS15" i="21"/>
  <c r="CS14" i="21" s="1"/>
  <c r="CT46" i="21"/>
  <c r="CR46" i="21"/>
  <c r="CR15" i="21"/>
  <c r="CR14" i="21" s="1"/>
  <c r="CT15" i="21"/>
  <c r="CT14" i="21" s="1"/>
  <c r="CW11" i="21"/>
  <c r="CW9" i="21"/>
  <c r="CR11" i="21"/>
  <c r="CW10" i="21"/>
  <c r="CR10" i="21"/>
  <c r="CS10" i="21"/>
  <c r="CR12" i="21"/>
  <c r="CS12" i="21"/>
  <c r="CS11" i="21"/>
  <c r="CZ17" i="21"/>
  <c r="DA17" i="21"/>
  <c r="CR9" i="21"/>
  <c r="CS9" i="21"/>
  <c r="CT13" i="21" l="1"/>
  <c r="CW14" i="21"/>
  <c r="CV14" i="21"/>
  <c r="CR13" i="21"/>
  <c r="CS13" i="21"/>
  <c r="CU13" i="21"/>
  <c r="CV46" i="21"/>
  <c r="CR18" i="21"/>
  <c r="CX17" i="21"/>
  <c r="CS18" i="21"/>
  <c r="CY17" i="21"/>
  <c r="CT18" i="21"/>
  <c r="CU18" i="21"/>
  <c r="CX15" i="21"/>
  <c r="CX14" i="21" s="1"/>
  <c r="CY15" i="21"/>
  <c r="CY14" i="21" s="1"/>
  <c r="DA15" i="21"/>
  <c r="DA14" i="21" s="1"/>
  <c r="CZ15" i="21"/>
  <c r="CZ14" i="21" s="1"/>
  <c r="CT11" i="21"/>
  <c r="CY9" i="21"/>
  <c r="CX9" i="21"/>
  <c r="CX11" i="21"/>
  <c r="CY11" i="21"/>
  <c r="CX10" i="21"/>
  <c r="CY10" i="21"/>
  <c r="CX12" i="21"/>
  <c r="CY12" i="21"/>
  <c r="CT9" i="21"/>
  <c r="CT12" i="21"/>
  <c r="CT10" i="21"/>
  <c r="K35" i="17" l="1"/>
  <c r="BC35" i="17"/>
  <c r="BC36" i="17"/>
  <c r="DC14" i="21"/>
  <c r="DB14" i="21"/>
  <c r="DA13" i="21"/>
  <c r="CZ13" i="21"/>
  <c r="CY13" i="21"/>
  <c r="CX13" i="21"/>
  <c r="DB17" i="21"/>
  <c r="CX46" i="21" s="1"/>
  <c r="CW18" i="21"/>
  <c r="DC17" i="21"/>
  <c r="CN17" i="21" s="1"/>
  <c r="CV18" i="21"/>
  <c r="CZ12" i="21"/>
  <c r="CZ11" i="21"/>
  <c r="CZ10" i="21"/>
  <c r="CZ9" i="21"/>
  <c r="CV12" i="21"/>
  <c r="BD37" i="17" l="1"/>
  <c r="DD29" i="21"/>
  <c r="DD30" i="21"/>
  <c r="DD31" i="21"/>
  <c r="DD41" i="21"/>
  <c r="DD44" i="21"/>
  <c r="DD39" i="21"/>
  <c r="DD27" i="21"/>
  <c r="DD42" i="21"/>
  <c r="DD32" i="21"/>
  <c r="DD43" i="21"/>
  <c r="DD28" i="21"/>
  <c r="DD40" i="21"/>
  <c r="DD33" i="21"/>
  <c r="DD23" i="21"/>
  <c r="DD25" i="21"/>
  <c r="DD20" i="21"/>
  <c r="DD24" i="21"/>
  <c r="DD34" i="21"/>
  <c r="DD26" i="21"/>
  <c r="DD22" i="21"/>
  <c r="DD37" i="21"/>
  <c r="DD21" i="21"/>
  <c r="DD35" i="21"/>
  <c r="DD38" i="21"/>
  <c r="DD36" i="21"/>
  <c r="DE41" i="21"/>
  <c r="DE42" i="21"/>
  <c r="DE43" i="21"/>
  <c r="DE40" i="21"/>
  <c r="DE30" i="21"/>
  <c r="DE31" i="21"/>
  <c r="DE28" i="21"/>
  <c r="DE39" i="21"/>
  <c r="DE32" i="21"/>
  <c r="DE44" i="21"/>
  <c r="DE27" i="21"/>
  <c r="DE29" i="21"/>
  <c r="DE26" i="21"/>
  <c r="DE25" i="21"/>
  <c r="DE23" i="21"/>
  <c r="DE33" i="21"/>
  <c r="DE20" i="21"/>
  <c r="DE34" i="21"/>
  <c r="DE38" i="21"/>
  <c r="DE37" i="21"/>
  <c r="DE36" i="21"/>
  <c r="DE24" i="21"/>
  <c r="DE35" i="21"/>
  <c r="DE22" i="21"/>
  <c r="DE21" i="21"/>
  <c r="DC27" i="21"/>
  <c r="DC31" i="21"/>
  <c r="DC28" i="21"/>
  <c r="DC40" i="21"/>
  <c r="DC44" i="21"/>
  <c r="DC32" i="21"/>
  <c r="DC30" i="21"/>
  <c r="DC39" i="21"/>
  <c r="DC41" i="21"/>
  <c r="DC29" i="21"/>
  <c r="DC43" i="21"/>
  <c r="DC42" i="21"/>
  <c r="DC33" i="21"/>
  <c r="DC37" i="21"/>
  <c r="DC35" i="21"/>
  <c r="DC23" i="21"/>
  <c r="DC22" i="21"/>
  <c r="DC20" i="21"/>
  <c r="DC34" i="21"/>
  <c r="DC26" i="21"/>
  <c r="DC36" i="21"/>
  <c r="DC25" i="21"/>
  <c r="DC38" i="21"/>
  <c r="DC24" i="21"/>
  <c r="DC21" i="21"/>
  <c r="DF40" i="21"/>
  <c r="DF29" i="21"/>
  <c r="DF32" i="21"/>
  <c r="DF41" i="21"/>
  <c r="DF27" i="21"/>
  <c r="DF42" i="21"/>
  <c r="DF31" i="21"/>
  <c r="DF39" i="21"/>
  <c r="DF44" i="21"/>
  <c r="DF30" i="21"/>
  <c r="DF28" i="21"/>
  <c r="DF43" i="21"/>
  <c r="DF25" i="21"/>
  <c r="DF34" i="21"/>
  <c r="DF38" i="21"/>
  <c r="DF36" i="21"/>
  <c r="DF33" i="21"/>
  <c r="DF24" i="21"/>
  <c r="DF20" i="21"/>
  <c r="DF26" i="21"/>
  <c r="DF22" i="21"/>
  <c r="DF23" i="21"/>
  <c r="DF35" i="21"/>
  <c r="DF21" i="21"/>
  <c r="DF37" i="21"/>
  <c r="CY46" i="21"/>
  <c r="CZ46" i="21"/>
  <c r="DA46" i="21"/>
  <c r="DD17" i="21"/>
  <c r="CZ18" i="21"/>
  <c r="CX18" i="21"/>
  <c r="DA18" i="21"/>
  <c r="CY18" i="21"/>
  <c r="CV11" i="21"/>
  <c r="CV9" i="21"/>
  <c r="CV10" i="21"/>
  <c r="DL22" i="21" l="1"/>
  <c r="DL29" i="21"/>
  <c r="DL24" i="21"/>
  <c r="DL30" i="21"/>
  <c r="DG29" i="21"/>
  <c r="DG21" i="21"/>
  <c r="DG39" i="21"/>
  <c r="DG23" i="21"/>
  <c r="DG32" i="21"/>
  <c r="DG34" i="21"/>
  <c r="DL43" i="21"/>
  <c r="DL34" i="21"/>
  <c r="DL26" i="21"/>
  <c r="DL31" i="21"/>
  <c r="DL20" i="21"/>
  <c r="DL41" i="21"/>
  <c r="DL25" i="21"/>
  <c r="DG22" i="21"/>
  <c r="DG27" i="21"/>
  <c r="DG37" i="21"/>
  <c r="DL42" i="21"/>
  <c r="DL39" i="21"/>
  <c r="DL23" i="21"/>
  <c r="DG26" i="21"/>
  <c r="DG41" i="21"/>
  <c r="DG33" i="21"/>
  <c r="DL44" i="21"/>
  <c r="DL36" i="21"/>
  <c r="DL37" i="21"/>
  <c r="DL21" i="21"/>
  <c r="DL27" i="21"/>
  <c r="DG28" i="21"/>
  <c r="DG42" i="21"/>
  <c r="DG40" i="21"/>
  <c r="DL40" i="21"/>
  <c r="DL32" i="21"/>
  <c r="DL35" i="21"/>
  <c r="DG30" i="21"/>
  <c r="DL38" i="21"/>
  <c r="DL28" i="21"/>
  <c r="DL33" i="21"/>
  <c r="DG25" i="21"/>
  <c r="DG38" i="21"/>
  <c r="DG36" i="21"/>
  <c r="DG24" i="21"/>
  <c r="DG31" i="21"/>
  <c r="DG43" i="21"/>
  <c r="DG20" i="21"/>
  <c r="DG44" i="21"/>
  <c r="DG35" i="21"/>
  <c r="DC18" i="21"/>
  <c r="DB46" i="21"/>
  <c r="DB18" i="21"/>
  <c r="DB10" i="21"/>
  <c r="DB12" i="21"/>
  <c r="DB11" i="21"/>
  <c r="DB9" i="21"/>
  <c r="CU10" i="21"/>
  <c r="CG25" i="21" s="1"/>
  <c r="CU9" i="21"/>
  <c r="CU11" i="21"/>
  <c r="CU12" i="21"/>
  <c r="CG27" i="21" s="1"/>
  <c r="CI20" i="21" l="1"/>
  <c r="AD7" i="17" s="1"/>
  <c r="CG20" i="21"/>
  <c r="DF46" i="21"/>
  <c r="DD46" i="21"/>
  <c r="DC46" i="21"/>
  <c r="DE46" i="21"/>
  <c r="DK46" i="21"/>
  <c r="DJ46" i="21"/>
  <c r="DH46" i="21"/>
  <c r="DI46" i="21"/>
  <c r="DE17" i="21"/>
  <c r="DA11" i="21"/>
  <c r="DA12" i="21"/>
  <c r="DA10" i="21"/>
  <c r="DA9" i="21"/>
  <c r="CG21" i="21"/>
  <c r="CG22" i="21"/>
  <c r="CG24" i="21"/>
  <c r="CG26" i="21"/>
  <c r="CG23" i="21"/>
  <c r="AL7" i="17" l="1"/>
  <c r="DL47" i="21"/>
  <c r="DG46" i="21"/>
  <c r="DG47" i="21"/>
  <c r="DL46" i="21"/>
  <c r="CJ18" i="21"/>
  <c r="DG8" i="15"/>
  <c r="DG10" i="15"/>
  <c r="DG48" i="21" l="1"/>
  <c r="DL48" i="21"/>
  <c r="BY13" i="15"/>
  <c r="DG16" i="15"/>
  <c r="CA16" i="15" s="1"/>
  <c r="BY11" i="15"/>
  <c r="BY17" i="15"/>
  <c r="BY21" i="15"/>
  <c r="DG15" i="15"/>
  <c r="CA15" i="15" s="1"/>
  <c r="BY24" i="15"/>
  <c r="DG26" i="15"/>
  <c r="CA26" i="15" s="1"/>
  <c r="DG23" i="15"/>
  <c r="CA23" i="15" s="1"/>
  <c r="DG14" i="15"/>
  <c r="CA14" i="15" s="1"/>
  <c r="DG19" i="15"/>
  <c r="CA19" i="15" s="1"/>
  <c r="DG20" i="15"/>
  <c r="CA20" i="15" s="1"/>
  <c r="BY25" i="15"/>
  <c r="DG18" i="15"/>
  <c r="CA18" i="15" s="1"/>
  <c r="BY12" i="15"/>
  <c r="DG22" i="15"/>
  <c r="CA22" i="15" s="1"/>
  <c r="BY22" i="15"/>
  <c r="BY16" i="15"/>
  <c r="DG7" i="15"/>
  <c r="DG9" i="15"/>
  <c r="DG5" i="15"/>
  <c r="DG4" i="15"/>
  <c r="DG6" i="15"/>
  <c r="CI29" i="21" l="1"/>
  <c r="DG21" i="15"/>
  <c r="CA21" i="15" s="1"/>
  <c r="BY15" i="15"/>
  <c r="DG13" i="15"/>
  <c r="CA13" i="15" s="1"/>
  <c r="DG25" i="15"/>
  <c r="CA25" i="15" s="1"/>
  <c r="BY20" i="15"/>
  <c r="BY19" i="15"/>
  <c r="BY26" i="15"/>
  <c r="DG17" i="15"/>
  <c r="CA17" i="15" s="1"/>
  <c r="DG11" i="15"/>
  <c r="CA11" i="15" s="1"/>
  <c r="DG24" i="15"/>
  <c r="CA24" i="15" s="1"/>
  <c r="BY14" i="15"/>
  <c r="BY18" i="15"/>
  <c r="BY4" i="15"/>
  <c r="BY23" i="15"/>
  <c r="DG12" i="15"/>
  <c r="CA12" i="15" s="1"/>
  <c r="BY3" i="15"/>
  <c r="CZ36" i="15"/>
  <c r="DG3" i="15"/>
  <c r="CZ30" i="15"/>
  <c r="CZ29" i="15"/>
  <c r="BY8" i="15"/>
  <c r="BY10" i="15"/>
  <c r="BY5" i="15"/>
  <c r="BY9" i="15"/>
  <c r="BY7" i="15"/>
  <c r="BY6" i="15"/>
  <c r="CI38" i="21" l="1"/>
  <c r="CI43" i="21"/>
  <c r="CI21" i="21"/>
  <c r="AD8" i="17" s="1"/>
  <c r="CI31" i="21"/>
  <c r="CI23" i="21"/>
  <c r="AD11" i="17" s="1"/>
  <c r="CI39" i="21"/>
  <c r="CI42" i="21"/>
  <c r="CI25" i="21"/>
  <c r="AD13" i="17" s="1"/>
  <c r="AL13" i="17" s="1"/>
  <c r="CI24" i="21"/>
  <c r="AD12" i="17" s="1"/>
  <c r="CI35" i="21"/>
  <c r="CI40" i="21"/>
  <c r="CI30" i="21"/>
  <c r="CI44" i="21"/>
  <c r="CI26" i="21"/>
  <c r="AD14" i="17" s="1"/>
  <c r="CI27" i="21"/>
  <c r="CI37" i="21"/>
  <c r="CI34" i="21"/>
  <c r="CI32" i="21"/>
  <c r="CI36" i="21"/>
  <c r="CI41" i="21"/>
  <c r="CI33" i="21"/>
  <c r="CI28" i="21"/>
  <c r="CI22" i="21"/>
  <c r="AD9" i="17" s="1"/>
  <c r="AL9" i="17" s="1"/>
  <c r="CI45" i="21"/>
  <c r="J26" i="16"/>
  <c r="J20" i="16"/>
  <c r="J23" i="16"/>
  <c r="J25" i="16"/>
  <c r="J16" i="16"/>
  <c r="J21" i="16"/>
  <c r="J24" i="16"/>
  <c r="J28" i="16"/>
  <c r="J30" i="16"/>
  <c r="J27" i="16"/>
  <c r="J22" i="16"/>
  <c r="J18" i="16"/>
  <c r="J17" i="16"/>
  <c r="J10" i="16"/>
  <c r="J19" i="16"/>
  <c r="CA4" i="15"/>
  <c r="DG29" i="15"/>
  <c r="CA3" i="15"/>
  <c r="CA8" i="15"/>
  <c r="CA10" i="15"/>
  <c r="CA7" i="15"/>
  <c r="CA9" i="15"/>
  <c r="CA6" i="15"/>
  <c r="CA5" i="15"/>
  <c r="CZ39" i="15"/>
  <c r="CZ31" i="15"/>
  <c r="CZ34" i="15"/>
  <c r="AL14" i="17" l="1"/>
  <c r="AL11" i="17"/>
  <c r="AL12" i="17"/>
  <c r="AL8" i="17"/>
  <c r="AD15" i="17"/>
  <c r="AL15" i="17" s="1"/>
  <c r="D14" i="16"/>
  <c r="A14" i="16" s="1"/>
  <c r="D8" i="16"/>
  <c r="A8" i="16" s="1"/>
  <c r="L8" i="16" s="1"/>
  <c r="M8" i="16" s="1"/>
  <c r="D12" i="16"/>
  <c r="A12" i="16" s="1"/>
  <c r="Y12" i="16" s="1"/>
  <c r="Z12" i="17" s="1"/>
  <c r="D13" i="16"/>
  <c r="A13" i="16" s="1"/>
  <c r="D11" i="16"/>
  <c r="A11" i="16" s="1"/>
  <c r="Y11" i="16" s="1"/>
  <c r="Z11" i="17" s="1"/>
  <c r="D9" i="16"/>
  <c r="A9" i="16" s="1"/>
  <c r="Y9" i="16" s="1"/>
  <c r="Z9" i="17" s="1"/>
  <c r="D15" i="16"/>
  <c r="A15" i="16" s="1"/>
  <c r="D7" i="16"/>
  <c r="A7" i="16" s="1"/>
  <c r="CI18" i="21"/>
  <c r="J29" i="16"/>
  <c r="CZ33" i="15"/>
  <c r="CZ32" i="15"/>
  <c r="AD34" i="17" l="1"/>
  <c r="AD37" i="17"/>
  <c r="AQ37" i="17"/>
  <c r="AD32" i="17"/>
  <c r="AD33" i="17"/>
  <c r="AD35" i="17"/>
  <c r="AD36" i="17"/>
  <c r="Y8" i="16"/>
  <c r="Z8" i="17" s="1"/>
  <c r="X14" i="16"/>
  <c r="L12" i="16"/>
  <c r="M12" i="16" s="1"/>
  <c r="X12" i="16"/>
  <c r="X13" i="16"/>
  <c r="L11" i="16"/>
  <c r="M11" i="16" s="1"/>
  <c r="X11" i="16"/>
  <c r="X8" i="16"/>
  <c r="J8" i="16"/>
  <c r="J13" i="16"/>
  <c r="J11" i="16"/>
  <c r="J9" i="16"/>
  <c r="X15" i="16"/>
  <c r="L9" i="16"/>
  <c r="M9" i="16" s="1"/>
  <c r="X9" i="16"/>
  <c r="X7" i="16"/>
  <c r="J15" i="16"/>
  <c r="J7" i="16"/>
  <c r="D38" i="16"/>
  <c r="D36" i="16"/>
  <c r="D39" i="16"/>
  <c r="J14" i="16"/>
  <c r="D33" i="16"/>
  <c r="D34" i="16"/>
  <c r="J12" i="16"/>
  <c r="Y13" i="16"/>
  <c r="Z13" i="17" s="1"/>
  <c r="L13" i="16"/>
  <c r="M13" i="16" s="1"/>
  <c r="Y15" i="16"/>
  <c r="Z15" i="17" s="1"/>
  <c r="L15" i="16"/>
  <c r="M15" i="16" s="1"/>
  <c r="Y14" i="16"/>
  <c r="Z14" i="17" s="1"/>
  <c r="L14" i="16"/>
  <c r="M14" i="16" s="1"/>
  <c r="J29" i="17"/>
  <c r="J23" i="17"/>
  <c r="J24" i="17"/>
  <c r="J22" i="17"/>
  <c r="J26" i="17"/>
  <c r="J27" i="17"/>
  <c r="J28" i="17"/>
  <c r="J25" i="17"/>
  <c r="J30" i="17"/>
  <c r="J21" i="17"/>
  <c r="J16" i="17"/>
  <c r="J20" i="17"/>
  <c r="J10" i="17"/>
  <c r="J19" i="17"/>
  <c r="J18" i="17"/>
  <c r="J17" i="17"/>
  <c r="J9" i="17"/>
  <c r="BJ9" i="17" s="1"/>
  <c r="B2" i="16"/>
  <c r="Y7" i="16"/>
  <c r="L7" i="16"/>
  <c r="BH36" i="17" l="1"/>
  <c r="BH37" i="17" s="1"/>
  <c r="BD21" i="17"/>
  <c r="BE21" i="17"/>
  <c r="BE23" i="17"/>
  <c r="BD23" i="17"/>
  <c r="BD30" i="17"/>
  <c r="BE30" i="17"/>
  <c r="BD29" i="17"/>
  <c r="BE29" i="17"/>
  <c r="BE17" i="17"/>
  <c r="BD17" i="17"/>
  <c r="BE25" i="17"/>
  <c r="BD25" i="17"/>
  <c r="BD28" i="17"/>
  <c r="BE28" i="17"/>
  <c r="BD19" i="17"/>
  <c r="BE19" i="17"/>
  <c r="BD27" i="17"/>
  <c r="BE27" i="17"/>
  <c r="BD18" i="17"/>
  <c r="BE18" i="17"/>
  <c r="BD10" i="17"/>
  <c r="BE10" i="17"/>
  <c r="BD26" i="17"/>
  <c r="BE26" i="17"/>
  <c r="BE20" i="17"/>
  <c r="BD20" i="17"/>
  <c r="BD22" i="17"/>
  <c r="BE22" i="17"/>
  <c r="BD16" i="17"/>
  <c r="BE16" i="17"/>
  <c r="BD24" i="17"/>
  <c r="BE24" i="17"/>
  <c r="AQ39" i="17"/>
  <c r="AQ38" i="17"/>
  <c r="AQ35" i="17"/>
  <c r="AQ36" i="17"/>
  <c r="AJ39" i="17"/>
  <c r="K2" i="16"/>
  <c r="K3" i="16"/>
  <c r="J34" i="16"/>
  <c r="E22" i="16"/>
  <c r="F22" i="16" s="1"/>
  <c r="H22" i="16" s="1"/>
  <c r="D41" i="16"/>
  <c r="E29" i="16"/>
  <c r="G29" i="16" s="1"/>
  <c r="I29" i="16" s="1"/>
  <c r="D40" i="16"/>
  <c r="E25" i="16"/>
  <c r="G25" i="16" s="1"/>
  <c r="I25" i="16" s="1"/>
  <c r="J32" i="16"/>
  <c r="E9" i="16"/>
  <c r="G9" i="16" s="1"/>
  <c r="E21" i="16"/>
  <c r="F21" i="16" s="1"/>
  <c r="H21" i="16" s="1"/>
  <c r="E13" i="16"/>
  <c r="F13" i="16" s="1"/>
  <c r="E20" i="16"/>
  <c r="F20" i="16" s="1"/>
  <c r="H20" i="16" s="1"/>
  <c r="J36" i="16"/>
  <c r="D37" i="16"/>
  <c r="V44" i="16" s="1"/>
  <c r="E11" i="16"/>
  <c r="G11" i="16" s="1"/>
  <c r="E30" i="16"/>
  <c r="G30" i="16" s="1"/>
  <c r="I30" i="16" s="1"/>
  <c r="E26" i="16"/>
  <c r="F26" i="16" s="1"/>
  <c r="H26" i="16" s="1"/>
  <c r="E19" i="16"/>
  <c r="F19" i="16" s="1"/>
  <c r="H19" i="16" s="1"/>
  <c r="E16" i="16"/>
  <c r="G16" i="16" s="1"/>
  <c r="I16" i="16" s="1"/>
  <c r="D35" i="16"/>
  <c r="E12" i="16"/>
  <c r="G12" i="16" s="1"/>
  <c r="E14" i="16"/>
  <c r="F14" i="16" s="1"/>
  <c r="E10" i="16"/>
  <c r="G10" i="16" s="1"/>
  <c r="I10" i="16" s="1"/>
  <c r="E18" i="16"/>
  <c r="F18" i="16" s="1"/>
  <c r="H18" i="16" s="1"/>
  <c r="E17" i="16"/>
  <c r="G17" i="16" s="1"/>
  <c r="I17" i="16" s="1"/>
  <c r="E24" i="16"/>
  <c r="G24" i="16" s="1"/>
  <c r="I24" i="16" s="1"/>
  <c r="E7" i="16"/>
  <c r="G7" i="16" s="1"/>
  <c r="E8" i="16"/>
  <c r="G8" i="16" s="1"/>
  <c r="E15" i="16"/>
  <c r="F15" i="16" s="1"/>
  <c r="E27" i="16"/>
  <c r="F27" i="16" s="1"/>
  <c r="H27" i="16" s="1"/>
  <c r="E23" i="16"/>
  <c r="G23" i="16" s="1"/>
  <c r="I23" i="16" s="1"/>
  <c r="E28" i="16"/>
  <c r="F28" i="16" s="1"/>
  <c r="H28" i="16" s="1"/>
  <c r="M18" i="17"/>
  <c r="M16" i="17"/>
  <c r="M28" i="17"/>
  <c r="M24" i="17"/>
  <c r="M17" i="17"/>
  <c r="M20" i="17"/>
  <c r="M25" i="17"/>
  <c r="M22" i="17"/>
  <c r="M19" i="17"/>
  <c r="M21" i="17"/>
  <c r="M27" i="17"/>
  <c r="M23" i="17"/>
  <c r="M10" i="17"/>
  <c r="M30" i="17"/>
  <c r="M26" i="17"/>
  <c r="M29" i="17"/>
  <c r="J13" i="17"/>
  <c r="BJ13" i="17" s="1"/>
  <c r="J15" i="17"/>
  <c r="BJ15" i="17" s="1"/>
  <c r="J14" i="17"/>
  <c r="BJ14" i="17" s="1"/>
  <c r="J11" i="17"/>
  <c r="J8" i="17"/>
  <c r="J12" i="17"/>
  <c r="BJ12" i="17" s="1"/>
  <c r="D34" i="17"/>
  <c r="D33" i="17"/>
  <c r="D36" i="17"/>
  <c r="D38" i="17"/>
  <c r="D39" i="17"/>
  <c r="M7" i="16"/>
  <c r="D32" i="16"/>
  <c r="L2" i="16"/>
  <c r="B3" i="16"/>
  <c r="AF44" i="16" s="1"/>
  <c r="D4" i="16"/>
  <c r="Y2" i="16"/>
  <c r="Y3" i="16"/>
  <c r="Z7" i="17"/>
  <c r="Y1" i="16"/>
  <c r="Y4" i="16"/>
  <c r="BJ11" i="17" l="1"/>
  <c r="BN36" i="17"/>
  <c r="BJ8" i="17"/>
  <c r="J36" i="17"/>
  <c r="L36" i="17" s="1"/>
  <c r="BI36" i="17"/>
  <c r="BI35" i="17"/>
  <c r="BI34" i="17"/>
  <c r="AJ36" i="17"/>
  <c r="AN5" i="17" s="1"/>
  <c r="AN2" i="17" s="1"/>
  <c r="AP15" i="17"/>
  <c r="BG15" i="17" s="1"/>
  <c r="AJ44" i="17"/>
  <c r="J35" i="17"/>
  <c r="J6" i="17"/>
  <c r="D41" i="17"/>
  <c r="F12" i="16"/>
  <c r="F25" i="16"/>
  <c r="H25" i="16" s="1"/>
  <c r="K25" i="16" s="1"/>
  <c r="J38" i="16"/>
  <c r="G22" i="16"/>
  <c r="I22" i="16" s="1"/>
  <c r="K22" i="16" s="1"/>
  <c r="G19" i="16"/>
  <c r="I19" i="16" s="1"/>
  <c r="K19" i="16" s="1"/>
  <c r="F8" i="16"/>
  <c r="G20" i="16"/>
  <c r="I20" i="16" s="1"/>
  <c r="K20" i="16" s="1"/>
  <c r="H40" i="16"/>
  <c r="F29" i="16"/>
  <c r="H29" i="16" s="1"/>
  <c r="K29" i="16" s="1"/>
  <c r="F9" i="16"/>
  <c r="H41" i="16"/>
  <c r="F30" i="16"/>
  <c r="H30" i="16" s="1"/>
  <c r="K30" i="16" s="1"/>
  <c r="G18" i="16"/>
  <c r="I18" i="16" s="1"/>
  <c r="K18" i="16" s="1"/>
  <c r="F11" i="16"/>
  <c r="G28" i="16"/>
  <c r="I28" i="16" s="1"/>
  <c r="K28" i="16" s="1"/>
  <c r="G13" i="16"/>
  <c r="F23" i="16"/>
  <c r="H23" i="16" s="1"/>
  <c r="K23" i="16" s="1"/>
  <c r="G15" i="16"/>
  <c r="J37" i="16"/>
  <c r="F17" i="16"/>
  <c r="H17" i="16" s="1"/>
  <c r="K17" i="16" s="1"/>
  <c r="G27" i="16"/>
  <c r="I27" i="16" s="1"/>
  <c r="K27" i="16" s="1"/>
  <c r="H35" i="16"/>
  <c r="U44" i="16" s="1"/>
  <c r="G14" i="16"/>
  <c r="G21" i="16"/>
  <c r="I21" i="16" s="1"/>
  <c r="K21" i="16" s="1"/>
  <c r="F24" i="16"/>
  <c r="H24" i="16" s="1"/>
  <c r="K24" i="16" s="1"/>
  <c r="F10" i="16"/>
  <c r="H10" i="16" s="1"/>
  <c r="K10" i="16" s="1"/>
  <c r="F7" i="16"/>
  <c r="F16" i="16"/>
  <c r="H16" i="16" s="1"/>
  <c r="K16" i="16" s="1"/>
  <c r="G26" i="16"/>
  <c r="I26" i="16" s="1"/>
  <c r="K26" i="16" s="1"/>
  <c r="D6" i="17"/>
  <c r="D40" i="17"/>
  <c r="M8" i="17"/>
  <c r="M12" i="17"/>
  <c r="M15" i="17"/>
  <c r="M14" i="17"/>
  <c r="M9" i="17"/>
  <c r="M13" i="17"/>
  <c r="M11" i="17"/>
  <c r="E7" i="17"/>
  <c r="B33" i="17"/>
  <c r="B34" i="17"/>
  <c r="J32" i="17"/>
  <c r="J34" i="17"/>
  <c r="J33" i="17"/>
  <c r="W32" i="16"/>
  <c r="W44" i="16"/>
  <c r="W35" i="16"/>
  <c r="W36" i="16"/>
  <c r="W33" i="16"/>
  <c r="M2" i="16"/>
  <c r="N7" i="16" s="1"/>
  <c r="D37" i="17"/>
  <c r="B37" i="17"/>
  <c r="D3" i="16"/>
  <c r="U32" i="16"/>
  <c r="O7" i="16"/>
  <c r="P7" i="16" s="1"/>
  <c r="O13" i="16"/>
  <c r="P13" i="16" s="1"/>
  <c r="O14" i="16"/>
  <c r="P14" i="16" s="1"/>
  <c r="O15" i="16"/>
  <c r="P15" i="16" s="1"/>
  <c r="O9" i="16"/>
  <c r="P9" i="16" s="1"/>
  <c r="O12" i="16"/>
  <c r="P12" i="16" s="1"/>
  <c r="O23" i="16"/>
  <c r="P23" i="16" s="1"/>
  <c r="O16" i="16"/>
  <c r="P16" i="16" s="1"/>
  <c r="O11" i="16"/>
  <c r="P11" i="16" s="1"/>
  <c r="O26" i="16"/>
  <c r="P26" i="16" s="1"/>
  <c r="O22" i="16"/>
  <c r="P22" i="16" s="1"/>
  <c r="O8" i="16"/>
  <c r="P8" i="16" s="1"/>
  <c r="O20" i="16"/>
  <c r="P20" i="16" s="1"/>
  <c r="O17" i="16"/>
  <c r="P17" i="16" s="1"/>
  <c r="O19" i="16"/>
  <c r="P19" i="16" s="1"/>
  <c r="O10" i="16"/>
  <c r="P10" i="16" s="1"/>
  <c r="O21" i="16"/>
  <c r="P21" i="16" s="1"/>
  <c r="O24" i="16"/>
  <c r="P24" i="16" s="1"/>
  <c r="O28" i="16"/>
  <c r="P28" i="16" s="1"/>
  <c r="O25" i="16"/>
  <c r="P25" i="16" s="1"/>
  <c r="O29" i="16"/>
  <c r="P29" i="16" s="1"/>
  <c r="O27" i="16"/>
  <c r="P27" i="16" s="1"/>
  <c r="O18" i="16"/>
  <c r="P18" i="16" s="1"/>
  <c r="O30" i="16"/>
  <c r="P30" i="16" s="1"/>
  <c r="B35" i="17"/>
  <c r="E23" i="17"/>
  <c r="E28" i="17"/>
  <c r="E19" i="17"/>
  <c r="E18" i="17"/>
  <c r="E20" i="17"/>
  <c r="E30" i="17"/>
  <c r="E27" i="17"/>
  <c r="D35" i="17"/>
  <c r="E10" i="17"/>
  <c r="E17" i="17"/>
  <c r="E25" i="17"/>
  <c r="E22" i="17"/>
  <c r="E21" i="17"/>
  <c r="E24" i="17"/>
  <c r="E26" i="17"/>
  <c r="E16" i="17"/>
  <c r="E29" i="17"/>
  <c r="E13" i="17"/>
  <c r="E15" i="17"/>
  <c r="E11" i="17"/>
  <c r="E14" i="17"/>
  <c r="E8" i="17"/>
  <c r="E12" i="17"/>
  <c r="E9" i="17"/>
  <c r="BJ34" i="17" l="1"/>
  <c r="BN37" i="17"/>
  <c r="BN38" i="17"/>
  <c r="BI38" i="17"/>
  <c r="BI37" i="17"/>
  <c r="BH38" i="17"/>
  <c r="AZ44" i="17" s="1"/>
  <c r="BQ15" i="17"/>
  <c r="BQ7" i="17"/>
  <c r="BQ13" i="17"/>
  <c r="BQ8" i="17"/>
  <c r="BQ9" i="17"/>
  <c r="BQ12" i="17"/>
  <c r="BQ11" i="17"/>
  <c r="BQ14" i="17"/>
  <c r="J39" i="17"/>
  <c r="BF15" i="17"/>
  <c r="J40" i="17"/>
  <c r="K34" i="17"/>
  <c r="K32" i="17"/>
  <c r="K33" i="17"/>
  <c r="M7" i="17"/>
  <c r="M3" i="17" s="1"/>
  <c r="AQ34" i="17"/>
  <c r="H15" i="16"/>
  <c r="I15" i="16"/>
  <c r="I8" i="16"/>
  <c r="H8" i="16"/>
  <c r="H9" i="16"/>
  <c r="I9" i="16"/>
  <c r="I13" i="16"/>
  <c r="H13" i="16"/>
  <c r="I11" i="16"/>
  <c r="I7" i="16"/>
  <c r="H7" i="16"/>
  <c r="H11" i="16"/>
  <c r="H12" i="16"/>
  <c r="I14" i="16"/>
  <c r="I12" i="16"/>
  <c r="H14" i="16"/>
  <c r="G14" i="17"/>
  <c r="F14" i="17"/>
  <c r="F20" i="17"/>
  <c r="H20" i="17" s="1"/>
  <c r="G20" i="17"/>
  <c r="G12" i="17"/>
  <c r="F12" i="17"/>
  <c r="F15" i="17"/>
  <c r="G15" i="17"/>
  <c r="F27" i="17"/>
  <c r="H27" i="17" s="1"/>
  <c r="G27" i="17"/>
  <c r="F7" i="17"/>
  <c r="G7" i="17"/>
  <c r="F29" i="17"/>
  <c r="H29" i="17" s="1"/>
  <c r="G29" i="17"/>
  <c r="G10" i="17"/>
  <c r="F10" i="17"/>
  <c r="H10" i="17" s="1"/>
  <c r="G26" i="17"/>
  <c r="F26" i="17"/>
  <c r="H26" i="17" s="1"/>
  <c r="F25" i="17"/>
  <c r="H25" i="17" s="1"/>
  <c r="G25" i="17"/>
  <c r="F19" i="17"/>
  <c r="H19" i="17" s="1"/>
  <c r="G19" i="17"/>
  <c r="G8" i="17"/>
  <c r="F8" i="17"/>
  <c r="F13" i="17"/>
  <c r="G13" i="17"/>
  <c r="F24" i="17"/>
  <c r="H24" i="17" s="1"/>
  <c r="G24" i="17"/>
  <c r="F17" i="17"/>
  <c r="H17" i="17" s="1"/>
  <c r="G17" i="17"/>
  <c r="G30" i="17"/>
  <c r="F30" i="17"/>
  <c r="H30" i="17" s="1"/>
  <c r="F28" i="17"/>
  <c r="H28" i="17" s="1"/>
  <c r="G28" i="17"/>
  <c r="F21" i="17"/>
  <c r="H21" i="17" s="1"/>
  <c r="G21" i="17"/>
  <c r="F23" i="17"/>
  <c r="H23" i="17" s="1"/>
  <c r="G23" i="17"/>
  <c r="G9" i="17"/>
  <c r="F9" i="17"/>
  <c r="G11" i="17"/>
  <c r="F11" i="17"/>
  <c r="F16" i="17"/>
  <c r="H16" i="17" s="1"/>
  <c r="G16" i="17"/>
  <c r="G22" i="17"/>
  <c r="F22" i="17"/>
  <c r="H22" i="17" s="1"/>
  <c r="G18" i="17"/>
  <c r="F18" i="17"/>
  <c r="H18" i="17" s="1"/>
  <c r="Z41" i="17"/>
  <c r="X41" i="17"/>
  <c r="Q7" i="16"/>
  <c r="N21" i="16"/>
  <c r="Q21" i="16" s="1"/>
  <c r="N25" i="16"/>
  <c r="Q25" i="16" s="1"/>
  <c r="N27" i="16"/>
  <c r="Q27" i="16" s="1"/>
  <c r="N20" i="16"/>
  <c r="Q20" i="16" s="1"/>
  <c r="N18" i="16"/>
  <c r="Q18" i="16" s="1"/>
  <c r="N22" i="16"/>
  <c r="Q22" i="16" s="1"/>
  <c r="N19" i="16"/>
  <c r="Q19" i="16" s="1"/>
  <c r="N26" i="16"/>
  <c r="Q26" i="16" s="1"/>
  <c r="N16" i="16"/>
  <c r="Q16" i="16" s="1"/>
  <c r="N29" i="16"/>
  <c r="Q29" i="16" s="1"/>
  <c r="N10" i="16"/>
  <c r="Q10" i="16" s="1"/>
  <c r="N23" i="16"/>
  <c r="Q23" i="16" s="1"/>
  <c r="N30" i="16"/>
  <c r="Q30" i="16" s="1"/>
  <c r="N17" i="16"/>
  <c r="Q17" i="16" s="1"/>
  <c r="N24" i="16"/>
  <c r="Q24" i="16" s="1"/>
  <c r="N28" i="16"/>
  <c r="Q28" i="16" s="1"/>
  <c r="N13" i="16"/>
  <c r="Q13" i="16" s="1"/>
  <c r="N15" i="16"/>
  <c r="Q15" i="16" s="1"/>
  <c r="N11" i="16"/>
  <c r="Q11" i="16" s="1"/>
  <c r="N8" i="16"/>
  <c r="Q8" i="16" s="1"/>
  <c r="N12" i="16"/>
  <c r="Q12" i="16" s="1"/>
  <c r="N14" i="16"/>
  <c r="Q14" i="16" s="1"/>
  <c r="N9" i="16"/>
  <c r="Q9" i="16" s="1"/>
  <c r="AC44" i="16"/>
  <c r="U36" i="16"/>
  <c r="U35" i="16"/>
  <c r="U33" i="16"/>
  <c r="U34" i="16" s="1"/>
  <c r="B1" i="16"/>
  <c r="D1" i="16"/>
  <c r="W34" i="16"/>
  <c r="BJ33" i="17" l="1"/>
  <c r="AK44" i="17"/>
  <c r="BO14" i="17"/>
  <c r="AO14" i="17"/>
  <c r="AP14" i="17" s="1"/>
  <c r="BG14" i="17" s="1"/>
  <c r="AO11" i="17"/>
  <c r="AO12" i="17"/>
  <c r="AP12" i="17" s="1"/>
  <c r="BG12" i="17" s="1"/>
  <c r="BO7" i="17"/>
  <c r="BN15" i="17"/>
  <c r="BN7" i="17"/>
  <c r="BN12" i="17"/>
  <c r="BN9" i="17"/>
  <c r="BN13" i="17"/>
  <c r="BN14" i="17"/>
  <c r="BN8" i="17"/>
  <c r="BN11" i="17"/>
  <c r="BP7" i="17"/>
  <c r="BP9" i="17"/>
  <c r="BP13" i="17"/>
  <c r="BP11" i="17"/>
  <c r="BP12" i="17"/>
  <c r="BP14" i="17"/>
  <c r="BP15" i="17"/>
  <c r="BP8" i="17"/>
  <c r="BO9" i="17"/>
  <c r="BQ33" i="17"/>
  <c r="BO15" i="17"/>
  <c r="BO8" i="17"/>
  <c r="BO12" i="17"/>
  <c r="BO13" i="17"/>
  <c r="BO11" i="17"/>
  <c r="K40" i="17"/>
  <c r="BD33" i="17"/>
  <c r="BD32" i="17"/>
  <c r="BD34" i="17"/>
  <c r="BD35" i="17"/>
  <c r="K39" i="17"/>
  <c r="BD39" i="17" s="1"/>
  <c r="AZ7" i="17"/>
  <c r="J38" i="17"/>
  <c r="J37" i="17" s="1"/>
  <c r="AO7" i="17"/>
  <c r="M6" i="17"/>
  <c r="M2" i="17"/>
  <c r="M1" i="17"/>
  <c r="M4" i="17"/>
  <c r="AO29" i="17"/>
  <c r="AP29" i="17" s="1"/>
  <c r="BG29" i="17" s="1"/>
  <c r="AO10" i="17"/>
  <c r="AP10" i="17" s="1"/>
  <c r="BG10" i="17" s="1"/>
  <c r="AO9" i="17"/>
  <c r="AO20" i="17"/>
  <c r="AP20" i="17" s="1"/>
  <c r="BG20" i="17" s="1"/>
  <c r="AO16" i="17"/>
  <c r="AP16" i="17" s="1"/>
  <c r="BG16" i="17" s="1"/>
  <c r="AO18" i="17"/>
  <c r="AP18" i="17" s="1"/>
  <c r="BG18" i="17" s="1"/>
  <c r="AO19" i="17"/>
  <c r="AP19" i="17" s="1"/>
  <c r="BG19" i="17" s="1"/>
  <c r="AO17" i="17"/>
  <c r="AP17" i="17" s="1"/>
  <c r="BG17" i="17" s="1"/>
  <c r="AO26" i="17"/>
  <c r="AP26" i="17" s="1"/>
  <c r="BG26" i="17" s="1"/>
  <c r="AO22" i="17"/>
  <c r="AP22" i="17" s="1"/>
  <c r="BG22" i="17" s="1"/>
  <c r="AO23" i="17"/>
  <c r="AP23" i="17" s="1"/>
  <c r="BG23" i="17" s="1"/>
  <c r="AO21" i="17"/>
  <c r="AP21" i="17" s="1"/>
  <c r="BG21" i="17" s="1"/>
  <c r="AO28" i="17"/>
  <c r="AP28" i="17" s="1"/>
  <c r="BG28" i="17" s="1"/>
  <c r="AO8" i="17"/>
  <c r="AO24" i="17"/>
  <c r="AP24" i="17" s="1"/>
  <c r="BG24" i="17" s="1"/>
  <c r="AO25" i="17"/>
  <c r="AP25" i="17" s="1"/>
  <c r="BG25" i="17" s="1"/>
  <c r="AO27" i="17"/>
  <c r="AP27" i="17" s="1"/>
  <c r="BG27" i="17" s="1"/>
  <c r="AO30" i="17"/>
  <c r="AP30" i="17" s="1"/>
  <c r="BG30" i="17" s="1"/>
  <c r="AO13" i="17"/>
  <c r="BC37" i="17"/>
  <c r="AZ15" i="17"/>
  <c r="AZ11" i="17"/>
  <c r="AZ8" i="17"/>
  <c r="AZ14" i="17"/>
  <c r="AZ12" i="17"/>
  <c r="AZ9" i="17"/>
  <c r="AZ13" i="17"/>
  <c r="K15" i="16"/>
  <c r="K8" i="16"/>
  <c r="K9" i="16"/>
  <c r="K13" i="16"/>
  <c r="I36" i="16"/>
  <c r="K14" i="16"/>
  <c r="I34" i="16"/>
  <c r="K7" i="16"/>
  <c r="I32" i="16"/>
  <c r="K11" i="16"/>
  <c r="K12" i="16"/>
  <c r="H34" i="16"/>
  <c r="H36" i="16"/>
  <c r="H32" i="16"/>
  <c r="B5" i="16" s="1"/>
  <c r="AB44" i="16" s="1"/>
  <c r="H9" i="17"/>
  <c r="H8" i="17"/>
  <c r="H7" i="17"/>
  <c r="H15" i="17"/>
  <c r="H11" i="17"/>
  <c r="H12" i="17"/>
  <c r="H14" i="17"/>
  <c r="H13" i="17"/>
  <c r="T11" i="16"/>
  <c r="U11" i="16" s="1"/>
  <c r="R11" i="16"/>
  <c r="R10" i="16"/>
  <c r="T10" i="16"/>
  <c r="U10" i="16" s="1"/>
  <c r="R27" i="16"/>
  <c r="T27" i="16"/>
  <c r="U27" i="16" s="1"/>
  <c r="T14" i="16"/>
  <c r="U14" i="16" s="1"/>
  <c r="R14" i="16"/>
  <c r="T15" i="16"/>
  <c r="U15" i="16" s="1"/>
  <c r="R15" i="16"/>
  <c r="Q2" i="16"/>
  <c r="R17" i="16"/>
  <c r="T17" i="16"/>
  <c r="U17" i="16" s="1"/>
  <c r="R29" i="16"/>
  <c r="T29" i="16"/>
  <c r="U29" i="16" s="1"/>
  <c r="R22" i="16"/>
  <c r="T22" i="16"/>
  <c r="U22" i="16" s="1"/>
  <c r="R25" i="16"/>
  <c r="T25" i="16"/>
  <c r="U25" i="16" s="1"/>
  <c r="N2" i="16"/>
  <c r="T9" i="16"/>
  <c r="U9" i="16" s="1"/>
  <c r="R9" i="16"/>
  <c r="R24" i="16"/>
  <c r="T24" i="16"/>
  <c r="U24" i="16" s="1"/>
  <c r="R19" i="16"/>
  <c r="T19" i="16"/>
  <c r="U19" i="16" s="1"/>
  <c r="H1" i="16"/>
  <c r="D2" i="16"/>
  <c r="H4" i="16"/>
  <c r="T12" i="16"/>
  <c r="U12" i="16" s="1"/>
  <c r="R12" i="16"/>
  <c r="T13" i="16"/>
  <c r="U13" i="16" s="1"/>
  <c r="R13" i="16"/>
  <c r="R30" i="16"/>
  <c r="T30" i="16"/>
  <c r="U30" i="16" s="1"/>
  <c r="R16" i="16"/>
  <c r="T16" i="16"/>
  <c r="U16" i="16" s="1"/>
  <c r="R18" i="16"/>
  <c r="T18" i="16"/>
  <c r="U18" i="16" s="1"/>
  <c r="R21" i="16"/>
  <c r="T21" i="16"/>
  <c r="U21" i="16" s="1"/>
  <c r="T7" i="16"/>
  <c r="R7" i="16"/>
  <c r="T8" i="16"/>
  <c r="U8" i="16" s="1"/>
  <c r="R8" i="16"/>
  <c r="R28" i="16"/>
  <c r="T28" i="16"/>
  <c r="U28" i="16" s="1"/>
  <c r="R23" i="16"/>
  <c r="T23" i="16"/>
  <c r="U23" i="16" s="1"/>
  <c r="T26" i="16"/>
  <c r="U26" i="16" s="1"/>
  <c r="R26" i="16"/>
  <c r="R20" i="16"/>
  <c r="T20" i="16"/>
  <c r="U20" i="16" s="1"/>
  <c r="BL13" i="17" l="1"/>
  <c r="BF12" i="17"/>
  <c r="BF14" i="17"/>
  <c r="BO33" i="17"/>
  <c r="BN33" i="17"/>
  <c r="BP33" i="17"/>
  <c r="BL12" i="17"/>
  <c r="BL11" i="17"/>
  <c r="BL9" i="17"/>
  <c r="BL7" i="17"/>
  <c r="BL8" i="17"/>
  <c r="BL15" i="17"/>
  <c r="BM14" i="17"/>
  <c r="BM13" i="17"/>
  <c r="BM15" i="17"/>
  <c r="BM8" i="17"/>
  <c r="BM7" i="17"/>
  <c r="BM12" i="17"/>
  <c r="BM9" i="17"/>
  <c r="BM11" i="17"/>
  <c r="BL14" i="17"/>
  <c r="J41" i="17"/>
  <c r="BF21" i="17"/>
  <c r="BF20" i="17"/>
  <c r="BF30" i="17"/>
  <c r="BF22" i="17"/>
  <c r="BF10" i="17"/>
  <c r="BF27" i="17"/>
  <c r="BF26" i="17"/>
  <c r="BF29" i="17"/>
  <c r="BF25" i="17"/>
  <c r="BF17" i="17"/>
  <c r="BF24" i="17"/>
  <c r="BF19" i="17"/>
  <c r="BF23" i="17"/>
  <c r="BF18" i="17"/>
  <c r="BF28" i="17"/>
  <c r="BF16" i="17"/>
  <c r="AH9" i="17"/>
  <c r="AH12" i="17"/>
  <c r="AH7" i="17"/>
  <c r="AP7" i="17"/>
  <c r="BG7" i="17" s="1"/>
  <c r="BD40" i="17"/>
  <c r="K38" i="17"/>
  <c r="M5" i="17"/>
  <c r="AJ38" i="17"/>
  <c r="AP5" i="17" s="1"/>
  <c r="AP2" i="17" s="1"/>
  <c r="AF3" i="17"/>
  <c r="AF2" i="17" s="1"/>
  <c r="I35" i="17"/>
  <c r="H35" i="17"/>
  <c r="AC44" i="17"/>
  <c r="K34" i="16"/>
  <c r="I38" i="16"/>
  <c r="I37" i="16"/>
  <c r="H37" i="16"/>
  <c r="H38" i="16"/>
  <c r="K36" i="16"/>
  <c r="W4" i="16"/>
  <c r="W2" i="16"/>
  <c r="W1" i="16"/>
  <c r="K32" i="16"/>
  <c r="A5" i="16"/>
  <c r="W3" i="16"/>
  <c r="R2" i="16"/>
  <c r="T4" i="16"/>
  <c r="T6" i="16"/>
  <c r="V22" i="16" s="1"/>
  <c r="U7" i="16"/>
  <c r="I4" i="16"/>
  <c r="X44" i="16"/>
  <c r="BL33" i="17" l="1"/>
  <c r="BM33" i="17"/>
  <c r="BD38" i="17"/>
  <c r="K41" i="17"/>
  <c r="BF7" i="17"/>
  <c r="K37" i="17"/>
  <c r="AO5" i="17"/>
  <c r="AO2" i="17" s="1"/>
  <c r="B40" i="17"/>
  <c r="K38" i="16"/>
  <c r="K37" i="16"/>
  <c r="X3" i="16"/>
  <c r="X1" i="16"/>
  <c r="X4" i="16"/>
  <c r="Y44" i="16" s="1"/>
  <c r="X2" i="16"/>
  <c r="W13" i="16"/>
  <c r="V19" i="16"/>
  <c r="V28" i="16"/>
  <c r="W10" i="16"/>
  <c r="V23" i="16"/>
  <c r="V10" i="16"/>
  <c r="W9" i="16"/>
  <c r="V14" i="16"/>
  <c r="W19" i="16"/>
  <c r="V13" i="16"/>
  <c r="W24" i="16"/>
  <c r="W28" i="16"/>
  <c r="V24" i="16"/>
  <c r="W23" i="16"/>
  <c r="V21" i="16"/>
  <c r="V18" i="16"/>
  <c r="V29" i="16"/>
  <c r="V8" i="16"/>
  <c r="V20" i="16"/>
  <c r="W30" i="16"/>
  <c r="W26" i="16"/>
  <c r="V25" i="16"/>
  <c r="W27" i="16"/>
  <c r="W22" i="16"/>
  <c r="V9" i="16"/>
  <c r="V26" i="16"/>
  <c r="V11" i="16"/>
  <c r="V16" i="16"/>
  <c r="W12" i="16"/>
  <c r="W15" i="16"/>
  <c r="W11" i="16"/>
  <c r="W29" i="16"/>
  <c r="W21" i="16"/>
  <c r="V27" i="16"/>
  <c r="W20" i="16"/>
  <c r="W17" i="16"/>
  <c r="V30" i="16"/>
  <c r="V12" i="16"/>
  <c r="V15" i="16"/>
  <c r="W7" i="16"/>
  <c r="U4" i="16"/>
  <c r="U5" i="16"/>
  <c r="T5" i="16" s="1"/>
  <c r="O3" i="16" s="1"/>
  <c r="O2" i="16" s="1"/>
  <c r="V7" i="16"/>
  <c r="W18" i="16"/>
  <c r="W14" i="16"/>
  <c r="W25" i="16"/>
  <c r="W16" i="16"/>
  <c r="W8" i="16"/>
  <c r="V17" i="16"/>
  <c r="BI12" i="17" l="1"/>
  <c r="BI15" i="17"/>
  <c r="BI8" i="17"/>
  <c r="BI7" i="17"/>
  <c r="BI14" i="17"/>
  <c r="BD41" i="17"/>
  <c r="U2" i="16"/>
  <c r="U3" i="16"/>
  <c r="U1" i="16"/>
  <c r="H34" i="17"/>
  <c r="H39" i="17" s="1"/>
  <c r="H32" i="17"/>
  <c r="I34" i="17"/>
  <c r="I39" i="17" s="1"/>
  <c r="I32" i="17"/>
  <c r="I33" i="17"/>
  <c r="H33" i="17"/>
  <c r="H36" i="17"/>
  <c r="V5" i="16"/>
  <c r="R3" i="16" s="1"/>
  <c r="P3" i="16" s="1"/>
  <c r="W5" i="16"/>
  <c r="L5" i="16" s="1"/>
  <c r="L6" i="16" s="1"/>
  <c r="BX32" i="17" l="1"/>
  <c r="BG34" i="17"/>
  <c r="H40" i="17"/>
  <c r="I40" i="17"/>
  <c r="A6" i="16"/>
  <c r="Z44" i="16" s="1"/>
  <c r="AG12" i="15"/>
  <c r="BU24" i="17" l="1"/>
  <c r="BU19" i="17"/>
  <c r="BU15" i="17"/>
  <c r="BU11" i="17"/>
  <c r="BU14" i="17"/>
  <c r="BU27" i="17"/>
  <c r="BU12" i="17"/>
  <c r="BU7" i="17"/>
  <c r="BU17" i="17"/>
  <c r="BU30" i="17"/>
  <c r="BU29" i="17"/>
  <c r="BU10" i="17"/>
  <c r="BU25" i="17"/>
  <c r="BU16" i="17"/>
  <c r="BU21" i="17"/>
  <c r="BU13" i="17"/>
  <c r="BU18" i="17"/>
  <c r="BU28" i="17"/>
  <c r="BU20" i="17"/>
  <c r="BU23" i="17"/>
  <c r="BU22" i="17"/>
  <c r="BU8" i="17"/>
  <c r="BU26" i="17"/>
  <c r="BU9" i="17"/>
  <c r="H38" i="17"/>
  <c r="H37" i="17" s="1"/>
  <c r="I38" i="17"/>
  <c r="H6" i="17"/>
  <c r="I6" i="17"/>
  <c r="AQ32" i="17"/>
  <c r="AQ33" i="17"/>
  <c r="BA14" i="17" l="1"/>
  <c r="AE9" i="17"/>
  <c r="BB9" i="17"/>
  <c r="BA15" i="17"/>
  <c r="BB7" i="17"/>
  <c r="BA11" i="17"/>
  <c r="BB14" i="17"/>
  <c r="BB15" i="17"/>
  <c r="BA7" i="17"/>
  <c r="BB12" i="17"/>
  <c r="BB13" i="17"/>
  <c r="AE11" i="17"/>
  <c r="AE15" i="17"/>
  <c r="BA12" i="17"/>
  <c r="BB8" i="17"/>
  <c r="BA13" i="17"/>
  <c r="BA9" i="17"/>
  <c r="AE8" i="17"/>
  <c r="AE14" i="17"/>
  <c r="AE7" i="17"/>
  <c r="BB11" i="17"/>
  <c r="AE12" i="17"/>
  <c r="AE13" i="17"/>
  <c r="BA8" i="17"/>
  <c r="BW11" i="17"/>
  <c r="I37" i="17"/>
  <c r="BK15" i="17"/>
  <c r="BY15" i="17" s="1"/>
  <c r="BK27" i="17"/>
  <c r="BK17" i="17"/>
  <c r="BK7" i="17"/>
  <c r="BK25" i="17"/>
  <c r="BK23" i="17"/>
  <c r="BK28" i="17"/>
  <c r="BK24" i="17"/>
  <c r="BK9" i="17"/>
  <c r="BK16" i="17"/>
  <c r="BK19" i="17"/>
  <c r="BK22" i="17"/>
  <c r="BK29" i="17"/>
  <c r="BK13" i="17"/>
  <c r="BK14" i="17"/>
  <c r="BY14" i="17" s="1"/>
  <c r="BK26" i="17"/>
  <c r="BK20" i="17"/>
  <c r="BK8" i="17"/>
  <c r="BK18" i="17"/>
  <c r="BK30" i="17"/>
  <c r="BK12" i="17"/>
  <c r="BK10" i="17"/>
  <c r="BK21" i="17"/>
  <c r="BK11" i="17"/>
  <c r="I41" i="17"/>
  <c r="H41" i="17"/>
  <c r="X40" i="17"/>
  <c r="X39" i="17"/>
  <c r="AR39" i="17"/>
  <c r="BH33" i="17" l="1"/>
  <c r="BY8" i="17"/>
  <c r="BY9" i="17"/>
  <c r="BY11" i="17"/>
  <c r="I4" i="17"/>
  <c r="BY32" i="17" l="1"/>
  <c r="AP11" i="17"/>
  <c r="BG11" i="17" s="1"/>
  <c r="AP9" i="17"/>
  <c r="BG9" i="17" s="1"/>
  <c r="AP8" i="17"/>
  <c r="BG8" i="17" s="1"/>
  <c r="AP13" i="17"/>
  <c r="BG13" i="17" s="1"/>
  <c r="BF13" i="17" l="1"/>
  <c r="BF11" i="17"/>
  <c r="BF9" i="17"/>
  <c r="BI9" i="17" s="1"/>
  <c r="AP32" i="17"/>
  <c r="AH11" i="17" s="1"/>
  <c r="BA34" i="17"/>
  <c r="BA32" i="17"/>
  <c r="BB32" i="17"/>
  <c r="BB33" i="17"/>
  <c r="BB34" i="17"/>
  <c r="BA33" i="17"/>
  <c r="AP34" i="17"/>
  <c r="AP33" i="17"/>
  <c r="BI11" i="17" l="1"/>
  <c r="BI13" i="17"/>
  <c r="AH13" i="17"/>
  <c r="BF33" i="17"/>
  <c r="BF34" i="17" s="1"/>
  <c r="BF35" i="17" s="1"/>
  <c r="AH14" i="17"/>
  <c r="AH15" i="17"/>
  <c r="AH8" i="17"/>
  <c r="BE33" i="17" l="1"/>
  <c r="BE34" i="17" s="1"/>
  <c r="BE35" i="17" s="1"/>
  <c r="BE38" i="17" s="1"/>
  <c r="AJ40" i="17"/>
  <c r="AQ5" i="17" s="1"/>
  <c r="AQ2" i="17" s="1"/>
  <c r="BC4" i="17" l="1"/>
  <c r="AD3" i="17"/>
  <c r="AO44" i="17" s="1"/>
  <c r="AN44" i="17"/>
  <c r="AL39" i="17" l="1"/>
  <c r="AI44" i="17" l="1"/>
  <c r="AU4" i="17"/>
  <c r="AV4" i="17"/>
  <c r="AW44" i="17" l="1"/>
  <c r="BG33" i="17" l="1"/>
  <c r="BE36" i="17" l="1"/>
  <c r="BE37" i="17" s="1"/>
  <c r="BD12" i="17" l="1"/>
  <c r="BD15" i="17"/>
  <c r="BD14" i="17"/>
  <c r="BD13" i="17"/>
  <c r="BV61" i="15" l="1"/>
  <c r="X38" i="17"/>
  <c r="X32" i="17"/>
  <c r="AS31" i="15" l="1"/>
  <c r="AR29" i="15" s="1"/>
  <c r="AO31" i="15"/>
  <c r="AN29" i="15" s="1"/>
  <c r="BS31" i="15" l="1"/>
  <c r="BS44" i="15" s="1"/>
  <c r="BT31" i="15"/>
  <c r="BV31" i="15" l="1"/>
  <c r="BS43" i="15"/>
  <c r="BS34" i="15"/>
  <c r="BS39" i="15"/>
  <c r="BS37" i="15"/>
  <c r="BS47" i="15"/>
  <c r="BS42" i="15"/>
  <c r="BS33" i="15"/>
  <c r="BS41" i="15"/>
  <c r="BS40" i="15"/>
  <c r="BS45" i="15"/>
  <c r="BS35" i="15"/>
  <c r="BS38" i="15"/>
  <c r="BS36" i="15"/>
  <c r="BS46" i="15"/>
  <c r="BT39" i="15" l="1"/>
  <c r="BT34" i="15"/>
  <c r="BT40" i="15"/>
  <c r="BT47" i="15"/>
  <c r="BT37" i="15"/>
  <c r="BT35" i="15"/>
  <c r="BT45" i="15"/>
  <c r="BS49" i="15"/>
  <c r="BS48" i="15"/>
  <c r="BN44" i="15" s="1"/>
  <c r="BU44" i="15" s="1"/>
  <c r="AQ30" i="15" s="1"/>
  <c r="AS30" i="15" s="1"/>
  <c r="BT33" i="15"/>
  <c r="BR49" i="15"/>
  <c r="BT36" i="15"/>
  <c r="BT38" i="15"/>
  <c r="BT41" i="15"/>
  <c r="BT43" i="15"/>
  <c r="BT44" i="15"/>
  <c r="BT46" i="15"/>
  <c r="BT42" i="15"/>
  <c r="BN47" i="15" l="1"/>
  <c r="BU47" i="15" s="1"/>
  <c r="BK30" i="15" s="1"/>
  <c r="BM30" i="15" s="1"/>
  <c r="BN36" i="15"/>
  <c r="BU36" i="15" s="1"/>
  <c r="S30" i="15" s="1"/>
  <c r="U30" i="15" s="1"/>
  <c r="BN34" i="15"/>
  <c r="BU34" i="15" s="1"/>
  <c r="K30" i="15" s="1"/>
  <c r="M30" i="15" s="1"/>
  <c r="BN33" i="15"/>
  <c r="BN35" i="15"/>
  <c r="BU35" i="15" s="1"/>
  <c r="O30" i="15" s="1"/>
  <c r="Q30" i="15" s="1"/>
  <c r="AS4" i="15"/>
  <c r="AS8" i="15"/>
  <c r="AS9" i="15"/>
  <c r="AS5" i="15"/>
  <c r="AS7" i="15"/>
  <c r="AS6" i="15"/>
  <c r="BN46" i="15"/>
  <c r="BU46" i="15" s="1"/>
  <c r="BG30" i="15" s="1"/>
  <c r="BI30" i="15" s="1"/>
  <c r="BN45" i="15"/>
  <c r="BU45" i="15" s="1"/>
  <c r="AY30" i="15" s="1"/>
  <c r="BA30" i="15" s="1"/>
  <c r="BN40" i="15"/>
  <c r="BU40" i="15" s="1"/>
  <c r="AE30" i="15" s="1"/>
  <c r="AG30" i="15" s="1"/>
  <c r="BN42" i="15"/>
  <c r="BU42" i="15" s="1"/>
  <c r="AI30" i="15" s="1"/>
  <c r="AK30" i="15" s="1"/>
  <c r="BN37" i="15"/>
  <c r="BU37" i="15" s="1"/>
  <c r="W30" i="15" s="1"/>
  <c r="Y30" i="15" s="1"/>
  <c r="BN41" i="15"/>
  <c r="BU41" i="15" s="1"/>
  <c r="BC30" i="15" s="1"/>
  <c r="BE30" i="15" s="1"/>
  <c r="BN38" i="15"/>
  <c r="BU38" i="15" s="1"/>
  <c r="AU30" i="15" s="1"/>
  <c r="AW30" i="15" s="1"/>
  <c r="BN43" i="15"/>
  <c r="BU43" i="15" s="1"/>
  <c r="AM30" i="15" s="1"/>
  <c r="AO30" i="15" s="1"/>
  <c r="BU49" i="15"/>
  <c r="BT49" i="15" s="1"/>
  <c r="CA32" i="15" s="1"/>
  <c r="BY32" i="15" s="1"/>
  <c r="BS61" i="15" s="1"/>
  <c r="BU31" i="15"/>
  <c r="BT30" i="15" s="1"/>
  <c r="BN39" i="15"/>
  <c r="BU39" i="15" s="1"/>
  <c r="AA30" i="15" s="1"/>
  <c r="AC30" i="15" s="1"/>
  <c r="BE6" i="15" l="1"/>
  <c r="BE9" i="15"/>
  <c r="BE4" i="15"/>
  <c r="BE10" i="15"/>
  <c r="BE5" i="15"/>
  <c r="BE3" i="15"/>
  <c r="BE8" i="15"/>
  <c r="BE7" i="15"/>
  <c r="AW3" i="15"/>
  <c r="AW8" i="15"/>
  <c r="AW10" i="15"/>
  <c r="AW7" i="15"/>
  <c r="AW5" i="15"/>
  <c r="AW4" i="15"/>
  <c r="AW6" i="15"/>
  <c r="AW9" i="15"/>
  <c r="Y17" i="15"/>
  <c r="Y18" i="15"/>
  <c r="Y24" i="15"/>
  <c r="Y23" i="15"/>
  <c r="Y21" i="15"/>
  <c r="Y13" i="15"/>
  <c r="Y22" i="15"/>
  <c r="Y11" i="15"/>
  <c r="Y16" i="15"/>
  <c r="Y14" i="15"/>
  <c r="Y26" i="15"/>
  <c r="Y15" i="15"/>
  <c r="Y25" i="15"/>
  <c r="Y12" i="15"/>
  <c r="Y20" i="15"/>
  <c r="Y19" i="15"/>
  <c r="AC7" i="15"/>
  <c r="AC9" i="15"/>
  <c r="AK17" i="15"/>
  <c r="AK20" i="15"/>
  <c r="AK13" i="15"/>
  <c r="AK16" i="15"/>
  <c r="AK23" i="15"/>
  <c r="AK11" i="15"/>
  <c r="AK26" i="15"/>
  <c r="AK19" i="15"/>
  <c r="AK12" i="15"/>
  <c r="AK15" i="15"/>
  <c r="AK14" i="15"/>
  <c r="AK25" i="15"/>
  <c r="AK21" i="15"/>
  <c r="AK22" i="15"/>
  <c r="AK24" i="15"/>
  <c r="AK18" i="15"/>
  <c r="AG4" i="15"/>
  <c r="AG8" i="15"/>
  <c r="AG7" i="15"/>
  <c r="AG6" i="15"/>
  <c r="AG5" i="15"/>
  <c r="AG10" i="15"/>
  <c r="AG3" i="15"/>
  <c r="AG9" i="15"/>
  <c r="AS29" i="15"/>
  <c r="AT30" i="15" s="1"/>
  <c r="BA7" i="15"/>
  <c r="BA10" i="15"/>
  <c r="BA5" i="15"/>
  <c r="BA3" i="15"/>
  <c r="BA6" i="15"/>
  <c r="BA9" i="15"/>
  <c r="BA4" i="15"/>
  <c r="BA8" i="15"/>
  <c r="Q6" i="15"/>
  <c r="Q9" i="15"/>
  <c r="Q10" i="15"/>
  <c r="Q5" i="15"/>
  <c r="Q4" i="15"/>
  <c r="Q3" i="15"/>
  <c r="Q8" i="15"/>
  <c r="Q7" i="15"/>
  <c r="M4" i="15"/>
  <c r="M5" i="15"/>
  <c r="M3" i="15"/>
  <c r="M8" i="15"/>
  <c r="M7" i="15"/>
  <c r="M9" i="15"/>
  <c r="M10" i="15"/>
  <c r="M6" i="15"/>
  <c r="BI3" i="15"/>
  <c r="BI6" i="15"/>
  <c r="BI4" i="15"/>
  <c r="BI5" i="15"/>
  <c r="BI8" i="15"/>
  <c r="BP51" i="15"/>
  <c r="BP50" i="15"/>
  <c r="BU33" i="15"/>
  <c r="BP49" i="15"/>
  <c r="U17" i="15"/>
  <c r="U21" i="15"/>
  <c r="U18" i="15"/>
  <c r="U16" i="15"/>
  <c r="U25" i="15"/>
  <c r="U20" i="15"/>
  <c r="U23" i="15"/>
  <c r="U26" i="15"/>
  <c r="U15" i="15"/>
  <c r="U14" i="15"/>
  <c r="U13" i="15"/>
  <c r="U19" i="15"/>
  <c r="U22" i="15"/>
  <c r="U12" i="15"/>
  <c r="U11" i="15"/>
  <c r="U24" i="15"/>
  <c r="AO3" i="15"/>
  <c r="AO6" i="15"/>
  <c r="AO8" i="15"/>
  <c r="AO4" i="15"/>
  <c r="AO10" i="15"/>
  <c r="AO9" i="15"/>
  <c r="BM6" i="15"/>
  <c r="BM5" i="15"/>
  <c r="BM7" i="15"/>
  <c r="BM9" i="15"/>
  <c r="BM8" i="15"/>
  <c r="BM4" i="15"/>
  <c r="BP15" i="15" l="1"/>
  <c r="BP16" i="15"/>
  <c r="BP17" i="15"/>
  <c r="BP25" i="15"/>
  <c r="BP24" i="15"/>
  <c r="BP12" i="15"/>
  <c r="BP20" i="15"/>
  <c r="BA29" i="15"/>
  <c r="BB30" i="15" s="1"/>
  <c r="AK29" i="15"/>
  <c r="AL30" i="15" s="1"/>
  <c r="Y29" i="15"/>
  <c r="Z30" i="15" s="1"/>
  <c r="BP13" i="15"/>
  <c r="BP18" i="15"/>
  <c r="BP26" i="15"/>
  <c r="BP23" i="15"/>
  <c r="AC29" i="15"/>
  <c r="AD30" i="15" s="1"/>
  <c r="BP22" i="15"/>
  <c r="BU61" i="15"/>
  <c r="BS52" i="15" s="1"/>
  <c r="M29" i="15"/>
  <c r="N30" i="15" s="1"/>
  <c r="BM29" i="15"/>
  <c r="BN30" i="15" s="1"/>
  <c r="BP19" i="15"/>
  <c r="BE29" i="15"/>
  <c r="BF30" i="15" s="1"/>
  <c r="BP14" i="15"/>
  <c r="BP21" i="15"/>
  <c r="AO29" i="15"/>
  <c r="AP30" i="15" s="1"/>
  <c r="BI29" i="15"/>
  <c r="BJ30" i="15" s="1"/>
  <c r="Q29" i="15"/>
  <c r="R30" i="15" s="1"/>
  <c r="BP11" i="15"/>
  <c r="U29" i="15"/>
  <c r="V30" i="15" s="1"/>
  <c r="BU48" i="15"/>
  <c r="G30" i="15"/>
  <c r="I30" i="15" s="1"/>
  <c r="AG29" i="15"/>
  <c r="AH30" i="15" s="1"/>
  <c r="AW29" i="15"/>
  <c r="AX30" i="15" s="1"/>
  <c r="BS56" i="15" l="1"/>
  <c r="BU53" i="15"/>
  <c r="BU54" i="15" s="1"/>
  <c r="BS55" i="15"/>
  <c r="BL52" i="15"/>
  <c r="BN52" i="15"/>
  <c r="BS53" i="15"/>
  <c r="I6" i="15"/>
  <c r="BP6" i="15" s="1"/>
  <c r="I4" i="15"/>
  <c r="BP4" i="15" s="1"/>
  <c r="I9" i="15"/>
  <c r="BP9" i="15" s="1"/>
  <c r="I10" i="15"/>
  <c r="BP10" i="15" s="1"/>
  <c r="I8" i="15"/>
  <c r="BP8" i="15" s="1"/>
  <c r="I5" i="15"/>
  <c r="BP5" i="15" s="1"/>
  <c r="I7" i="15"/>
  <c r="BP7" i="15" s="1"/>
  <c r="I3" i="15"/>
  <c r="BL56" i="15" l="1"/>
  <c r="BN56" i="15"/>
  <c r="BN55" i="15"/>
  <c r="BL55" i="15"/>
  <c r="I29" i="15"/>
  <c r="J30" i="15" s="1"/>
  <c r="BP3" i="15"/>
  <c r="BL53" i="15"/>
  <c r="BS54" i="15"/>
  <c r="BN53" i="15"/>
  <c r="BU56" i="15" l="1"/>
  <c r="BN54" i="15"/>
  <c r="BU55" i="15"/>
  <c r="BL54" i="15"/>
  <c r="BR29" i="15"/>
  <c r="BP29" i="15"/>
  <c r="BR16" i="15" l="1"/>
  <c r="BR15" i="15"/>
  <c r="BR17" i="15"/>
  <c r="BR12" i="15"/>
  <c r="BR20" i="15"/>
  <c r="BR13" i="15"/>
  <c r="BR18" i="15"/>
  <c r="BR26" i="15"/>
  <c r="BR25" i="15"/>
  <c r="BR24" i="15"/>
  <c r="BR23" i="15"/>
  <c r="BR21" i="15"/>
  <c r="BR19" i="15"/>
  <c r="BR22" i="15"/>
  <c r="BR14" i="15"/>
  <c r="BR11" i="15"/>
  <c r="BR9" i="15"/>
  <c r="BR6" i="15"/>
  <c r="BR10" i="15"/>
  <c r="BR5" i="15"/>
  <c r="BR4" i="15"/>
  <c r="BR8" i="15"/>
  <c r="BR7" i="15"/>
  <c r="BR3" i="15"/>
  <c r="BW33" i="15" l="1"/>
  <c r="BR30" i="15"/>
  <c r="BW35" i="15"/>
  <c r="BW34" i="15"/>
  <c r="BW36" i="15"/>
  <c r="CI3" i="15"/>
  <c r="BW32" i="15"/>
  <c r="BP30" i="15"/>
  <c r="CI8" i="15"/>
  <c r="CI13" i="15"/>
  <c r="CI7" i="15"/>
  <c r="CI22" i="15"/>
  <c r="CI19" i="15"/>
  <c r="CI12" i="15"/>
  <c r="CI23" i="15"/>
  <c r="CI17" i="15"/>
  <c r="CI11" i="15"/>
  <c r="CI14" i="15"/>
  <c r="CI20" i="15"/>
  <c r="CI21" i="15"/>
  <c r="CI10" i="15"/>
  <c r="CI6" i="15"/>
  <c r="CI24" i="15"/>
  <c r="CI15" i="15"/>
  <c r="CI26" i="15"/>
  <c r="CI18" i="15"/>
  <c r="CI4" i="15"/>
  <c r="CI5" i="15"/>
  <c r="CI9" i="15"/>
  <c r="CI25" i="15"/>
  <c r="CI16" i="15"/>
  <c r="BS6" i="15" l="1"/>
  <c r="BT6" i="15" s="1"/>
  <c r="BS3" i="15"/>
  <c r="BT3" i="15" s="1"/>
  <c r="BS4" i="15"/>
  <c r="BT4" i="15" s="1"/>
  <c r="BS16" i="15"/>
  <c r="BT16" i="15" s="1"/>
  <c r="BS18" i="15"/>
  <c r="BT18" i="15" s="1"/>
  <c r="BS25" i="15"/>
  <c r="BT25" i="15" s="1"/>
  <c r="BS20" i="15"/>
  <c r="BT20" i="15" s="1"/>
  <c r="BS9" i="15"/>
  <c r="BT9" i="15" s="1"/>
  <c r="BS24" i="15"/>
  <c r="BT24" i="15" s="1"/>
  <c r="BS22" i="15"/>
  <c r="BT22" i="15" s="1"/>
  <c r="BS7" i="15"/>
  <c r="BT7" i="15" s="1"/>
  <c r="BS26" i="15"/>
  <c r="BT26" i="15" s="1"/>
  <c r="BS17" i="15"/>
  <c r="BT17" i="15" s="1"/>
  <c r="BS10" i="15"/>
  <c r="BT10" i="15" s="1"/>
  <c r="BS5" i="15"/>
  <c r="BT5" i="15" s="1"/>
  <c r="BS15" i="15"/>
  <c r="BT15" i="15" s="1"/>
  <c r="BS21" i="15"/>
  <c r="BT21" i="15" s="1"/>
  <c r="BS23" i="15"/>
  <c r="BT23" i="15" s="1"/>
  <c r="BU4" i="15"/>
  <c r="BU20" i="15"/>
  <c r="BU7" i="15"/>
  <c r="BU24" i="15"/>
  <c r="BU6" i="15"/>
  <c r="BS14" i="15"/>
  <c r="BT14" i="15" s="1"/>
  <c r="BS12" i="15"/>
  <c r="BT12" i="15" s="1"/>
  <c r="BU13" i="15"/>
  <c r="BU16" i="15"/>
  <c r="CI30" i="15"/>
  <c r="CI29" i="15"/>
  <c r="BU3" i="15"/>
  <c r="CI36" i="15"/>
  <c r="BU25" i="15"/>
  <c r="BU18" i="15"/>
  <c r="BU14" i="15"/>
  <c r="BU12" i="15"/>
  <c r="BS13" i="15"/>
  <c r="BT13" i="15" s="1"/>
  <c r="BU9" i="15"/>
  <c r="BU26" i="15"/>
  <c r="BU10" i="15"/>
  <c r="BS11" i="15"/>
  <c r="BT11" i="15" s="1"/>
  <c r="BS19" i="15"/>
  <c r="BT19" i="15" s="1"/>
  <c r="BS8" i="15"/>
  <c r="BT8" i="15" s="1"/>
  <c r="BU23" i="15"/>
  <c r="BU11" i="15"/>
  <c r="BU19" i="15"/>
  <c r="BU8" i="15"/>
  <c r="BU5" i="15"/>
  <c r="BU15" i="15"/>
  <c r="BU21" i="15"/>
  <c r="BU17" i="15"/>
  <c r="BU22" i="15"/>
  <c r="CD7" i="15" l="1"/>
  <c r="CD3" i="15"/>
  <c r="CD26" i="15"/>
  <c r="CD16" i="15"/>
  <c r="CC16" i="15"/>
  <c r="CC6" i="15"/>
  <c r="CD18" i="15"/>
  <c r="CC3" i="15"/>
  <c r="CD23" i="15"/>
  <c r="CD22" i="15"/>
  <c r="CC23" i="15"/>
  <c r="CD17" i="15"/>
  <c r="CC22" i="15"/>
  <c r="CC25" i="15"/>
  <c r="CC18" i="15"/>
  <c r="CC4" i="15"/>
  <c r="CD6" i="15"/>
  <c r="CC17" i="15"/>
  <c r="CD4" i="15"/>
  <c r="CC7" i="15"/>
  <c r="CC20" i="15"/>
  <c r="CC26" i="15"/>
  <c r="CD20" i="15"/>
  <c r="CD5" i="15"/>
  <c r="CD25" i="15"/>
  <c r="CC5" i="15"/>
  <c r="CC10" i="15"/>
  <c r="CD10" i="15"/>
  <c r="CI34" i="15"/>
  <c r="CD24" i="15"/>
  <c r="CC9" i="15"/>
  <c r="CD21" i="15"/>
  <c r="CD15" i="15"/>
  <c r="CD9" i="15"/>
  <c r="CG16" i="15"/>
  <c r="CC24" i="15"/>
  <c r="CG20" i="15"/>
  <c r="CD12" i="15"/>
  <c r="CC21" i="15"/>
  <c r="CC12" i="15"/>
  <c r="CD13" i="15"/>
  <c r="CG24" i="15"/>
  <c r="CG26" i="15"/>
  <c r="CG10" i="15"/>
  <c r="BZ10" i="15" s="1"/>
  <c r="CG9" i="15"/>
  <c r="BZ9" i="15" s="1"/>
  <c r="CG8" i="15"/>
  <c r="BZ8" i="15" s="1"/>
  <c r="CG6" i="15"/>
  <c r="BZ6" i="15" s="1"/>
  <c r="CC15" i="15"/>
  <c r="CG4" i="15"/>
  <c r="BZ4" i="15" s="1"/>
  <c r="CD14" i="15"/>
  <c r="CG25" i="15"/>
  <c r="CG7" i="15"/>
  <c r="BZ7" i="15" s="1"/>
  <c r="CC8" i="15"/>
  <c r="CG5" i="15"/>
  <c r="CD11" i="15"/>
  <c r="CD19" i="15"/>
  <c r="CG12" i="15"/>
  <c r="CC19" i="15"/>
  <c r="CG22" i="15"/>
  <c r="CI31" i="15"/>
  <c r="CI39" i="15"/>
  <c r="CG14" i="15"/>
  <c r="CC13" i="15"/>
  <c r="CG17" i="15"/>
  <c r="CG19" i="15"/>
  <c r="CG13" i="15"/>
  <c r="CG23" i="15"/>
  <c r="CG21" i="15"/>
  <c r="CG11" i="15"/>
  <c r="CD8" i="15"/>
  <c r="CC11" i="15"/>
  <c r="CG15" i="15"/>
  <c r="CG18" i="15"/>
  <c r="CC14" i="15"/>
  <c r="CG3" i="15"/>
  <c r="CY15" i="15" l="1"/>
  <c r="CY22" i="15"/>
  <c r="CY13" i="15"/>
  <c r="CX23" i="15"/>
  <c r="CY12" i="15"/>
  <c r="CX5" i="15"/>
  <c r="BV5" i="15" s="1"/>
  <c r="CX20" i="15"/>
  <c r="BZ22" i="15"/>
  <c r="CX13" i="15"/>
  <c r="CY19" i="15"/>
  <c r="CX22" i="15"/>
  <c r="CX18" i="15"/>
  <c r="CY9" i="15"/>
  <c r="BW9" i="15" s="1"/>
  <c r="BZ5" i="15"/>
  <c r="CY17" i="15"/>
  <c r="BZ3" i="15"/>
  <c r="CG29" i="15"/>
  <c r="CG30" i="15"/>
  <c r="CG36" i="15"/>
  <c r="BZ11" i="15"/>
  <c r="CY6" i="15"/>
  <c r="BW6" i="15" s="1"/>
  <c r="BZ14" i="15"/>
  <c r="CX6" i="15"/>
  <c r="CX10" i="15"/>
  <c r="BZ20" i="15"/>
  <c r="CY3" i="15"/>
  <c r="CY23" i="15"/>
  <c r="CY8" i="15"/>
  <c r="BW8" i="15" s="1"/>
  <c r="CX9" i="15"/>
  <c r="CX3" i="15"/>
  <c r="BZ13" i="15"/>
  <c r="CX19" i="15"/>
  <c r="CX24" i="15"/>
  <c r="CX12" i="15"/>
  <c r="BZ25" i="15"/>
  <c r="CY5" i="15"/>
  <c r="BW5" i="15" s="1"/>
  <c r="CY21" i="15"/>
  <c r="BZ26" i="15"/>
  <c r="CY18" i="15"/>
  <c r="CX14" i="15"/>
  <c r="BZ19" i="15"/>
  <c r="CI32" i="15"/>
  <c r="CI33" i="15"/>
  <c r="CX26" i="15"/>
  <c r="CX8" i="15"/>
  <c r="CY7" i="15"/>
  <c r="BW7" i="15" s="1"/>
  <c r="BZ24" i="15"/>
  <c r="CY11" i="15"/>
  <c r="BZ21" i="15"/>
  <c r="BZ23" i="15"/>
  <c r="CX21" i="15"/>
  <c r="CX4" i="15"/>
  <c r="CY25" i="15"/>
  <c r="BZ12" i="15"/>
  <c r="CX15" i="15"/>
  <c r="CX16" i="15"/>
  <c r="BZ16" i="15"/>
  <c r="CY4" i="15"/>
  <c r="BW4" i="15" s="1"/>
  <c r="CY10" i="15"/>
  <c r="BW10" i="15" s="1"/>
  <c r="BZ15" i="15"/>
  <c r="CX17" i="15"/>
  <c r="CX11" i="15"/>
  <c r="BZ18" i="15"/>
  <c r="CY26" i="15"/>
  <c r="CX25" i="15"/>
  <c r="BZ17" i="15"/>
  <c r="CY20" i="15"/>
  <c r="CY24" i="15"/>
  <c r="CY16" i="15"/>
  <c r="CX7" i="15"/>
  <c r="CY14" i="15"/>
  <c r="DE23" i="15" l="1"/>
  <c r="DE13" i="15"/>
  <c r="DE22" i="15"/>
  <c r="CG34" i="15"/>
  <c r="BV20" i="15"/>
  <c r="BW11" i="15"/>
  <c r="BW22" i="15"/>
  <c r="BW24" i="15"/>
  <c r="BV18" i="15"/>
  <c r="BW15" i="15"/>
  <c r="BW12" i="15"/>
  <c r="BV4" i="15"/>
  <c r="DE4" i="15"/>
  <c r="BV22" i="15"/>
  <c r="BW23" i="15"/>
  <c r="DE5" i="15"/>
  <c r="BV12" i="15"/>
  <c r="DE12" i="15"/>
  <c r="CY30" i="15"/>
  <c r="CY36" i="15"/>
  <c r="CY29" i="15"/>
  <c r="BW3" i="15"/>
  <c r="BW17" i="15"/>
  <c r="BV9" i="15"/>
  <c r="DE9" i="15"/>
  <c r="BW25" i="15"/>
  <c r="BV25" i="15"/>
  <c r="DE25" i="15"/>
  <c r="BV21" i="15"/>
  <c r="DE21" i="15"/>
  <c r="BW26" i="15"/>
  <c r="BV23" i="15"/>
  <c r="BV14" i="15"/>
  <c r="DE14" i="15"/>
  <c r="BV24" i="15"/>
  <c r="DE24" i="15"/>
  <c r="BW19" i="15"/>
  <c r="BW20" i="15"/>
  <c r="BW14" i="15"/>
  <c r="BW18" i="15"/>
  <c r="BV19" i="15"/>
  <c r="DE19" i="15"/>
  <c r="CG31" i="15"/>
  <c r="CG39" i="15"/>
  <c r="DE18" i="15"/>
  <c r="BV10" i="15"/>
  <c r="DE10" i="15"/>
  <c r="BV26" i="15"/>
  <c r="DE26" i="15"/>
  <c r="BV7" i="15"/>
  <c r="DE7" i="15"/>
  <c r="BV11" i="15"/>
  <c r="DE11" i="15"/>
  <c r="BV16" i="15"/>
  <c r="DE16" i="15"/>
  <c r="BW16" i="15"/>
  <c r="BV17" i="15"/>
  <c r="DE17" i="15"/>
  <c r="BV15" i="15"/>
  <c r="DE15" i="15"/>
  <c r="BV13" i="15"/>
  <c r="BV8" i="15"/>
  <c r="DE8" i="15"/>
  <c r="BW21" i="15"/>
  <c r="CX29" i="15"/>
  <c r="CX36" i="15"/>
  <c r="CD37" i="15" s="1"/>
  <c r="CX30" i="15"/>
  <c r="BV3" i="15"/>
  <c r="DE3" i="15"/>
  <c r="BV6" i="15"/>
  <c r="DE6" i="15"/>
  <c r="DE20" i="15"/>
  <c r="BW13" i="15"/>
  <c r="CX34" i="15" l="1"/>
  <c r="CE9" i="15"/>
  <c r="CE10" i="15"/>
  <c r="CE14" i="15"/>
  <c r="CE19" i="15"/>
  <c r="CE26" i="15"/>
  <c r="CE23" i="15"/>
  <c r="CE18" i="15"/>
  <c r="CE22" i="15"/>
  <c r="CE3" i="15"/>
  <c r="CE4" i="15"/>
  <c r="CY31" i="15"/>
  <c r="CE17" i="15"/>
  <c r="CE6" i="15"/>
  <c r="CE12" i="15"/>
  <c r="CE15" i="15"/>
  <c r="CE11" i="15"/>
  <c r="CE25" i="15"/>
  <c r="CE8" i="15"/>
  <c r="CE5" i="15"/>
  <c r="CE21" i="15"/>
  <c r="CE24" i="15"/>
  <c r="CE16" i="15"/>
  <c r="CE7" i="15"/>
  <c r="CE13" i="15"/>
  <c r="CY39" i="15"/>
  <c r="CE20" i="15"/>
  <c r="CG33" i="15"/>
  <c r="CG32" i="15"/>
  <c r="CY34" i="15"/>
  <c r="CX39" i="15"/>
  <c r="CX31" i="15"/>
  <c r="CF19" i="15" l="1"/>
  <c r="DF19" i="15" s="1"/>
  <c r="CF17" i="15"/>
  <c r="DB17" i="15" s="1"/>
  <c r="CF21" i="15"/>
  <c r="DF21" i="15" s="1"/>
  <c r="CF5" i="15"/>
  <c r="CY32" i="15"/>
  <c r="CY33" i="15"/>
  <c r="CF14" i="15"/>
  <c r="CF20" i="15"/>
  <c r="CF8" i="15"/>
  <c r="CF4" i="15"/>
  <c r="CF10" i="15"/>
  <c r="CF13" i="15"/>
  <c r="CF11" i="15"/>
  <c r="CF22" i="15"/>
  <c r="CF25" i="15"/>
  <c r="CF7" i="15"/>
  <c r="CF15" i="15"/>
  <c r="CF18" i="15"/>
  <c r="CF3" i="15"/>
  <c r="CF16" i="15"/>
  <c r="CF12" i="15"/>
  <c r="CF23" i="15"/>
  <c r="CF9" i="15"/>
  <c r="CX32" i="15"/>
  <c r="CX33" i="15"/>
  <c r="CF24" i="15"/>
  <c r="CF6" i="15"/>
  <c r="CF26" i="15"/>
  <c r="DC21" i="15" l="1"/>
  <c r="DC19" i="15"/>
  <c r="DB19" i="15"/>
  <c r="DC17" i="15"/>
  <c r="DF17" i="15"/>
  <c r="BX19" i="15"/>
  <c r="DB21" i="15"/>
  <c r="BX9" i="15"/>
  <c r="DB9" i="15"/>
  <c r="DC9" i="15"/>
  <c r="DF9" i="15"/>
  <c r="DC18" i="15"/>
  <c r="BX18" i="15"/>
  <c r="DB18" i="15"/>
  <c r="DF18" i="15"/>
  <c r="DB14" i="15"/>
  <c r="DC14" i="15"/>
  <c r="BX14" i="15"/>
  <c r="DF14" i="15"/>
  <c r="BX23" i="15"/>
  <c r="DB23" i="15"/>
  <c r="DC23" i="15"/>
  <c r="DF23" i="15"/>
  <c r="DB15" i="15"/>
  <c r="DC15" i="15"/>
  <c r="BX15" i="15"/>
  <c r="DF15" i="15"/>
  <c r="DB7" i="15"/>
  <c r="BX7" i="15"/>
  <c r="DC7" i="15"/>
  <c r="DF7" i="15"/>
  <c r="DC16" i="15"/>
  <c r="BX16" i="15"/>
  <c r="DB16" i="15"/>
  <c r="DF16" i="15"/>
  <c r="BX4" i="15"/>
  <c r="DC4" i="15"/>
  <c r="DB4" i="15"/>
  <c r="DF4" i="15"/>
  <c r="BX5" i="15"/>
  <c r="DC5" i="15"/>
  <c r="DB5" i="15"/>
  <c r="DF5" i="15"/>
  <c r="BX6" i="15"/>
  <c r="DC6" i="15"/>
  <c r="DB6" i="15"/>
  <c r="DF6" i="15"/>
  <c r="BX3" i="15"/>
  <c r="DB3" i="15"/>
  <c r="DC3" i="15"/>
  <c r="CF36" i="15"/>
  <c r="CE36" i="15" s="1"/>
  <c r="CF30" i="15"/>
  <c r="CF29" i="15"/>
  <c r="DF3" i="15"/>
  <c r="BX22" i="15"/>
  <c r="DB22" i="15"/>
  <c r="DC22" i="15"/>
  <c r="DF22" i="15"/>
  <c r="DC8" i="15"/>
  <c r="DB8" i="15"/>
  <c r="BX8" i="15"/>
  <c r="DF8" i="15"/>
  <c r="DC12" i="15"/>
  <c r="BX12" i="15"/>
  <c r="DB12" i="15"/>
  <c r="DF12" i="15"/>
  <c r="DC25" i="15"/>
  <c r="BX25" i="15"/>
  <c r="DB25" i="15"/>
  <c r="DF25" i="15"/>
  <c r="DC24" i="15"/>
  <c r="DB24" i="15"/>
  <c r="BX24" i="15"/>
  <c r="DF24" i="15"/>
  <c r="BX21" i="15"/>
  <c r="DC11" i="15"/>
  <c r="DB11" i="15"/>
  <c r="BX11" i="15"/>
  <c r="DF11" i="15"/>
  <c r="DC20" i="15"/>
  <c r="BX20" i="15"/>
  <c r="DB20" i="15"/>
  <c r="DF20" i="15"/>
  <c r="BX17" i="15"/>
  <c r="DB10" i="15"/>
  <c r="BX10" i="15"/>
  <c r="DC10" i="15"/>
  <c r="DF10" i="15"/>
  <c r="BX26" i="15"/>
  <c r="DB26" i="15"/>
  <c r="DC26" i="15"/>
  <c r="DF26" i="15"/>
  <c r="DC13" i="15"/>
  <c r="BX13" i="15"/>
  <c r="DB13" i="15"/>
  <c r="DF13" i="15"/>
  <c r="DD11" i="15" l="1"/>
  <c r="CF34" i="15"/>
  <c r="CE30" i="15"/>
  <c r="DD6" i="15"/>
  <c r="DD25" i="15"/>
  <c r="DD18" i="15"/>
  <c r="DC30" i="15"/>
  <c r="DC36" i="15"/>
  <c r="DC29" i="15"/>
  <c r="DD3" i="15"/>
  <c r="CE29" i="15"/>
  <c r="CF39" i="15"/>
  <c r="CF31" i="15"/>
  <c r="DD8" i="15"/>
  <c r="DD20" i="15"/>
  <c r="DD22" i="15"/>
  <c r="DB30" i="15"/>
  <c r="DB29" i="15"/>
  <c r="DB36" i="15"/>
  <c r="DD5" i="15"/>
  <c r="DD15" i="15"/>
  <c r="DD14" i="15"/>
  <c r="DD9" i="15"/>
  <c r="DD4" i="15"/>
  <c r="DD26" i="15"/>
  <c r="DD16" i="15"/>
  <c r="DD10" i="15"/>
  <c r="DD17" i="15"/>
  <c r="DD19" i="15"/>
  <c r="DD24" i="15"/>
  <c r="DD12" i="15"/>
  <c r="DD13" i="15"/>
  <c r="DF30" i="15"/>
  <c r="DF36" i="15"/>
  <c r="DF29" i="15"/>
  <c r="DD7" i="15"/>
  <c r="DD23" i="15"/>
  <c r="DD21" i="15"/>
  <c r="DC34" i="15" l="1"/>
  <c r="DC35" i="15" s="1"/>
  <c r="DF31" i="15"/>
  <c r="DF39" i="15"/>
  <c r="DB39" i="15"/>
  <c r="DB31" i="15"/>
  <c r="DD30" i="15"/>
  <c r="DD29" i="15"/>
  <c r="DD36" i="15"/>
  <c r="CE31" i="15"/>
  <c r="CF32" i="15"/>
  <c r="CE32" i="15" s="1"/>
  <c r="CF33" i="15"/>
  <c r="CE33" i="15" s="1"/>
  <c r="DF34" i="15"/>
  <c r="DF35" i="15" s="1"/>
  <c r="DB34" i="15"/>
  <c r="DB35" i="15" s="1"/>
  <c r="DC31" i="15"/>
  <c r="DC39" i="15"/>
  <c r="CO35" i="15"/>
  <c r="CO38" i="15" s="1"/>
  <c r="CZ35" i="15"/>
  <c r="CZ38" i="15" s="1"/>
  <c r="CS35" i="15"/>
  <c r="CS38" i="15" s="1"/>
  <c r="CN35" i="15"/>
  <c r="CN38" i="15" s="1"/>
  <c r="CE34" i="15"/>
  <c r="CR35" i="15"/>
  <c r="CR38" i="15" s="1"/>
  <c r="CK35" i="15"/>
  <c r="CK38" i="15" s="1"/>
  <c r="CL35" i="15"/>
  <c r="CL38" i="15" s="1"/>
  <c r="CH35" i="15"/>
  <c r="CH38" i="15" s="1"/>
  <c r="CM35" i="15"/>
  <c r="CM38" i="15" s="1"/>
  <c r="CV35" i="15"/>
  <c r="CV38" i="15" s="1"/>
  <c r="CQ35" i="15"/>
  <c r="CQ38" i="15" s="1"/>
  <c r="DA35" i="15"/>
  <c r="DA38" i="15" s="1"/>
  <c r="CU35" i="15"/>
  <c r="CU38" i="15" s="1"/>
  <c r="CF35" i="15"/>
  <c r="CT35" i="15"/>
  <c r="CT38" i="15" s="1"/>
  <c r="CP35" i="15"/>
  <c r="CP38" i="15" s="1"/>
  <c r="CJ35" i="15"/>
  <c r="CJ38" i="15" s="1"/>
  <c r="CW35" i="15"/>
  <c r="CW38" i="15" s="1"/>
  <c r="CI35" i="15"/>
  <c r="CI38" i="15" s="1"/>
  <c r="CG35" i="15"/>
  <c r="CG38" i="15" s="1"/>
  <c r="CX35" i="15"/>
  <c r="CX38" i="15" s="1"/>
  <c r="CY35" i="15"/>
  <c r="CY38" i="15" s="1"/>
  <c r="DF38" i="15" l="1"/>
  <c r="DD34" i="15"/>
  <c r="DD35" i="15" s="1"/>
  <c r="CB32" i="15"/>
  <c r="DB33" i="15"/>
  <c r="DB32" i="15"/>
  <c r="DF32" i="15"/>
  <c r="DF33" i="15"/>
  <c r="CF38" i="15"/>
  <c r="CE35" i="15"/>
  <c r="CD35" i="15" s="1"/>
  <c r="DC32" i="15"/>
  <c r="DC33" i="15"/>
  <c r="CB34" i="15" a="1"/>
  <c r="CB34" i="15" s="1"/>
  <c r="DB38" i="15"/>
  <c r="DD31" i="15"/>
  <c r="CC32" i="15" s="1" a="1"/>
  <c r="CC32" i="15" s="1"/>
  <c r="DD39" i="15"/>
  <c r="CE39" i="15" s="1" a="1"/>
  <c r="CE39" i="15" s="1"/>
  <c r="CC39" i="15" s="1"/>
  <c r="DC38" i="15"/>
  <c r="CC33" i="15" l="1" a="1"/>
  <c r="CC33" i="15" s="1"/>
  <c r="BY33" i="15" s="1"/>
  <c r="BZ33" i="15" s="1"/>
  <c r="BZ34" i="15"/>
  <c r="BY34" i="15"/>
  <c r="BZ35" i="15"/>
  <c r="BY35" i="15"/>
  <c r="DD38" i="15"/>
  <c r="CE38" i="15" s="1" a="1"/>
  <c r="CE38" i="15" s="1"/>
  <c r="DD33" i="15"/>
  <c r="DD32" i="15"/>
  <c r="CC38" i="15" l="1"/>
  <c r="CD36" i="15"/>
  <c r="BY36" i="15" l="1"/>
  <c r="BZ36" i="15"/>
  <c r="AK38" i="17" l="1" a="1"/>
  <c r="AK38" i="17" s="1"/>
  <c r="AK37" i="17"/>
  <c r="AK36" i="17" s="1"/>
  <c r="AM5" i="17"/>
  <c r="AM2" i="17" s="1"/>
  <c r="BH21" i="17"/>
  <c r="BW21" i="17" s="1"/>
  <c r="BH11" i="17" l="1"/>
  <c r="BH16" i="17"/>
  <c r="BW16" i="17" s="1"/>
  <c r="BH22" i="17"/>
  <c r="BW22" i="17" s="1"/>
  <c r="BH13" i="17"/>
  <c r="BW13" i="17" s="1"/>
  <c r="BH27" i="17"/>
  <c r="BW27" i="17" s="1"/>
  <c r="BH18" i="17"/>
  <c r="BW18" i="17" s="1"/>
  <c r="BH9" i="17"/>
  <c r="BW9" i="17" s="1"/>
  <c r="BH23" i="17"/>
  <c r="BW23" i="17" s="1"/>
  <c r="BH14" i="17"/>
  <c r="BW14" i="17" s="1"/>
  <c r="BH28" i="17"/>
  <c r="BW28" i="17" s="1"/>
  <c r="BH19" i="17"/>
  <c r="BW19" i="17" s="1"/>
  <c r="BH10" i="17"/>
  <c r="BW10" i="17" s="1"/>
  <c r="BH17" i="17"/>
  <c r="BW17" i="17" s="1"/>
  <c r="BH29" i="17"/>
  <c r="BW29" i="17" s="1"/>
  <c r="BH25" i="17"/>
  <c r="BW25" i="17" s="1"/>
  <c r="BH24" i="17"/>
  <c r="BW24" i="17" s="1"/>
  <c r="BH12" i="17"/>
  <c r="BW12" i="17" s="1"/>
  <c r="BH8" i="17"/>
  <c r="BW8" i="17" s="1"/>
  <c r="BH20" i="17"/>
  <c r="BW20" i="17" s="1"/>
  <c r="BH30" i="17"/>
  <c r="BW30" i="17" s="1"/>
  <c r="BH26" i="17"/>
  <c r="BW26" i="17" s="1"/>
  <c r="BH15" i="17"/>
  <c r="BW15" i="17" s="1"/>
  <c r="BH7" i="17" l="1"/>
  <c r="BW7" i="17" s="1"/>
  <c r="BI32" i="17"/>
  <c r="AH44" i="17" s="1"/>
  <c r="BW32" i="17" l="1"/>
  <c r="BI33" i="17"/>
  <c r="BR9" i="17" l="1"/>
  <c r="BS9" i="17" s="1"/>
  <c r="BR21" i="17"/>
  <c r="BS21" i="17" s="1"/>
  <c r="BR25" i="17"/>
  <c r="BS25" i="17" s="1"/>
  <c r="BR13" i="17"/>
  <c r="BS13" i="17" s="1"/>
  <c r="BR17" i="17"/>
  <c r="BS17" i="17" s="1"/>
  <c r="BR27" i="17"/>
  <c r="BS27" i="17" s="1"/>
  <c r="BR16" i="17"/>
  <c r="BS16" i="17" s="1"/>
  <c r="BR22" i="17"/>
  <c r="BS22" i="17" s="1"/>
  <c r="BR26" i="17"/>
  <c r="BS26" i="17" s="1"/>
  <c r="BR28" i="17"/>
  <c r="BS28" i="17" s="1"/>
  <c r="BR14" i="17"/>
  <c r="BS14" i="17" s="1"/>
  <c r="BR12" i="17"/>
  <c r="BS12" i="17" s="1"/>
  <c r="BR18" i="17"/>
  <c r="BS18" i="17" s="1"/>
  <c r="BR8" i="17"/>
  <c r="BS8" i="17" s="1"/>
  <c r="BR10" i="17"/>
  <c r="BS10" i="17" s="1"/>
  <c r="BR30" i="17"/>
  <c r="BS30" i="17" s="1"/>
  <c r="BR24" i="17"/>
  <c r="BS24" i="17" s="1"/>
  <c r="BR23" i="17"/>
  <c r="BS23" i="17" s="1"/>
  <c r="BR11" i="17"/>
  <c r="BS11" i="17" s="1"/>
  <c r="BR29" i="17"/>
  <c r="BS29" i="17" s="1"/>
  <c r="BR20" i="17"/>
  <c r="BS20" i="17" s="1"/>
  <c r="BR15" i="17"/>
  <c r="BS15" i="17" s="1"/>
  <c r="BR7" i="17"/>
  <c r="BR19" i="17"/>
  <c r="BS19" i="17" s="1"/>
  <c r="BS7" i="17" l="1"/>
  <c r="BF38" i="17" s="1"/>
  <c r="BF37" i="17" s="1"/>
  <c r="BG4" i="17" s="1"/>
  <c r="BH4" i="17" s="1"/>
  <c r="AX44" i="17" l="1"/>
  <c r="AR7" i="17" l="1"/>
  <c r="AW7" i="17"/>
  <c r="AR14" i="17"/>
  <c r="AW14" i="17"/>
  <c r="AR12" i="17"/>
  <c r="AW12" i="17"/>
  <c r="AR13" i="17"/>
  <c r="AW13" i="17"/>
  <c r="AR20" i="17"/>
  <c r="AW20" i="17"/>
  <c r="AX20" i="17" s="1"/>
  <c r="AY20" i="17" s="1"/>
  <c r="AR29" i="17"/>
  <c r="AW29" i="17"/>
  <c r="AX29" i="17" s="1"/>
  <c r="AY29" i="17" s="1"/>
  <c r="AW30" i="17"/>
  <c r="AX30" i="17" s="1"/>
  <c r="AY30" i="17" s="1"/>
  <c r="AR30" i="17"/>
  <c r="AW22" i="17"/>
  <c r="AX22" i="17" s="1"/>
  <c r="AY22" i="17" s="1"/>
  <c r="AR22" i="17"/>
  <c r="AW15" i="17"/>
  <c r="AR15" i="17"/>
  <c r="AR28" i="17"/>
  <c r="AW28" i="17"/>
  <c r="AX28" i="17" s="1"/>
  <c r="AY28" i="17" s="1"/>
  <c r="AJ41" i="17"/>
  <c r="AT5" i="17" s="1"/>
  <c r="AT2" i="17" s="1"/>
  <c r="AD44" i="17"/>
  <c r="AW21" i="17"/>
  <c r="AX21" i="17" s="1"/>
  <c r="AY21" i="17" s="1"/>
  <c r="AR21" i="17"/>
  <c r="AR19" i="17"/>
  <c r="AW19" i="17"/>
  <c r="AX19" i="17" s="1"/>
  <c r="AY19" i="17" s="1"/>
  <c r="AR16" i="17"/>
  <c r="AW16" i="17"/>
  <c r="AX16" i="17" s="1"/>
  <c r="AY16" i="17" s="1"/>
  <c r="AR18" i="17"/>
  <c r="AW18" i="17"/>
  <c r="AX18" i="17" s="1"/>
  <c r="AY18" i="17" s="1"/>
  <c r="AW26" i="17"/>
  <c r="AX26" i="17" s="1"/>
  <c r="AY26" i="17" s="1"/>
  <c r="AR26" i="17"/>
  <c r="AR10" i="17"/>
  <c r="AW10" i="17"/>
  <c r="AX10" i="17" s="1"/>
  <c r="AY10" i="17" s="1"/>
  <c r="AR23" i="17"/>
  <c r="AW23" i="17"/>
  <c r="AX23" i="17" s="1"/>
  <c r="AY23" i="17" s="1"/>
  <c r="AR11" i="17"/>
  <c r="AW11" i="17"/>
  <c r="AR25" i="17"/>
  <c r="AW25" i="17"/>
  <c r="AX25" i="17" s="1"/>
  <c r="AY25" i="17" s="1"/>
  <c r="AW24" i="17"/>
  <c r="AX24" i="17" s="1"/>
  <c r="AY24" i="17" s="1"/>
  <c r="AR24" i="17"/>
  <c r="AW9" i="17"/>
  <c r="AR9" i="17"/>
  <c r="AR17" i="17"/>
  <c r="AW17" i="17"/>
  <c r="AX17" i="17" s="1"/>
  <c r="AY17" i="17" s="1"/>
  <c r="AR27" i="17"/>
  <c r="AW27" i="17"/>
  <c r="AX27" i="17" s="1"/>
  <c r="AY27" i="17" s="1"/>
  <c r="AW8" i="17"/>
  <c r="AR8" i="17"/>
  <c r="AG44" i="17"/>
  <c r="BA35" i="17"/>
  <c r="AR5" i="17" s="1"/>
  <c r="AF44" i="17"/>
  <c r="BB35" i="17"/>
  <c r="AS5" i="17" s="1"/>
  <c r="AS2" i="17" s="1"/>
  <c r="AX7" i="17" l="1"/>
  <c r="AY7" i="17" s="1"/>
  <c r="BC7" i="17"/>
  <c r="AV7" i="17"/>
  <c r="A7" i="17"/>
  <c r="BC13" i="17"/>
  <c r="BE13" i="17" s="1"/>
  <c r="AX13" i="17"/>
  <c r="AY13" i="17" s="1"/>
  <c r="AV13" i="17"/>
  <c r="A13" i="17"/>
  <c r="BC12" i="17"/>
  <c r="BE12" i="17" s="1"/>
  <c r="AX12" i="17"/>
  <c r="AY12" i="17" s="1"/>
  <c r="A12" i="17"/>
  <c r="AV12" i="17"/>
  <c r="BC14" i="17"/>
  <c r="BE14" i="17" s="1"/>
  <c r="AX14" i="17"/>
  <c r="AY14" i="17" s="1"/>
  <c r="AV14" i="17"/>
  <c r="A14" i="17"/>
  <c r="A21" i="17"/>
  <c r="AV21" i="17"/>
  <c r="A22" i="17"/>
  <c r="AV22" i="17"/>
  <c r="A8" i="17"/>
  <c r="AV8" i="17"/>
  <c r="AX9" i="17"/>
  <c r="AY9" i="17" s="1"/>
  <c r="BC9" i="17"/>
  <c r="A9" i="17"/>
  <c r="AV9" i="17"/>
  <c r="AX8" i="17"/>
  <c r="AY8" i="17" s="1"/>
  <c r="BC8" i="17"/>
  <c r="A24" i="17"/>
  <c r="AV24" i="17"/>
  <c r="AV23" i="17"/>
  <c r="A23" i="17"/>
  <c r="A30" i="17"/>
  <c r="AV30" i="17"/>
  <c r="AV10" i="17"/>
  <c r="A10" i="17"/>
  <c r="AV25" i="17"/>
  <c r="A25" i="17"/>
  <c r="AV26" i="17"/>
  <c r="A26" i="17"/>
  <c r="A16" i="17"/>
  <c r="AV16" i="17"/>
  <c r="A28" i="17"/>
  <c r="AV28" i="17"/>
  <c r="A29" i="17"/>
  <c r="AV29" i="17"/>
  <c r="A18" i="17"/>
  <c r="AV18" i="17"/>
  <c r="AV15" i="17"/>
  <c r="A15" i="17"/>
  <c r="A11" i="17"/>
  <c r="AV11" i="17"/>
  <c r="A27" i="17"/>
  <c r="AV27" i="17"/>
  <c r="AV17" i="17"/>
  <c r="A17" i="17"/>
  <c r="AR2" i="17"/>
  <c r="BC11" i="17"/>
  <c r="AX11" i="17"/>
  <c r="AY11" i="17" s="1"/>
  <c r="A19" i="17"/>
  <c r="AV19" i="17"/>
  <c r="BC15" i="17"/>
  <c r="BE15" i="17" s="1"/>
  <c r="AX15" i="17"/>
  <c r="AY15" i="17" s="1"/>
  <c r="A20" i="17"/>
  <c r="AV20" i="17"/>
  <c r="BE7" i="17" l="1"/>
  <c r="BD7" i="17"/>
  <c r="BE8" i="17"/>
  <c r="BD8" i="17"/>
  <c r="AF7" i="17"/>
  <c r="L7" i="17"/>
  <c r="L14" i="17"/>
  <c r="AF14" i="17"/>
  <c r="L13" i="17"/>
  <c r="AF13" i="17"/>
  <c r="L12" i="17"/>
  <c r="AF12" i="17"/>
  <c r="AF29" i="17"/>
  <c r="L29" i="17"/>
  <c r="L24" i="17"/>
  <c r="AF24" i="17"/>
  <c r="AV6" i="17"/>
  <c r="AF28" i="17"/>
  <c r="L28" i="17"/>
  <c r="AY44" i="17"/>
  <c r="L8" i="17"/>
  <c r="AF8" i="17"/>
  <c r="B5" i="17"/>
  <c r="AF19" i="17"/>
  <c r="L19" i="17"/>
  <c r="L15" i="17"/>
  <c r="AF15" i="17"/>
  <c r="BE11" i="17"/>
  <c r="BD11" i="17"/>
  <c r="AF20" i="17"/>
  <c r="L20" i="17"/>
  <c r="L16" i="17"/>
  <c r="AF16" i="17"/>
  <c r="L30" i="17"/>
  <c r="AF30" i="17"/>
  <c r="L9" i="17"/>
  <c r="AF9" i="17"/>
  <c r="AF22" i="17"/>
  <c r="L22" i="17"/>
  <c r="L10" i="17"/>
  <c r="AF10" i="17"/>
  <c r="L26" i="17"/>
  <c r="AF26" i="17"/>
  <c r="L23" i="17"/>
  <c r="AF23" i="17"/>
  <c r="L27" i="17"/>
  <c r="AF27" i="17"/>
  <c r="AF18" i="17"/>
  <c r="L18" i="17"/>
  <c r="L21" i="17"/>
  <c r="AF21" i="17"/>
  <c r="AF11" i="17"/>
  <c r="L11" i="17"/>
  <c r="AM1" i="17"/>
  <c r="AN1" i="17" s="1"/>
  <c r="AO1" i="17" s="1"/>
  <c r="AR1" i="17"/>
  <c r="AF17" i="17"/>
  <c r="L17" i="17"/>
  <c r="AF25" i="17"/>
  <c r="L25" i="17"/>
  <c r="BE9" i="17"/>
  <c r="BD9" i="17"/>
  <c r="AL4" i="17" l="1"/>
  <c r="BC34" i="17"/>
  <c r="N7" i="17"/>
  <c r="P7" i="17"/>
  <c r="Q7" i="17" s="1"/>
  <c r="N12" i="17"/>
  <c r="P12" i="17"/>
  <c r="Q12" i="17" s="1"/>
  <c r="P13" i="17"/>
  <c r="Q13" i="17" s="1"/>
  <c r="N13" i="17"/>
  <c r="P14" i="17"/>
  <c r="Q14" i="17" s="1"/>
  <c r="N14" i="17"/>
  <c r="BC32" i="17"/>
  <c r="BC6" i="17" s="1"/>
  <c r="W44" i="17" s="1"/>
  <c r="P21" i="17"/>
  <c r="Q21" i="17" s="1"/>
  <c r="N21" i="17"/>
  <c r="P9" i="17"/>
  <c r="Q9" i="17" s="1"/>
  <c r="N9" i="17"/>
  <c r="N28" i="17"/>
  <c r="P28" i="17"/>
  <c r="Q28" i="17" s="1"/>
  <c r="P17" i="17"/>
  <c r="Q17" i="17" s="1"/>
  <c r="N17" i="17"/>
  <c r="P26" i="17"/>
  <c r="Q26" i="17" s="1"/>
  <c r="N26" i="17"/>
  <c r="P30" i="17"/>
  <c r="Q30" i="17" s="1"/>
  <c r="N30" i="17"/>
  <c r="N15" i="17"/>
  <c r="P15" i="17"/>
  <c r="Q15" i="17" s="1"/>
  <c r="N11" i="17"/>
  <c r="P11" i="17"/>
  <c r="Q11" i="17" s="1"/>
  <c r="N10" i="17"/>
  <c r="P10" i="17"/>
  <c r="Q10" i="17" s="1"/>
  <c r="P16" i="17"/>
  <c r="Q16" i="17" s="1"/>
  <c r="N16" i="17"/>
  <c r="Y41" i="17"/>
  <c r="X44" i="17"/>
  <c r="L4" i="17"/>
  <c r="D5" i="17"/>
  <c r="P24" i="17"/>
  <c r="Q24" i="17" s="1"/>
  <c r="N24" i="17"/>
  <c r="P23" i="17"/>
  <c r="Q23" i="17" s="1"/>
  <c r="N23" i="17"/>
  <c r="N18" i="17"/>
  <c r="P18" i="17"/>
  <c r="Q18" i="17" s="1"/>
  <c r="P20" i="17"/>
  <c r="Q20" i="17" s="1"/>
  <c r="N20" i="17"/>
  <c r="N27" i="17"/>
  <c r="P27" i="17"/>
  <c r="Q27" i="17" s="1"/>
  <c r="Y44" i="17"/>
  <c r="P29" i="17"/>
  <c r="Q29" i="17" s="1"/>
  <c r="N29" i="17"/>
  <c r="N19" i="17"/>
  <c r="P19" i="17"/>
  <c r="Q19" i="17" s="1"/>
  <c r="P22" i="17"/>
  <c r="Q22" i="17" s="1"/>
  <c r="N22" i="17"/>
  <c r="N25" i="17"/>
  <c r="P25" i="17"/>
  <c r="Q25" i="17" s="1"/>
  <c r="P8" i="17"/>
  <c r="Q8" i="17" s="1"/>
  <c r="N8" i="17"/>
  <c r="C6" i="17"/>
  <c r="AA40" i="17"/>
  <c r="AA42" i="17"/>
  <c r="AA38" i="17"/>
  <c r="B4" i="17"/>
  <c r="D32" i="17"/>
  <c r="N2" i="17" l="1"/>
  <c r="O19" i="17" s="1"/>
  <c r="R19" i="17" s="1"/>
  <c r="X33" i="17"/>
  <c r="X35" i="17"/>
  <c r="X36" i="17"/>
  <c r="Z44" i="17"/>
  <c r="V36" i="17"/>
  <c r="V35" i="17"/>
  <c r="V33" i="17"/>
  <c r="Z37" i="17"/>
  <c r="J3" i="17"/>
  <c r="Y38" i="17" s="1"/>
  <c r="V32" i="17"/>
  <c r="CA30" i="15"/>
  <c r="AB42" i="17"/>
  <c r="Y36" i="17" l="1"/>
  <c r="AA36" i="17" s="1"/>
  <c r="O22" i="17"/>
  <c r="R22" i="17" s="1"/>
  <c r="U22" i="17" s="1"/>
  <c r="V22" i="17" s="1"/>
  <c r="O21" i="17"/>
  <c r="R21" i="17" s="1"/>
  <c r="U21" i="17" s="1"/>
  <c r="V21" i="17" s="1"/>
  <c r="O10" i="17"/>
  <c r="R10" i="17" s="1"/>
  <c r="U10" i="17" s="1"/>
  <c r="V10" i="17" s="1"/>
  <c r="O20" i="17"/>
  <c r="R20" i="17" s="1"/>
  <c r="U20" i="17" s="1"/>
  <c r="V20" i="17" s="1"/>
  <c r="O11" i="17"/>
  <c r="R11" i="17" s="1"/>
  <c r="U11" i="17" s="1"/>
  <c r="V11" i="17" s="1"/>
  <c r="O16" i="17"/>
  <c r="R16" i="17" s="1"/>
  <c r="S16" i="17" s="1"/>
  <c r="O29" i="17"/>
  <c r="R29" i="17" s="1"/>
  <c r="U29" i="17" s="1"/>
  <c r="V29" i="17" s="1"/>
  <c r="O30" i="17"/>
  <c r="R30" i="17" s="1"/>
  <c r="U30" i="17" s="1"/>
  <c r="V30" i="17" s="1"/>
  <c r="O18" i="17"/>
  <c r="R18" i="17" s="1"/>
  <c r="S18" i="17" s="1"/>
  <c r="O15" i="17"/>
  <c r="R15" i="17" s="1"/>
  <c r="U15" i="17" s="1"/>
  <c r="V15" i="17" s="1"/>
  <c r="O27" i="17"/>
  <c r="R27" i="17" s="1"/>
  <c r="S27" i="17" s="1"/>
  <c r="U19" i="17"/>
  <c r="V19" i="17" s="1"/>
  <c r="S19" i="17"/>
  <c r="Y32" i="17"/>
  <c r="AA32" i="17" s="1"/>
  <c r="O17" i="17"/>
  <c r="R17" i="17" s="1"/>
  <c r="Y35" i="17"/>
  <c r="AA35" i="17" s="1"/>
  <c r="D3" i="17"/>
  <c r="D1" i="17"/>
  <c r="Y33" i="17"/>
  <c r="X34" i="17"/>
  <c r="O26" i="17"/>
  <c r="R26" i="17" s="1"/>
  <c r="B3" i="17"/>
  <c r="O8" i="17"/>
  <c r="R8" i="17" s="1"/>
  <c r="V34" i="17"/>
  <c r="B1" i="17"/>
  <c r="O14" i="17"/>
  <c r="R14" i="17" s="1"/>
  <c r="O12" i="17"/>
  <c r="R12" i="17" s="1"/>
  <c r="O13" i="17"/>
  <c r="R13" i="17" s="1"/>
  <c r="O7" i="17"/>
  <c r="O24" i="17"/>
  <c r="R24" i="17" s="1"/>
  <c r="O28" i="17"/>
  <c r="R28" i="17" s="1"/>
  <c r="O23" i="17"/>
  <c r="R23" i="17" s="1"/>
  <c r="O9" i="17"/>
  <c r="R9" i="17" s="1"/>
  <c r="O25" i="17"/>
  <c r="R25" i="17" s="1"/>
  <c r="S21" i="17" l="1"/>
  <c r="S15" i="17"/>
  <c r="U27" i="17"/>
  <c r="V27" i="17" s="1"/>
  <c r="S10" i="17"/>
  <c r="S20" i="17"/>
  <c r="U18" i="17"/>
  <c r="V18" i="17" s="1"/>
  <c r="S22" i="17"/>
  <c r="S29" i="17"/>
  <c r="U16" i="17"/>
  <c r="V16" i="17" s="1"/>
  <c r="S11" i="17"/>
  <c r="S30" i="17"/>
  <c r="H1" i="17"/>
  <c r="I3" i="17" s="1"/>
  <c r="U24" i="17"/>
  <c r="V24" i="17" s="1"/>
  <c r="S24" i="17"/>
  <c r="U8" i="17"/>
  <c r="V8" i="17" s="1"/>
  <c r="S8" i="17"/>
  <c r="H3" i="17"/>
  <c r="U23" i="17"/>
  <c r="V23" i="17" s="1"/>
  <c r="S23" i="17"/>
  <c r="U12" i="17"/>
  <c r="V12" i="17" s="1"/>
  <c r="S12" i="17"/>
  <c r="R2" i="17"/>
  <c r="U17" i="17"/>
  <c r="V17" i="17" s="1"/>
  <c r="S17" i="17"/>
  <c r="U28" i="17"/>
  <c r="V28" i="17" s="1"/>
  <c r="S28" i="17"/>
  <c r="B2" i="17"/>
  <c r="U13" i="17"/>
  <c r="V13" i="17" s="1"/>
  <c r="S13" i="17"/>
  <c r="U14" i="17"/>
  <c r="V14" i="17" s="1"/>
  <c r="S14" i="17"/>
  <c r="U26" i="17"/>
  <c r="V26" i="17" s="1"/>
  <c r="S26" i="17"/>
  <c r="O2" i="17"/>
  <c r="R7" i="17"/>
  <c r="U25" i="17"/>
  <c r="V25" i="17" s="1"/>
  <c r="S25" i="17"/>
  <c r="U9" i="17"/>
  <c r="V9" i="17" s="1"/>
  <c r="S9" i="17"/>
  <c r="AA33" i="17"/>
  <c r="D2" i="17"/>
  <c r="Y34" i="17"/>
  <c r="Z34" i="17" s="1"/>
  <c r="H2" i="17" l="1"/>
  <c r="Z36" i="17"/>
  <c r="U7" i="17"/>
  <c r="S7" i="17"/>
  <c r="S2" i="17" s="1"/>
  <c r="Z32" i="17"/>
  <c r="AA34" i="17"/>
  <c r="Z35" i="17"/>
  <c r="Z33" i="17"/>
  <c r="U6" i="17" l="1"/>
  <c r="V7" i="17"/>
  <c r="W7" i="17" l="1"/>
  <c r="X7" i="17"/>
  <c r="V5" i="17"/>
  <c r="U5" i="17" s="1"/>
  <c r="W27" i="17"/>
  <c r="W16" i="17"/>
  <c r="W22" i="17"/>
  <c r="W18" i="17"/>
  <c r="W30" i="17"/>
  <c r="W10" i="17"/>
  <c r="X16" i="17"/>
  <c r="X18" i="17"/>
  <c r="X19" i="17"/>
  <c r="X30" i="17"/>
  <c r="X10" i="17"/>
  <c r="X21" i="17"/>
  <c r="W15" i="17"/>
  <c r="X20" i="17"/>
  <c r="W21" i="17"/>
  <c r="X15" i="17"/>
  <c r="W19" i="17"/>
  <c r="W29" i="17"/>
  <c r="W20" i="17"/>
  <c r="X29" i="17"/>
  <c r="W11" i="17"/>
  <c r="X11" i="17"/>
  <c r="X27" i="17"/>
  <c r="X22" i="17"/>
  <c r="X9" i="17"/>
  <c r="W13" i="17"/>
  <c r="X28" i="17"/>
  <c r="W26" i="17"/>
  <c r="W9" i="17"/>
  <c r="W23" i="17"/>
  <c r="X13" i="17"/>
  <c r="W28" i="17"/>
  <c r="X23" i="17"/>
  <c r="X12" i="17"/>
  <c r="W25" i="17"/>
  <c r="W14" i="17"/>
  <c r="X24" i="17"/>
  <c r="X14" i="17"/>
  <c r="X25" i="17"/>
  <c r="W24" i="17"/>
  <c r="W8" i="17"/>
  <c r="W12" i="17"/>
  <c r="X17" i="17"/>
  <c r="X8" i="17"/>
  <c r="X26" i="17"/>
  <c r="W17" i="17"/>
  <c r="Z6" i="17" l="1"/>
  <c r="V44" i="17"/>
  <c r="P3" i="17"/>
  <c r="P2" i="17" s="1"/>
  <c r="L6" i="17"/>
  <c r="K3" i="17" s="1"/>
  <c r="K6" i="17"/>
  <c r="J4" i="17" s="1"/>
  <c r="W5" i="17"/>
  <c r="S3" i="17" s="1"/>
  <c r="Q3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<sst xmlns="http://schemas.openxmlformats.org/spreadsheetml/2006/main" count="2209" uniqueCount="859">
  <si>
    <t>Offered</t>
  </si>
  <si>
    <t>Expense</t>
  </si>
  <si>
    <t>INVESTMENT</t>
  </si>
  <si>
    <t>Total</t>
  </si>
  <si>
    <t>Margin</t>
  </si>
  <si>
    <t>QUINELLA</t>
  </si>
  <si>
    <t>RETURN</t>
  </si>
  <si>
    <t>Difference</t>
  </si>
  <si>
    <t>100/TOdds</t>
  </si>
  <si>
    <t>% chance</t>
  </si>
  <si>
    <t>weighted expense</t>
  </si>
  <si>
    <t>wght returns</t>
  </si>
  <si>
    <t>expense</t>
  </si>
  <si>
    <t>expense*TOdds</t>
  </si>
  <si>
    <t>Name</t>
  </si>
  <si>
    <t>BOX</t>
  </si>
  <si>
    <t>RUNS</t>
  </si>
  <si>
    <t>Wins</t>
  </si>
  <si>
    <t>SUM OF PARTS</t>
  </si>
  <si>
    <t>STANDARD</t>
  </si>
  <si>
    <t>NORMAL</t>
  </si>
  <si>
    <t>SKEW</t>
  </si>
  <si>
    <t>KURT</t>
  </si>
  <si>
    <t>MEAN</t>
  </si>
  <si>
    <t>LEGEND</t>
  </si>
  <si>
    <t>STDEV</t>
  </si>
  <si>
    <t>RANK</t>
  </si>
  <si>
    <t>WEIGHT</t>
  </si>
  <si>
    <t>MEDIAN</t>
  </si>
  <si>
    <t>FIELD</t>
  </si>
  <si>
    <t>COF</t>
  </si>
  <si>
    <t>Weight</t>
  </si>
  <si>
    <t>Tote</t>
  </si>
  <si>
    <t>Horse Name</t>
  </si>
  <si>
    <t>Handicap Rating</t>
  </si>
  <si>
    <t>Career Runs</t>
  </si>
  <si>
    <t>Career Wins</t>
  </si>
  <si>
    <t>Career Strike Rate</t>
  </si>
  <si>
    <t>Career ROI</t>
  </si>
  <si>
    <t>Career Placings</t>
  </si>
  <si>
    <t>Career Place Strike Rate</t>
  </si>
  <si>
    <t>Dry Track Runs</t>
  </si>
  <si>
    <t>Dry Track Wins</t>
  </si>
  <si>
    <t>Dry Track Strike Rate</t>
  </si>
  <si>
    <t>Dry Track ROI</t>
  </si>
  <si>
    <t>Wet Track Runs</t>
  </si>
  <si>
    <t>Wet Track Wins</t>
  </si>
  <si>
    <t>Wet Track Strike Rate</t>
  </si>
  <si>
    <t>Wet Track ROI</t>
  </si>
  <si>
    <t>Average Prize Money</t>
  </si>
  <si>
    <t>Career Prize Money</t>
  </si>
  <si>
    <t>Best Fixed Odds</t>
  </si>
  <si>
    <t>Weight Carried</t>
  </si>
  <si>
    <t>Barrier</t>
  </si>
  <si>
    <t>Prize Money</t>
  </si>
  <si>
    <t>This Track Runs</t>
  </si>
  <si>
    <t>This Track Wins</t>
  </si>
  <si>
    <t>This Track Strike Rate</t>
  </si>
  <si>
    <t>This Track ROI</t>
  </si>
  <si>
    <t>This Track Places</t>
  </si>
  <si>
    <t>This Track Place Strike Rate</t>
  </si>
  <si>
    <t>This Distance Runs</t>
  </si>
  <si>
    <t>This Distance Wins</t>
  </si>
  <si>
    <t>This Distance Strike Rate</t>
  </si>
  <si>
    <t>This Distance ROI</t>
  </si>
  <si>
    <t>This Distance Places</t>
  </si>
  <si>
    <t>This Distance Place Strike Rate</t>
  </si>
  <si>
    <t>This Condition Runs</t>
  </si>
  <si>
    <t>This Condition Wins</t>
  </si>
  <si>
    <t>This Condition Strike Rate</t>
  </si>
  <si>
    <t>This Condition ROI</t>
  </si>
  <si>
    <t>This Condition Places</t>
  </si>
  <si>
    <t>This Condition Place Strike Rate</t>
  </si>
  <si>
    <t>Jockey</t>
  </si>
  <si>
    <t>Apprentice</t>
  </si>
  <si>
    <t>Jockey Weight Claim</t>
  </si>
  <si>
    <t>Jockey 12 Month Horse Earnings</t>
  </si>
  <si>
    <t>Jockey 12 Month Avg Horse Earnings</t>
  </si>
  <si>
    <t>Jockey Last 100 Starts</t>
  </si>
  <si>
    <t>Jockey Last 100 Wins</t>
  </si>
  <si>
    <t>Jockey Last 100 Strike Rate</t>
  </si>
  <si>
    <t>Jockey Last 100 ROI</t>
  </si>
  <si>
    <t>Jockey Last 100 Places</t>
  </si>
  <si>
    <t>Jockey Last 100 Place Strike Rate</t>
  </si>
  <si>
    <t>Jockey 12 Months Starts</t>
  </si>
  <si>
    <t>Jockey 12 Months Wins</t>
  </si>
  <si>
    <t>Jockey 12 Months Strike Rate</t>
  </si>
  <si>
    <t>Jockey 12 Months ROI</t>
  </si>
  <si>
    <t>Jockey 12 Months Places</t>
  </si>
  <si>
    <t>Jockey 12 Months Place Strike Rate</t>
  </si>
  <si>
    <t>Jockey This Season Horse Earnings</t>
  </si>
  <si>
    <t>Jockey This Season Avg Horse Earnings</t>
  </si>
  <si>
    <t>Jockey This Season Starts</t>
  </si>
  <si>
    <t>Jockey This Season Wins</t>
  </si>
  <si>
    <t>Jockey This Season Strike Rate</t>
  </si>
  <si>
    <t>Jockey This Season ROI</t>
  </si>
  <si>
    <t>Jockey This Season Places</t>
  </si>
  <si>
    <t>Jockey This Season Place Strike Rate</t>
  </si>
  <si>
    <t>Jockey Last Season Horse Earnings</t>
  </si>
  <si>
    <t>Jockey Last Season Avg Horse Earnings</t>
  </si>
  <si>
    <t>Jockey Last Season Starts</t>
  </si>
  <si>
    <t>Jockey Last Season Wins</t>
  </si>
  <si>
    <t>Jockey Last Season Strike Rate</t>
  </si>
  <si>
    <t>Jockey Last Season ROI</t>
  </si>
  <si>
    <t>Jockey Last Season Places</t>
  </si>
  <si>
    <t>Jockey Last Season Place Strike Rate</t>
  </si>
  <si>
    <t>Trainer</t>
  </si>
  <si>
    <t>Trainer 12 Month Horse Earnings</t>
  </si>
  <si>
    <t>Trainer 12 Month Avg Horse Earnings</t>
  </si>
  <si>
    <t>Trainer Last 100 Starts</t>
  </si>
  <si>
    <t>Trainer Last 100 Wins</t>
  </si>
  <si>
    <t>Trainer Last 100 Strike Rate</t>
  </si>
  <si>
    <t>Trainer Last 100 ROI</t>
  </si>
  <si>
    <t>Trainer Last 100 Places</t>
  </si>
  <si>
    <t>Trainer Last 100 Place Strike Rate</t>
  </si>
  <si>
    <t>Trainer 12 Months Starts</t>
  </si>
  <si>
    <t>Trainer 12 Months Wins</t>
  </si>
  <si>
    <t>Trainer 12 Months Strike Rate</t>
  </si>
  <si>
    <t>Trainer 12 Months ROI</t>
  </si>
  <si>
    <t>Trainer 12 Months Places</t>
  </si>
  <si>
    <t>Trainer 12 Months Place Strike Rate</t>
  </si>
  <si>
    <t>Trainer This Season Horse Earnings</t>
  </si>
  <si>
    <t>Trainer This Season Avg Horse Earnings</t>
  </si>
  <si>
    <t>Trainer This Season Starts</t>
  </si>
  <si>
    <t>Trainer This Season Wins</t>
  </si>
  <si>
    <t>Trainer This Season Strike Rate</t>
  </si>
  <si>
    <t>Trainer This Season ROI</t>
  </si>
  <si>
    <t>Trainer This Season Places</t>
  </si>
  <si>
    <t>Trainer This Season Place Strike Rate</t>
  </si>
  <si>
    <t>Trainer Last Season Horse Earnings</t>
  </si>
  <si>
    <t>Trainer Last Season Avg Horse Earnings</t>
  </si>
  <si>
    <t>Trainer Last Season Starts</t>
  </si>
  <si>
    <t>Trainer Last Season Wins</t>
  </si>
  <si>
    <t>Trainer Last Season Strike Rate</t>
  </si>
  <si>
    <t>Trainer Last Season ROI</t>
  </si>
  <si>
    <t>Trainer Last Season Places</t>
  </si>
  <si>
    <t>Trainer Last Season Place Strike Rate</t>
  </si>
  <si>
    <t>Last Start Finish Position</t>
  </si>
  <si>
    <t>Last Start Margin</t>
  </si>
  <si>
    <t>Last Start Distance</t>
  </si>
  <si>
    <t>Last Start Distance Change</t>
  </si>
  <si>
    <t>Last Start Prize Money</t>
  </si>
  <si>
    <t>Runner</t>
  </si>
  <si>
    <t>Wins %</t>
  </si>
  <si>
    <t>Sum of Parts %</t>
  </si>
  <si>
    <t>EXACTA</t>
  </si>
  <si>
    <t>T3 (TOTE)</t>
  </si>
  <si>
    <t>F4 (TOTE)</t>
  </si>
  <si>
    <t>WIN</t>
  </si>
  <si>
    <t>2nds</t>
  </si>
  <si>
    <t>100/ Tote %</t>
  </si>
  <si>
    <t>Prize Money %</t>
  </si>
  <si>
    <t>DRY</t>
  </si>
  <si>
    <t>WET</t>
  </si>
  <si>
    <t>Fast</t>
  </si>
  <si>
    <t>A dry, hard track. Firmer than a good track</t>
  </si>
  <si>
    <t>Good</t>
  </si>
  <si>
    <t>A firm track with a reasonable grass coverage, on the fast side of good</t>
  </si>
  <si>
    <t>A track with a good grass coverage and cushion. Ideal track, heading towards dead</t>
  </si>
  <si>
    <t>Dead</t>
  </si>
  <si>
    <t>A track just with some give in it. Shouldn't affect any chances although on the worse side of good</t>
  </si>
  <si>
    <t>A reasonable amount of give in it, on the better side of slow and worse side of dead</t>
  </si>
  <si>
    <t>Slow</t>
  </si>
  <si>
    <t>Not a badly affected track, but will suit some horses more than others, just worse than dead and into slow range</t>
  </si>
  <si>
    <t>A more rain-affected track that will chop out, on the better side of heavy</t>
  </si>
  <si>
    <t>Heavy</t>
  </si>
  <si>
    <t>A soft track that horses will get into but not necessarily too wet, just worse than slow, but just into heavy range</t>
  </si>
  <si>
    <t>A softer track getting into the ‘squelchy’ area. Genuine heavy</t>
  </si>
  <si>
    <t>A very soft and wet track. Heaviest category</t>
  </si>
  <si>
    <t>KURT ANALYSIS</t>
  </si>
  <si>
    <t>SKEW ANALYSIS</t>
  </si>
  <si>
    <t>SKEW/KURT</t>
  </si>
  <si>
    <t>Kurt ^2 COVER</t>
  </si>
  <si>
    <t>Skew ^2 COVER</t>
  </si>
  <si>
    <t>KURT/SKEW</t>
  </si>
  <si>
    <t>Track Place Strike Rate%</t>
  </si>
  <si>
    <t>MEAN/MEDIAN</t>
  </si>
  <si>
    <t>WEATHER</t>
  </si>
  <si>
    <t>SCALE</t>
  </si>
  <si>
    <t>WIN COST</t>
  </si>
  <si>
    <t>QUINELLA COST</t>
  </si>
  <si>
    <t>EXACTA COST</t>
  </si>
  <si>
    <t>T3 (TOTE) COST</t>
  </si>
  <si>
    <t>F4 (TOTE) COST</t>
  </si>
  <si>
    <t>SANITY CHECK</t>
  </si>
  <si>
    <t>RANK COVER</t>
  </si>
  <si>
    <t>WIN var</t>
  </si>
  <si>
    <t>QUINELLA var</t>
  </si>
  <si>
    <t>EXACTA var</t>
  </si>
  <si>
    <t>T3 (TOTE) var</t>
  </si>
  <si>
    <t>F4 (TOTE) var</t>
  </si>
  <si>
    <t>MIN</t>
  </si>
  <si>
    <t>RISK TYPE</t>
  </si>
  <si>
    <t>PROPOSED RETURN</t>
  </si>
  <si>
    <t>RUNNERS</t>
  </si>
  <si>
    <t>RETURN %</t>
  </si>
  <si>
    <t>RETURN $ var</t>
  </si>
  <si>
    <t>AVERAGE</t>
  </si>
  <si>
    <t>NORM DIST RANK</t>
  </si>
  <si>
    <t>Age</t>
  </si>
  <si>
    <t>This Track Distance Runs</t>
  </si>
  <si>
    <t>This Track Distance Wins</t>
  </si>
  <si>
    <t>This Track Distance Strike Rate</t>
  </si>
  <si>
    <t>This Track Distance ROI</t>
  </si>
  <si>
    <t>This Track Distance Places</t>
  </si>
  <si>
    <t>This Track Distance Place Strike Rate</t>
  </si>
  <si>
    <t>Jockey Last 100 Horse Earnings</t>
  </si>
  <si>
    <t>Jockey Last 100 Avg Horse Earnings</t>
  </si>
  <si>
    <t>Trainer Last 100 Horse Earnings</t>
  </si>
  <si>
    <t>Trainer Last 100 Avg Horse Earnings</t>
  </si>
  <si>
    <t>Last Start Distance Change2</t>
  </si>
  <si>
    <t>Num</t>
  </si>
  <si>
    <t>&gt;0.02</t>
  </si>
  <si>
    <t>&lt;0.02</t>
  </si>
  <si>
    <t>MAX</t>
  </si>
  <si>
    <t>CONFIDENCE</t>
  </si>
  <si>
    <t>ALLOCATION</t>
  </si>
  <si>
    <t>INSTRUCTIONS</t>
  </si>
  <si>
    <t>RESULTS</t>
  </si>
  <si>
    <t>MARGINS</t>
  </si>
  <si>
    <t>SCOPE</t>
  </si>
  <si>
    <t>PICK</t>
  </si>
  <si>
    <t>Median</t>
  </si>
  <si>
    <t>Standard</t>
  </si>
  <si>
    <t>Kurt</t>
  </si>
  <si>
    <t>Skew</t>
  </si>
  <si>
    <t>Kurt Rank</t>
  </si>
  <si>
    <t>Skew Rank</t>
  </si>
  <si>
    <t>PARAMUTUAL</t>
  </si>
  <si>
    <t>Count</t>
  </si>
  <si>
    <t>Mean</t>
  </si>
  <si>
    <t>Mean/ Median</t>
  </si>
  <si>
    <t>Stdev</t>
  </si>
  <si>
    <t>Stdev/Mean</t>
  </si>
  <si>
    <t>Skew/Kurt</t>
  </si>
  <si>
    <t>Kurt /Skew</t>
  </si>
  <si>
    <t>Tote Rank</t>
  </si>
  <si>
    <t>Mean Shape Rank</t>
  </si>
  <si>
    <t>Quinella Cost</t>
  </si>
  <si>
    <t>Quinella Proposed</t>
  </si>
  <si>
    <t>Gross</t>
  </si>
  <si>
    <t>QUINELLA COVERAGE</t>
  </si>
  <si>
    <t>AV.Min Tote</t>
  </si>
  <si>
    <t xml:space="preserve">QUINELLA </t>
  </si>
  <si>
    <t xml:space="preserve">EXACTA </t>
  </si>
  <si>
    <t>T3 COST</t>
  </si>
  <si>
    <t>F4 COST</t>
  </si>
  <si>
    <t>Win/field Or Quinella</t>
  </si>
  <si>
    <t>Coff</t>
  </si>
  <si>
    <t>Av.Min Tote $</t>
  </si>
  <si>
    <t>Decision</t>
  </si>
  <si>
    <t>Result Quinella</t>
  </si>
  <si>
    <t>Field</t>
  </si>
  <si>
    <t>Quinella Count</t>
  </si>
  <si>
    <t>Race ref</t>
  </si>
  <si>
    <t>Shape</t>
  </si>
  <si>
    <t>Q2 F4 Place &amp; T3 F4 Place</t>
  </si>
  <si>
    <t>RANK PARLAY COVER</t>
  </si>
  <si>
    <t>RANK PARLAY COVER %</t>
  </si>
  <si>
    <t>MEDIAN TOTE</t>
  </si>
  <si>
    <t>Quinella N</t>
  </si>
  <si>
    <t>Need to Cover</t>
  </si>
  <si>
    <t>YES3 need tto cover</t>
  </si>
  <si>
    <t>S31.ODDS RANK</t>
  </si>
  <si>
    <t>S31.ODDS</t>
  </si>
  <si>
    <t>CHECK</t>
  </si>
  <si>
    <t>FULL COVER= (f)OR PART(n)</t>
  </si>
  <si>
    <t>YES3</t>
  </si>
  <si>
    <t>QC-QP</t>
  </si>
  <si>
    <t>QC-QP/QC CHANCE</t>
  </si>
  <si>
    <t>YES1 &amp; 11</t>
  </si>
  <si>
    <t>YES6YES6A&amp;YES9</t>
  </si>
  <si>
    <t>YES4YES4A&amp;YES2</t>
  </si>
  <si>
    <t>sum(rank)</t>
  </si>
  <si>
    <t>stdev(rank)</t>
  </si>
  <si>
    <t>average(rank)</t>
  </si>
  <si>
    <t>AVERAGE TOTE</t>
  </si>
  <si>
    <t>SBET 22 FIXED ODDS 21</t>
  </si>
  <si>
    <t>MONEY FLOWS</t>
  </si>
  <si>
    <t>CatRank</t>
  </si>
  <si>
    <t>n</t>
  </si>
  <si>
    <t>Column18</t>
  </si>
  <si>
    <t>Column19</t>
  </si>
  <si>
    <t>Column1</t>
  </si>
  <si>
    <t>Column2</t>
  </si>
  <si>
    <t>Column3</t>
  </si>
  <si>
    <t>Column4</t>
  </si>
  <si>
    <t>Rank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</si>
  <si>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</si>
  <si>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</si>
  <si>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</si>
  <si>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</si>
  <si>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</si>
  <si>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</si>
  <si>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</si>
  <si>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</si>
  <si>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</si>
  <si>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</si>
  <si>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</si>
  <si>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Gender</t>
  </si>
  <si>
    <t>William Hill Odds</t>
  </si>
  <si>
    <t>Form Guide Url</t>
  </si>
  <si>
    <t>Horse Profile Url</t>
  </si>
  <si>
    <t>QUINELLA PROP</t>
  </si>
  <si>
    <t>EXACTA PROP</t>
  </si>
  <si>
    <t>TRIFECTOR COST</t>
  </si>
  <si>
    <t>TRIFECTOR PROP</t>
  </si>
  <si>
    <t>MED.Min Tote</t>
  </si>
  <si>
    <t>Cohesion ROI</t>
  </si>
  <si>
    <t>Cohesion Rank</t>
  </si>
  <si>
    <t>COHENSION</t>
  </si>
  <si>
    <t xml:space="preserve"> </t>
  </si>
  <si>
    <t>COSHAPE</t>
  </si>
  <si>
    <t>COSHAPE RANK</t>
  </si>
  <si>
    <t>DISTANCE FROM MEAN OF COSHAPE RANK</t>
  </si>
  <si>
    <t>RANK DISTANCE FROM COSHAPE RANK</t>
  </si>
  <si>
    <t>COUNTIF RANK</t>
  </si>
  <si>
    <t>COUNTIF&lt;</t>
  </si>
  <si>
    <t>Dist.from Skew</t>
  </si>
  <si>
    <t>Dist.from Kurt</t>
  </si>
  <si>
    <t>COSHAPE DIFF (estimated is over under)</t>
  </si>
  <si>
    <t>COSHAPE RANK COVER</t>
  </si>
  <si>
    <t>VARIABLE</t>
  </si>
  <si>
    <t>PROPOSED</t>
  </si>
  <si>
    <t>This Distance Strike Rate Data</t>
  </si>
  <si>
    <t>Distance Strike Rate %</t>
  </si>
  <si>
    <t>Distance Place Strike Rate%</t>
  </si>
  <si>
    <t>Jockey This Season Strike Rate%</t>
  </si>
  <si>
    <t>Jockey This Season Strike Rate Data</t>
  </si>
  <si>
    <t>Last Start Distance Change Data</t>
  </si>
  <si>
    <t>Last Start Margin Data</t>
  </si>
  <si>
    <t>Last Start Margin  %</t>
  </si>
  <si>
    <t>Last Start Distance Change%</t>
  </si>
  <si>
    <t>This Distance Place Strike Rate Data</t>
  </si>
  <si>
    <t>Prize Money Data</t>
  </si>
  <si>
    <t>Trainer This Season Strike Rate Data</t>
  </si>
  <si>
    <t>Trainer This Season Strike Rate%</t>
  </si>
  <si>
    <t>This Condition Strike Rate Data</t>
  </si>
  <si>
    <t>This Condition Strike Rate Data%</t>
  </si>
  <si>
    <t>COHESION RANK</t>
  </si>
  <si>
    <t>DISTANCE RANK</t>
  </si>
  <si>
    <t>MONEY RANK</t>
  </si>
  <si>
    <t>TOTE RANK</t>
  </si>
  <si>
    <t>THIS DISTANCE PLACE STRIKE RATE RANK</t>
  </si>
  <si>
    <t>THIS TRACK ROI RANK</t>
  </si>
  <si>
    <t>JOCKEY THIS SEASON STRIKE RATE RANK</t>
  </si>
  <si>
    <t>TRAINER THIS SEASON STRIKE RATE RANK</t>
  </si>
  <si>
    <t>LAST START MARGIN RANK</t>
  </si>
  <si>
    <t>LAST START DISTANCE CHANGE RANK</t>
  </si>
  <si>
    <t>THIS CONDITION STRIKE RATE RANK</t>
  </si>
  <si>
    <t>2ND RANK</t>
  </si>
  <si>
    <t>Wins Data</t>
  </si>
  <si>
    <t>Wins2</t>
  </si>
  <si>
    <t>2Nds Data</t>
  </si>
  <si>
    <t>2Nds %</t>
  </si>
  <si>
    <t>2Nd</t>
  </si>
  <si>
    <t>Cohesion Data</t>
  </si>
  <si>
    <t>Cohesion %</t>
  </si>
  <si>
    <t>Cohesion</t>
  </si>
  <si>
    <t>Distance</t>
  </si>
  <si>
    <t>100 / Tote Data</t>
  </si>
  <si>
    <t>This Track Roi Data</t>
  </si>
  <si>
    <t>This Track Roi %</t>
  </si>
  <si>
    <t>This Track Roi</t>
  </si>
  <si>
    <t>Money</t>
  </si>
  <si>
    <t>This Track Place Strike Rate Data</t>
  </si>
  <si>
    <t>WINS2 RANK</t>
  </si>
  <si>
    <t>THIS TRACK PLACE STRIKE RATE RANK</t>
  </si>
  <si>
    <t>STDEV MAX</t>
  </si>
  <si>
    <t>MIN DIFF</t>
  </si>
  <si>
    <t>A</t>
  </si>
  <si>
    <t>B</t>
  </si>
  <si>
    <t>COLUMN</t>
  </si>
  <si>
    <t>NAME</t>
  </si>
  <si>
    <t>C</t>
  </si>
  <si>
    <t>CRT+SHIFT+ENTER</t>
  </si>
  <si>
    <t>D</t>
  </si>
  <si>
    <t>Diferenca</t>
  </si>
  <si>
    <t>Average+Stdev</t>
  </si>
  <si>
    <t>aproxima</t>
  </si>
  <si>
    <t>E</t>
  </si>
  <si>
    <t>count</t>
  </si>
  <si>
    <t>DIFF</t>
  </si>
  <si>
    <t>trim</t>
  </si>
  <si>
    <t>F</t>
  </si>
  <si>
    <t>COLUMNS</t>
  </si>
  <si>
    <t>Finish Result (Updates after race)2</t>
  </si>
  <si>
    <t>G</t>
  </si>
  <si>
    <t>No</t>
  </si>
  <si>
    <t>1200m</t>
  </si>
  <si>
    <t>M</t>
  </si>
  <si>
    <t>Yes</t>
  </si>
  <si>
    <t>1050m</t>
  </si>
  <si>
    <t>1300m</t>
  </si>
  <si>
    <t>join this to RACING TEMPLATE as ra data</t>
  </si>
  <si>
    <t>Career Strike Rate2</t>
  </si>
  <si>
    <t>Career ROI2</t>
  </si>
  <si>
    <t>Career Placings2</t>
  </si>
  <si>
    <t>Career Place Strike Rate2</t>
  </si>
  <si>
    <t>Average Prize Money2</t>
  </si>
  <si>
    <t>Best Fixed Odds2</t>
  </si>
  <si>
    <t>Weight2</t>
  </si>
  <si>
    <t>This Track Runs2</t>
  </si>
  <si>
    <t>This Track Wins2</t>
  </si>
  <si>
    <t>This Track Strike Rate2</t>
  </si>
  <si>
    <t>This Track ROI2</t>
  </si>
  <si>
    <t>This Track Places2</t>
  </si>
  <si>
    <t>This Track Place Strike Rate2</t>
  </si>
  <si>
    <t>This Distance Runs2</t>
  </si>
  <si>
    <t>This Distance Wins2</t>
  </si>
  <si>
    <t>This Distance Strike Rate2</t>
  </si>
  <si>
    <t>This Distance ROI2</t>
  </si>
  <si>
    <t>This Distance Places2</t>
  </si>
  <si>
    <t>This Distance Place Strike Rate2</t>
  </si>
  <si>
    <t>This Track Distance Runs2</t>
  </si>
  <si>
    <t>This Track Distance Wins2</t>
  </si>
  <si>
    <t>This Track Distance Strike Rate2</t>
  </si>
  <si>
    <t>This Track Distance ROI2</t>
  </si>
  <si>
    <t>This Track Distance Places2</t>
  </si>
  <si>
    <t>This Track Distance Place Strike Rate2</t>
  </si>
  <si>
    <t>This Condition Runs2</t>
  </si>
  <si>
    <t>This Condition Wins2</t>
  </si>
  <si>
    <t>This Condition Strike Rate2</t>
  </si>
  <si>
    <t>This Condition ROI2</t>
  </si>
  <si>
    <t>This Condition Places2</t>
  </si>
  <si>
    <t>This Condition Place Strike Rate2</t>
  </si>
  <si>
    <t>Jockey Last 100 Avg Horse Earnings2</t>
  </si>
  <si>
    <t>Jockey Last 100 Starts2</t>
  </si>
  <si>
    <t>Jockey Last 100 Wins2</t>
  </si>
  <si>
    <t>Jockey Last 100 Strike Rate2</t>
  </si>
  <si>
    <t>Jockey Last 100 ROI2</t>
  </si>
  <si>
    <t>Jockey Last 100 Places2</t>
  </si>
  <si>
    <t>Jockey Last 100 Place Strike Rate2</t>
  </si>
  <si>
    <t>Jockey 12 Month Avg Horse Earnings2</t>
  </si>
  <si>
    <t>Jockey 12 Months Starts2</t>
  </si>
  <si>
    <t>Jockey 12 Months Wins2</t>
  </si>
  <si>
    <t>Jockey 12 Months Strike Rate2</t>
  </si>
  <si>
    <t>Jockey 12 Months ROI2</t>
  </si>
  <si>
    <t>Jockey 12 Months Places2</t>
  </si>
  <si>
    <t>Jockey 12 Months Place Strike Rate2</t>
  </si>
  <si>
    <t>Jockey This Season Avg Horse Earnings2</t>
  </si>
  <si>
    <t>Jockey This Season Starts2</t>
  </si>
  <si>
    <t>Jockey This Season Wins2</t>
  </si>
  <si>
    <t>Jockey This Season Strike Rate2</t>
  </si>
  <si>
    <t>Jockey This Season ROI2</t>
  </si>
  <si>
    <t>Jockey This Season Places2</t>
  </si>
  <si>
    <t>Jockey This Season Place Strike Rate2</t>
  </si>
  <si>
    <t>Trainer Last 100 Avg Horse Earnings2</t>
  </si>
  <si>
    <t>Trainer Last 100 Wins2</t>
  </si>
  <si>
    <t>Trainer Last 100 Strike Rate2</t>
  </si>
  <si>
    <t>Trainer Last 100 ROI2</t>
  </si>
  <si>
    <t>Trainer Last 100 Places2</t>
  </si>
  <si>
    <t>Trainer Last 100 Place Strike Rate2</t>
  </si>
  <si>
    <t>Trainer 12 Month Avg Horse Earnings2</t>
  </si>
  <si>
    <t>Trainer 12 Months Starts2</t>
  </si>
  <si>
    <t>Trainer 12 Months Wins2</t>
  </si>
  <si>
    <t>Trainer 12 Months Strike Rate2</t>
  </si>
  <si>
    <t>Trainer 12 Months ROI2</t>
  </si>
  <si>
    <t>Trainer 12 Months Places2</t>
  </si>
  <si>
    <t>Trainer 12 Months Place Strike Rate2</t>
  </si>
  <si>
    <t>Trainer This Season Avg Horse Earnings2</t>
  </si>
  <si>
    <t>Trainer This Season Starts2</t>
  </si>
  <si>
    <t>Trainer This Season Wins2</t>
  </si>
  <si>
    <t>Trainer This Season Strike Rate2</t>
  </si>
  <si>
    <t>Trainer This Season ROI2</t>
  </si>
  <si>
    <t>Trainer This Season Places2</t>
  </si>
  <si>
    <t>Trainer This Season Place Strike Rate2</t>
  </si>
  <si>
    <t>Last Start Finish Position2</t>
  </si>
  <si>
    <t>Last Start Margin2</t>
  </si>
  <si>
    <t>Last Start Prize Money2</t>
  </si>
  <si>
    <t>STDEV.P</t>
  </si>
  <si>
    <t>CENTER (RANDOM SELECTION)</t>
  </si>
  <si>
    <t>Z - SCORES</t>
  </si>
  <si>
    <t>INDEX is where I should find the answer</t>
  </si>
  <si>
    <t>DataDistance</t>
  </si>
  <si>
    <t>CENTER 1</t>
  </si>
  <si>
    <t>CENTER 2</t>
  </si>
  <si>
    <t>CENTER 3</t>
  </si>
  <si>
    <t>CENTER 4</t>
  </si>
  <si>
    <t>ORIGINAL DATA</t>
  </si>
  <si>
    <t>CENTER 5</t>
  </si>
  <si>
    <t>SUMOFSQUAREDERROR</t>
  </si>
  <si>
    <t>MATCH CENTER</t>
  </si>
  <si>
    <t>https://www.youtube.com/watch?v=ontXHp9cwOQ</t>
  </si>
  <si>
    <t>CENTER 6</t>
  </si>
  <si>
    <t>Cohesion ROI2</t>
  </si>
  <si>
    <t>Label</t>
  </si>
  <si>
    <t>Column</t>
  </si>
  <si>
    <t>Descriptive</t>
  </si>
  <si>
    <t>Occurs</t>
  </si>
  <si>
    <t>A-Z</t>
  </si>
  <si>
    <t>A-Z ie 1</t>
  </si>
  <si>
    <t>I Do Care</t>
  </si>
  <si>
    <t>Emma Ljung</t>
  </si>
  <si>
    <t>Jackie Crompton</t>
  </si>
  <si>
    <t>https://www.punters.com.au/form-guide/toowoomba_130436/the-journey-bm65-handicap_748412/</t>
  </si>
  <si>
    <t>https://www.punters.com.au/horses/i-do-care_244987/</t>
  </si>
  <si>
    <t>https://www.punters.com.au/jockeys/emma-ljung_3453/</t>
  </si>
  <si>
    <t>https://www.punters.com.au/trainers/jackie-crompton_281/</t>
  </si>
  <si>
    <t>Brave Dazzler</t>
  </si>
  <si>
    <t>Sally Sweeney</t>
  </si>
  <si>
    <t>Kevin Kemp</t>
  </si>
  <si>
    <t>https://www.punters.com.au/horses/brave-dazzler_294562/</t>
  </si>
  <si>
    <t>https://www.punters.com.au/jockeys/sally-sweeney_8403/</t>
  </si>
  <si>
    <t>https://www.punters.com.au/trainers/kevin-kemp_220/</t>
  </si>
  <si>
    <t>Ol' Brown Eyes</t>
  </si>
  <si>
    <t>Ron Goltz</t>
  </si>
  <si>
    <t>Troy Pascoe</t>
  </si>
  <si>
    <t>860m</t>
  </si>
  <si>
    <t>https://www.punters.com.au/horses/ol-brown-eyes_315494/</t>
  </si>
  <si>
    <t>https://www.punters.com.au/jockeys/ron-goltz_1478/</t>
  </si>
  <si>
    <t>https://www.punters.com.au/trainers/troy-pascoe_4273/</t>
  </si>
  <si>
    <t>Dragon Street</t>
  </si>
  <si>
    <t>Skye Bogenhuber</t>
  </si>
  <si>
    <t>Ron Drysdale</t>
  </si>
  <si>
    <t>1030m</t>
  </si>
  <si>
    <t>https://www.punters.com.au/horses/dragon-street_168555/</t>
  </si>
  <si>
    <t>https://www.punters.com.au/jockeys/skye-bogenhuber_1785/</t>
  </si>
  <si>
    <t>https://www.punters.com.au/trainers/ron-drysdale_3635/</t>
  </si>
  <si>
    <t>Noor Dropper</t>
  </si>
  <si>
    <t>Grace Willoughby</t>
  </si>
  <si>
    <t>Warren Morriss</t>
  </si>
  <si>
    <t>1000m</t>
  </si>
  <si>
    <t>https://www.punters.com.au/horses/noor-dropper_295301/</t>
  </si>
  <si>
    <t>https://www.punters.com.au/jockeys/grace-willoughby_9225/</t>
  </si>
  <si>
    <t>https://www.punters.com.au/trainers/warren-morriss_14228/</t>
  </si>
  <si>
    <t>Golfing</t>
  </si>
  <si>
    <t>Leeanne McCoy</t>
  </si>
  <si>
    <t>Rodney Hay</t>
  </si>
  <si>
    <t>https://www.punters.com.au/horses/golfing_228219/</t>
  </si>
  <si>
    <t>https://www.punters.com.au/jockeys/leeanne-mccoy_1794/</t>
  </si>
  <si>
    <t>https://www.punters.com.au/trainers/rodney-hay_182/</t>
  </si>
  <si>
    <t>Society Queen</t>
  </si>
  <si>
    <t>Nathan Evans</t>
  </si>
  <si>
    <t>Jason Devine</t>
  </si>
  <si>
    <t>https://www.punters.com.au/horses/society-queen_284517/</t>
  </si>
  <si>
    <t>https://www.punters.com.au/jockeys/nathan-evans_1280/</t>
  </si>
  <si>
    <t>https://www.punters.com.au/trainers/jason-devine_5197/</t>
  </si>
  <si>
    <t>Toecanargie Man</t>
  </si>
  <si>
    <t>Rebecca Goldsbury</t>
  </si>
  <si>
    <t>Ross Coveney</t>
  </si>
  <si>
    <t>https://www.punters.com.au/horses/toecanargie-man_520796/</t>
  </si>
  <si>
    <t>https://www.punters.com.au/jockeys/rebecca-goldsbury_14554/</t>
  </si>
  <si>
    <t>https://www.punters.com.au/trainers/ross-coveney_1629/</t>
  </si>
  <si>
    <t>(A-z) 1 or (Z-a) 0</t>
  </si>
  <si>
    <t>isna function</t>
  </si>
  <si>
    <t>Rank sum (min)</t>
  </si>
  <si>
    <t>Rank sum (Result)</t>
  </si>
  <si>
    <t>Mode (matchCentre)</t>
  </si>
  <si>
    <t>machina Rank or Raw Data (BlankOr2)</t>
  </si>
  <si>
    <t>Cluster Result</t>
  </si>
  <si>
    <t>CLUSTER RANK</t>
  </si>
  <si>
    <t>NORM DIST COVER</t>
  </si>
  <si>
    <t>CLUSTER RANK COVER</t>
  </si>
  <si>
    <t>Last Start Finish Position Data</t>
  </si>
  <si>
    <t>Last Start Finish Position%</t>
  </si>
  <si>
    <t>Last Start Finish Position RANK</t>
  </si>
  <si>
    <t>CLUSTER</t>
  </si>
  <si>
    <t>CLUSTER COUNT</t>
  </si>
  <si>
    <t>CLUSTER COUNT %</t>
  </si>
  <si>
    <t>RANK CLUSTER</t>
  </si>
  <si>
    <t>NEW RANK</t>
  </si>
  <si>
    <t>FINAL RANK</t>
  </si>
  <si>
    <t>SMALL2</t>
  </si>
  <si>
    <t>COUNT FINAL RANK</t>
  </si>
  <si>
    <t>MEAN CH</t>
  </si>
  <si>
    <t>NEW RANK MEAN</t>
  </si>
  <si>
    <t>CLUSTER SSQE</t>
  </si>
  <si>
    <t>CO9</t>
  </si>
  <si>
    <t>CO10</t>
  </si>
  <si>
    <t>CO11</t>
  </si>
  <si>
    <t>CO12</t>
  </si>
  <si>
    <t>CO13</t>
  </si>
  <si>
    <t>Cluster 1</t>
  </si>
  <si>
    <t>Cluster 2</t>
  </si>
  <si>
    <t>Cluster 3</t>
  </si>
  <si>
    <t>FARTHEST STDEV CH</t>
  </si>
  <si>
    <t>NORMAL RANK</t>
  </si>
  <si>
    <t>CLOSEST STDEV</t>
  </si>
  <si>
    <t>count &gt;=far</t>
  </si>
  <si>
    <t>count &lt;=mean</t>
  </si>
  <si>
    <t>Cluster 4</t>
  </si>
  <si>
    <t>picks</t>
  </si>
  <si>
    <t>Remainder</t>
  </si>
  <si>
    <t>Mode (RANKCLUSTER)</t>
  </si>
  <si>
    <t>min</t>
  </si>
  <si>
    <t>max</t>
  </si>
  <si>
    <t>FINISH</t>
  </si>
  <si>
    <t>rank</t>
  </si>
  <si>
    <t>range</t>
  </si>
  <si>
    <t>workings</t>
  </si>
  <si>
    <t>max()</t>
  </si>
  <si>
    <t>NORMAL COUNT</t>
  </si>
  <si>
    <t>NOTNORMAL COUNT</t>
  </si>
  <si>
    <t>colRANK</t>
  </si>
  <si>
    <t>Race</t>
  </si>
  <si>
    <t>Amanda</t>
  </si>
  <si>
    <t>Q&amp;A</t>
  </si>
  <si>
    <t>Card Picks</t>
  </si>
  <si>
    <t>CountCover%</t>
  </si>
  <si>
    <t>Normal</t>
  </si>
  <si>
    <t>Not</t>
  </si>
  <si>
    <t>Result</t>
  </si>
  <si>
    <t>Results</t>
  </si>
  <si>
    <t>CountROI</t>
  </si>
  <si>
    <t>CountROI2</t>
  </si>
  <si>
    <t>CountROI3</t>
  </si>
  <si>
    <t>CountROI4</t>
  </si>
  <si>
    <t>CountROI5</t>
  </si>
  <si>
    <t>CountROI6</t>
  </si>
  <si>
    <t>CountROI7</t>
  </si>
  <si>
    <t>CountROI8</t>
  </si>
  <si>
    <t>CountROI9</t>
  </si>
  <si>
    <t>CountROI10</t>
  </si>
  <si>
    <t>CountROI11</t>
  </si>
  <si>
    <t>CountROI12</t>
  </si>
  <si>
    <t>CountROI13</t>
  </si>
  <si>
    <t>CountROI14</t>
  </si>
  <si>
    <t>CountROI15</t>
  </si>
  <si>
    <t>CountROI16</t>
  </si>
  <si>
    <t>CountROI17</t>
  </si>
  <si>
    <t>CountROI18</t>
  </si>
  <si>
    <t>CountROI19</t>
  </si>
  <si>
    <t>CountROI20</t>
  </si>
  <si>
    <t>CountROI21</t>
  </si>
  <si>
    <t>CountROI22</t>
  </si>
  <si>
    <t>CountROI23</t>
  </si>
  <si>
    <t>CountROI24</t>
  </si>
  <si>
    <t>CountROI25</t>
  </si>
  <si>
    <t>CountROI26</t>
  </si>
  <si>
    <t>CountROI27</t>
  </si>
  <si>
    <t>CountROI28</t>
  </si>
  <si>
    <t>CountROI29</t>
  </si>
  <si>
    <t>CountROI30</t>
  </si>
  <si>
    <t>CountROI31</t>
  </si>
  <si>
    <t>CountROI32</t>
  </si>
  <si>
    <t>CountROI33</t>
  </si>
  <si>
    <t>CountROI34</t>
  </si>
  <si>
    <t>CountROI35</t>
  </si>
  <si>
    <t>CountROI36</t>
  </si>
  <si>
    <t>CountROI37</t>
  </si>
  <si>
    <t>CountROI38</t>
  </si>
  <si>
    <t>CountROI39</t>
  </si>
  <si>
    <t>CountROI40</t>
  </si>
  <si>
    <t>CountROI41</t>
  </si>
  <si>
    <t>CountROI42</t>
  </si>
  <si>
    <t>CountROI43</t>
  </si>
  <si>
    <t>CountROI44</t>
  </si>
  <si>
    <t>CountROI45</t>
  </si>
  <si>
    <t>CountROI46</t>
  </si>
  <si>
    <t>CountROI47</t>
  </si>
  <si>
    <t>CountROI48</t>
  </si>
  <si>
    <t>CountROI49</t>
  </si>
  <si>
    <t>CountROI50</t>
  </si>
  <si>
    <t>CountROI51</t>
  </si>
  <si>
    <t>CountROI52</t>
  </si>
  <si>
    <t>CountROI53</t>
  </si>
  <si>
    <t>CountROI54</t>
  </si>
  <si>
    <t>CountROI55</t>
  </si>
  <si>
    <t>CountROI56</t>
  </si>
  <si>
    <t>CountROI57</t>
  </si>
  <si>
    <t>CountROI58</t>
  </si>
  <si>
    <t>CountROI59</t>
  </si>
  <si>
    <t>CountROI60</t>
  </si>
  <si>
    <t>CountROI61</t>
  </si>
  <si>
    <t>CountROI62</t>
  </si>
  <si>
    <t>CountROI63</t>
  </si>
  <si>
    <t>CountROI64</t>
  </si>
  <si>
    <t>CountROI65</t>
  </si>
  <si>
    <t>CountROI66</t>
  </si>
  <si>
    <t>CountROI67</t>
  </si>
  <si>
    <t>CountROI68</t>
  </si>
  <si>
    <t>CountROI69</t>
  </si>
  <si>
    <t>CountROI70</t>
  </si>
  <si>
    <t>CountROI71</t>
  </si>
  <si>
    <t>CountROI72</t>
  </si>
  <si>
    <t>CountROI73</t>
  </si>
  <si>
    <t>CountROI74</t>
  </si>
  <si>
    <t>CountROI75</t>
  </si>
  <si>
    <t>NOTNORMAL</t>
  </si>
  <si>
    <t>min()</t>
  </si>
  <si>
    <t>BetEasy Odds</t>
  </si>
  <si>
    <t>Best Fixed Odds3</t>
  </si>
  <si>
    <t>Career Runs + 1</t>
  </si>
  <si>
    <t>Run Rate =1/Rate</t>
  </si>
  <si>
    <t>Run Number of Next win due</t>
  </si>
  <si>
    <t>Next Win</t>
  </si>
  <si>
    <t>Rate%</t>
  </si>
  <si>
    <t>Amended Last Start Finish Position</t>
  </si>
  <si>
    <t>DATE TIME</t>
  </si>
  <si>
    <t>WATCH</t>
  </si>
  <si>
    <t>Mode</t>
  </si>
  <si>
    <t>NIL= &lt;Mean</t>
  </si>
  <si>
    <t>AMANDA=&lt;Mean but Not Mean</t>
  </si>
  <si>
    <t>KURT =Mean&gt;FarthestMax</t>
  </si>
  <si>
    <t>SKEW=&gt;Meanmax()</t>
  </si>
  <si>
    <t>IF($CA$17=$CB$17,$CB$5,IF($BX$17=$CB$17,$CB$6,IF($G$17=$CB$17,$CA$6)))</t>
  </si>
  <si>
    <t>Now</t>
  </si>
  <si>
    <t>NOW</t>
  </si>
  <si>
    <t>MAX(STDEV&amp;CLOSEST)</t>
  </si>
  <si>
    <t>AdjustedCareer Placings</t>
  </si>
  <si>
    <t>RESULT</t>
  </si>
  <si>
    <t>Final Result</t>
  </si>
  <si>
    <t>Details Result</t>
  </si>
  <si>
    <t>INDEX</t>
  </si>
  <si>
    <t>IF($DB$14&lt;$CV$14,$DG$16,$DG$15)</t>
  </si>
  <si>
    <t>LateChange</t>
  </si>
  <si>
    <t>Win Due</t>
  </si>
  <si>
    <t>Quinella Result</t>
  </si>
  <si>
    <t>Quin Result</t>
  </si>
  <si>
    <t>Win$</t>
  </si>
  <si>
    <t>COHESION</t>
  </si>
  <si>
    <t>Max</t>
  </si>
  <si>
    <t>Min2</t>
  </si>
  <si>
    <t>Min1</t>
  </si>
  <si>
    <t>Small</t>
  </si>
  <si>
    <t>Range</t>
  </si>
  <si>
    <t>HALF STDEV(+)</t>
  </si>
  <si>
    <t>HALF STDEV (-)</t>
  </si>
  <si>
    <t>MEAN $</t>
  </si>
  <si>
    <t>RANK$</t>
  </si>
  <si>
    <t>MED</t>
  </si>
  <si>
    <t>MODE</t>
  </si>
  <si>
    <t>SMALL</t>
  </si>
  <si>
    <t>MAX Fixed Odds</t>
  </si>
  <si>
    <t>Scenarios</t>
  </si>
  <si>
    <t>Mean Fixed Odds</t>
  </si>
  <si>
    <t>Med Fixed Odds</t>
  </si>
  <si>
    <t>Mean Rate</t>
  </si>
  <si>
    <t>LAYERS</t>
  </si>
  <si>
    <t>AI</t>
  </si>
  <si>
    <t>AJ</t>
  </si>
  <si>
    <t>AK</t>
  </si>
  <si>
    <t>AH</t>
  </si>
  <si>
    <t>$K$34</t>
  </si>
  <si>
    <t>$K$36</t>
  </si>
  <si>
    <t>Stdev(A:M)</t>
  </si>
  <si>
    <t>Av/ Med</t>
  </si>
  <si>
    <t>1- StDev/Mean Rate (small=Big)</t>
  </si>
  <si>
    <t>Stdev Tote</t>
  </si>
  <si>
    <t>AG</t>
  </si>
  <si>
    <t>SPIKE COUNT</t>
  </si>
  <si>
    <t>Duplicates</t>
  </si>
  <si>
    <t>Standardize Win Due</t>
  </si>
  <si>
    <t>AM</t>
  </si>
  <si>
    <t>AO</t>
  </si>
  <si>
    <t>LC</t>
  </si>
  <si>
    <t>Watch</t>
  </si>
  <si>
    <t>AD</t>
  </si>
  <si>
    <t>Cluster Count</t>
  </si>
  <si>
    <t>Cluster + Amended</t>
  </si>
  <si>
    <t>Rank CLUSTER</t>
  </si>
  <si>
    <t>AL</t>
  </si>
  <si>
    <t>Picks</t>
  </si>
  <si>
    <t>NOW 0</t>
  </si>
  <si>
    <t>WATCH 2</t>
  </si>
  <si>
    <t>CLUSTER 3</t>
  </si>
  <si>
    <t>PICKS 4</t>
  </si>
  <si>
    <t>Cluster</t>
  </si>
  <si>
    <t>MAX AP</t>
  </si>
  <si>
    <t>SMALL AP</t>
  </si>
  <si>
    <t>LARGE AP</t>
  </si>
  <si>
    <t>Med</t>
  </si>
  <si>
    <t>ALT2</t>
  </si>
  <si>
    <t>AE</t>
  </si>
  <si>
    <t>NUM Layer</t>
  </si>
  <si>
    <t>Large</t>
  </si>
  <si>
    <t>SCRAPER&lt;</t>
  </si>
  <si>
    <t>SCRAPER&gt;</t>
  </si>
  <si>
    <t>AMANDA</t>
  </si>
  <si>
    <t>TYPE</t>
  </si>
  <si>
    <t>RANK$ SKEW</t>
  </si>
  <si>
    <t>RANK$ KURT</t>
  </si>
  <si>
    <t>Last Start Prize Money3</t>
  </si>
  <si>
    <t>Last Start Distance Change3</t>
  </si>
  <si>
    <t>Last Start Margin3</t>
  </si>
  <si>
    <t>Last Start Finish Position3</t>
  </si>
  <si>
    <t>This Distance Runs3</t>
  </si>
  <si>
    <t>VALUE</t>
  </si>
  <si>
    <t>LAST</t>
  </si>
  <si>
    <t>AE7</t>
  </si>
  <si>
    <t>SCRAPER 6</t>
  </si>
  <si>
    <t>K1&amp;K2 Covered</t>
  </si>
  <si>
    <t>SCRAPER 5</t>
  </si>
  <si>
    <t>CONSTANCES</t>
  </si>
  <si>
    <t>CLUSTER RANK(BetEasy)</t>
  </si>
  <si>
    <t>4 Picks (DUPLICATES)</t>
  </si>
  <si>
    <t>Notcovered</t>
  </si>
  <si>
    <t>Frequency</t>
  </si>
  <si>
    <t>Jockey Last 100 Horse Earnings2</t>
  </si>
  <si>
    <t>Jockey Last 100 Horse Earnings3</t>
  </si>
  <si>
    <t>Now Count</t>
  </si>
  <si>
    <t>COUNT</t>
  </si>
  <si>
    <t>PEARSON</t>
  </si>
  <si>
    <t>SLOPE m (Instant rate of Change- tangent curve)</t>
  </si>
  <si>
    <t>DERIVATIVE</t>
  </si>
  <si>
    <t>INTERCEPT</t>
  </si>
  <si>
    <t>Uses Power Rule</t>
  </si>
  <si>
    <t>x^2= 2x^1=2</t>
  </si>
  <si>
    <t>=(SLOPE * new X)+INTERCEPT'</t>
  </si>
  <si>
    <t>X Input</t>
  </si>
  <si>
    <t>New Y</t>
  </si>
  <si>
    <t>=(new Y- INTERCEPT/SLOPE) '</t>
  </si>
  <si>
    <t>Y Input</t>
  </si>
  <si>
    <t>New X</t>
  </si>
  <si>
    <t>Output</t>
  </si>
  <si>
    <t>Optimal</t>
  </si>
  <si>
    <t>Calculus</t>
  </si>
  <si>
    <t>INDEX($AQ$5:$AT$5,MATCH($AO$1,$AQ$3:$AT$3,0)))</t>
  </si>
  <si>
    <t>INDEX($AQ$3:$AT$3,MATCH($AM$1,$AQ$3:$AT$3,0)))</t>
  </si>
  <si>
    <t>J7-K7</t>
  </si>
  <si>
    <t>J7-K7 Count</t>
  </si>
  <si>
    <t>AT-K7</t>
  </si>
  <si>
    <t>time4</t>
  </si>
  <si>
    <t>mean</t>
  </si>
  <si>
    <t>BI</t>
  </si>
  <si>
    <t>BF</t>
  </si>
  <si>
    <t>BM</t>
  </si>
  <si>
    <t>BK</t>
  </si>
  <si>
    <t>Jmedian</t>
  </si>
  <si>
    <t>TOTE</t>
  </si>
  <si>
    <t>Results2</t>
  </si>
  <si>
    <t>PICKS</t>
  </si>
  <si>
    <t>SUM</t>
  </si>
  <si>
    <t>PICK 1</t>
  </si>
  <si>
    <t>PICK 2</t>
  </si>
  <si>
    <t>PICK 3</t>
  </si>
  <si>
    <t>PICK 32</t>
  </si>
  <si>
    <t>25th Quartile</t>
  </si>
  <si>
    <t>QUART</t>
  </si>
  <si>
    <t>Field Percentiles</t>
  </si>
  <si>
    <t>Notcovered2</t>
  </si>
  <si>
    <t>Av.</t>
  </si>
  <si>
    <t>Q</t>
  </si>
  <si>
    <t>K7&lt;=STDEV</t>
  </si>
  <si>
    <t>Count K1 &amp; J1</t>
  </si>
  <si>
    <t>Match 1 in J</t>
  </si>
  <si>
    <t>Non Mean</t>
  </si>
  <si>
    <t>MEAN COUNT</t>
  </si>
  <si>
    <t>NON MEAN COUNT</t>
  </si>
  <si>
    <t>Non Mean2</t>
  </si>
  <si>
    <t>Jmean</t>
  </si>
  <si>
    <t>JNonMean</t>
  </si>
  <si>
    <t>JNon Mean2</t>
  </si>
  <si>
    <t>ABS</t>
  </si>
  <si>
    <t>Career Wins +1</t>
  </si>
  <si>
    <t>AdjustedCareer Win Rate</t>
  </si>
  <si>
    <t>COUNT NOW</t>
  </si>
  <si>
    <t>IF(AND(RawData[@Num]&lt;&gt;"",ED3&gt;$ED$34,EH3&gt;=$EH$38),1,IF(AND(RawData[@Num]&lt;&gt;"",EH3&lt;=$EH$34),1,EH3))</t>
  </si>
  <si>
    <t>KURT POS</t>
  </si>
  <si>
    <t>SKEW POS</t>
  </si>
  <si>
    <t>NOW vs PICK1</t>
  </si>
  <si>
    <t>NOW vs PICK2</t>
  </si>
  <si>
    <t>ABS Rank</t>
  </si>
  <si>
    <t>var Career Run +1 Win Due</t>
  </si>
  <si>
    <t>$i</t>
  </si>
  <si>
    <t>MINKURT</t>
  </si>
  <si>
    <t>This Track Distance Wins3</t>
  </si>
  <si>
    <t>This Track Distance Runs3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</si>
</sst>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(&quot;$&quot;* #,##0.00_);_(&quot;$&quot;* \(#,##0.00\);_(&quot;$&quot;* &quot;-&quot;??_);_(@_)"/>
    <numFmt numFmtId="165" formatCode="&quot;$&quot;#,##0.00"/>
    <numFmt numFmtId="166" formatCode="_-[$$-C09]* #,##0_-;\-[$$-C09]* #,##0_-;_-[$$-C09]* &quot;-&quot;??_-;_-@_-"/>
    <numFmt numFmtId="167" formatCode="[$$-C09]#,##0.0"/>
    <numFmt numFmtId="168" formatCode="&quot;$&quot;#,##0"/>
    <numFmt numFmtId="169" formatCode="_-* #,##0.00_-;\-* #,##0.00_-;_-* \-??_-;_-@_-"/>
    <numFmt numFmtId="170" formatCode="_-* #,##0_-;\-* #,##0_-;_-* \-??_-;_-@_-"/>
    <numFmt numFmtId="171" formatCode="0.0%"/>
    <numFmt numFmtId="172" formatCode="_-\£* #,##0.00_-;&quot;-£&quot;* #,##0.00_-;_-\£* \-??_-;_-@_-"/>
    <numFmt numFmtId="173" formatCode="_-\$* #,##0.00_-;&quot;-$&quot;* #,##0.00_-;_-\$* \-??_-;_-@_-"/>
    <numFmt numFmtId="174" formatCode="_-\£* #,##0.00_-;[$€]* #,##0.00_-;_-\£* \-??_-;_-@_-"/>
    <numFmt numFmtId="175" formatCode="_-* #,##0.000_-;\-* #,##0.000_-;_-* \-??_-;_-@_-"/>
    <numFmt numFmtId="176" formatCode="0.0000"/>
    <numFmt numFmtId="177" formatCode="#,##0.000"/>
    <numFmt numFmtId="178" formatCode="#,##0.0"/>
    <numFmt numFmtId="179" formatCode="0.000%"/>
    <numFmt numFmtId="180" formatCode="_-&quot;$&quot;* #,##0_-;\-&quot;$&quot;* #,##0_-;_-&quot;$&quot;* &quot;-&quot;??_-;_-@_-"/>
    <numFmt numFmtId="181" formatCode="_-[$$-C09]* #,##0.00_-;\-[$$-C09]* #,##0.00_-;_-[$$-C09]* &quot;-&quot;??_-;_-@_-"/>
    <numFmt numFmtId="182" formatCode="0.0"/>
    <numFmt numFmtId="183" formatCode="0.000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2"/>
      <color rgb="FFFF0000"/>
      <name val="Arial"/>
      <family val="2"/>
    </font>
    <font>
      <sz val="22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22"/>
      <color theme="3" tint="-0.499984740745262"/>
      <name val="Playbill"/>
      <family val="5"/>
    </font>
    <font>
      <b/>
      <sz val="22"/>
      <color theme="3" tint="-0.499984740745262"/>
      <name val="Calibri"/>
      <family val="2"/>
      <scheme val="minor"/>
    </font>
    <font>
      <sz val="22"/>
      <color rgb="FF920000"/>
      <name val="Playbill"/>
      <family val="5"/>
    </font>
    <font>
      <b/>
      <sz val="22"/>
      <color rgb="FFFFFF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theme="2" tint="-9.9978637043366805E-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name val="Arial"/>
      <family val="2"/>
    </font>
    <font>
      <b/>
      <sz val="24"/>
      <color theme="3" tint="-0.499984740745262"/>
      <name val="Calibri"/>
      <family val="2"/>
      <scheme val="minor"/>
    </font>
    <font>
      <b/>
      <sz val="24"/>
      <name val="Calibri"/>
      <family val="2"/>
      <scheme val="minor"/>
    </font>
    <font>
      <sz val="24"/>
      <color theme="3" tint="-0.499984740745262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rgb="FF000000"/>
      <name val="Arial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b/>
      <sz val="14"/>
      <name val="Calibri"/>
      <family val="2"/>
      <scheme val="minor"/>
    </font>
    <font>
      <sz val="26"/>
      <color theme="0"/>
      <name val="Calibri"/>
      <family val="2"/>
      <scheme val="minor"/>
    </font>
    <font>
      <sz val="22"/>
      <color rgb="FF002060"/>
      <name val="Playbill"/>
      <family val="5"/>
    </font>
    <font>
      <sz val="22"/>
      <color theme="6" tint="-0.499984740745262"/>
      <name val="Playbill"/>
      <family val="5"/>
    </font>
    <font>
      <sz val="14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2"/>
      <color theme="3" tint="-0.249977111117893"/>
      <name val="Playbill"/>
      <family val="5"/>
    </font>
    <font>
      <sz val="22"/>
      <color theme="2" tint="-0.74999237037263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name val="Arial"/>
      <family val="2"/>
    </font>
    <font>
      <sz val="20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48"/>
      <color rgb="FF000000"/>
      <name val="Calibri"/>
      <family val="2"/>
    </font>
    <font>
      <sz val="18"/>
      <name val="Arial"/>
      <family val="2"/>
    </font>
    <font>
      <sz val="8"/>
      <name val="Calibri"/>
      <family val="2"/>
      <scheme val="minor"/>
    </font>
    <font>
      <sz val="10"/>
      <color rgb="FF242729"/>
      <name val="Consolas"/>
      <family val="3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b/>
      <sz val="14"/>
      <color rgb="FF002060"/>
      <name val="Calibri"/>
      <family val="2"/>
      <scheme val="minor"/>
    </font>
    <font>
      <i/>
      <sz val="36"/>
      <color rgb="FFFF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5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9272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DD71"/>
        <bgColor indexed="5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6" tint="-0.249977111117893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rgb="FF000000"/>
      </top>
      <bottom style="medium">
        <color theme="6"/>
      </bottom>
      <diagonal/>
    </border>
    <border>
      <left style="thin">
        <color theme="6"/>
      </left>
      <right style="thin">
        <color rgb="FF000000"/>
      </right>
      <top style="thin">
        <color rgb="FF000000"/>
      </top>
      <bottom style="medium">
        <color theme="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double">
        <color theme="6"/>
      </top>
      <bottom style="thin">
        <color indexed="64"/>
      </bottom>
      <diagonal/>
    </border>
    <border>
      <left style="thin">
        <color theme="6"/>
      </left>
      <right style="thin">
        <color indexed="64"/>
      </right>
      <top style="thin">
        <color indexed="64"/>
      </top>
      <bottom style="medium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rgb="FF000000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</borders>
  <cellStyleXfs count="14">
    <xf numFmtId="0" fontId="0" fillId="0" borderId="0"/>
    <xf numFmtId="169" fontId="2" fillId="0" borderId="0" applyFill="0" applyBorder="0" applyAlignment="0" applyProtection="0"/>
    <xf numFmtId="172" fontId="2" fillId="0" borderId="0" applyFill="0" applyBorder="0" applyAlignment="0" applyProtection="0"/>
    <xf numFmtId="9" fontId="2" fillId="0" borderId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436">
    <xf numFmtId="0" fontId="0" fillId="0" borderId="0" xfId="0"/>
    <xf numFmtId="0" fontId="3" fillId="0" borderId="0" xfId="4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3" fillId="0" borderId="0" xfId="4" applyFont="1" applyAlignment="1">
      <alignment horizontal="center" vertical="center"/>
    </xf>
    <xf numFmtId="9" fontId="3" fillId="0" borderId="0" xfId="3" applyFont="1" applyAlignment="1">
      <alignment horizontal="center" vertical="center"/>
    </xf>
    <xf numFmtId="1" fontId="5" fillId="6" borderId="0" xfId="4" applyNumberFormat="1" applyFont="1" applyFill="1" applyAlignment="1">
      <alignment horizontal="center" vertical="center"/>
    </xf>
    <xf numFmtId="9" fontId="5" fillId="6" borderId="0" xfId="3" applyFont="1" applyFill="1" applyAlignment="1">
      <alignment horizontal="center" vertical="center"/>
    </xf>
    <xf numFmtId="169" fontId="5" fillId="0" borderId="0" xfId="1" applyFont="1" applyAlignment="1">
      <alignment horizontal="center" vertical="center"/>
    </xf>
    <xf numFmtId="171" fontId="3" fillId="0" borderId="0" xfId="3" applyNumberFormat="1" applyFont="1" applyAlignment="1">
      <alignment horizontal="center" vertical="center"/>
    </xf>
    <xf numFmtId="169" fontId="3" fillId="0" borderId="0" xfId="1" applyFont="1" applyAlignment="1">
      <alignment horizontal="center" vertical="center"/>
    </xf>
    <xf numFmtId="173" fontId="3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" fontId="3" fillId="7" borderId="0" xfId="4" applyNumberFormat="1" applyFont="1" applyFill="1" applyAlignment="1">
      <alignment horizontal="center" vertical="center"/>
    </xf>
    <xf numFmtId="0" fontId="6" fillId="4" borderId="0" xfId="4" applyFont="1" applyFill="1" applyAlignment="1">
      <alignment horizontal="center" vertical="center"/>
    </xf>
    <xf numFmtId="1" fontId="6" fillId="8" borderId="0" xfId="4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9" fontId="5" fillId="6" borderId="1" xfId="3" applyFont="1" applyFill="1" applyBorder="1" applyAlignment="1">
      <alignment horizontal="center" vertical="center"/>
    </xf>
    <xf numFmtId="9" fontId="5" fillId="0" borderId="1" xfId="3" applyFont="1" applyBorder="1" applyAlignment="1">
      <alignment horizontal="center" vertical="center"/>
    </xf>
    <xf numFmtId="0" fontId="5" fillId="0" borderId="1" xfId="4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6" fillId="4" borderId="1" xfId="4" applyFont="1" applyFill="1" applyBorder="1" applyAlignment="1">
      <alignment horizontal="center" vertical="center"/>
    </xf>
    <xf numFmtId="171" fontId="3" fillId="9" borderId="0" xfId="3" applyNumberFormat="1" applyFont="1" applyFill="1" applyAlignment="1">
      <alignment horizontal="center" vertical="center"/>
    </xf>
    <xf numFmtId="9" fontId="5" fillId="9" borderId="1" xfId="4" applyNumberFormat="1" applyFont="1" applyFill="1" applyBorder="1" applyAlignment="1">
      <alignment horizontal="center" vertical="center"/>
    </xf>
    <xf numFmtId="170" fontId="5" fillId="9" borderId="1" xfId="1" applyNumberFormat="1" applyFont="1" applyFill="1" applyBorder="1" applyAlignment="1">
      <alignment horizontal="center" vertical="center"/>
    </xf>
    <xf numFmtId="169" fontId="5" fillId="9" borderId="1" xfId="1" applyFont="1" applyFill="1" applyBorder="1" applyAlignment="1">
      <alignment horizontal="center" vertical="center"/>
    </xf>
    <xf numFmtId="1" fontId="5" fillId="5" borderId="1" xfId="4" applyNumberFormat="1" applyFont="1" applyFill="1" applyBorder="1" applyAlignment="1">
      <alignment horizontal="center" vertical="center"/>
    </xf>
    <xf numFmtId="1" fontId="15" fillId="0" borderId="0" xfId="1" applyNumberFormat="1" applyFont="1" applyAlignment="1">
      <alignment horizontal="right" vertical="center"/>
    </xf>
    <xf numFmtId="164" fontId="16" fillId="4" borderId="1" xfId="4" applyNumberFormat="1" applyFont="1" applyFill="1" applyBorder="1" applyAlignment="1">
      <alignment horizontal="center" vertical="center"/>
    </xf>
    <xf numFmtId="9" fontId="10" fillId="4" borderId="1" xfId="3" applyFont="1" applyFill="1" applyBorder="1" applyAlignment="1">
      <alignment horizontal="center" vertical="center"/>
    </xf>
    <xf numFmtId="1" fontId="13" fillId="0" borderId="0" xfId="4" applyNumberFormat="1" applyFont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170" fontId="13" fillId="0" borderId="0" xfId="1" applyNumberFormat="1" applyFont="1" applyAlignment="1">
      <alignment horizontal="left" vertical="center"/>
    </xf>
    <xf numFmtId="0" fontId="7" fillId="5" borderId="0" xfId="4" applyFont="1" applyFill="1" applyAlignment="1">
      <alignment horizontal="center" vertical="center"/>
    </xf>
    <xf numFmtId="0" fontId="3" fillId="7" borderId="0" xfId="4" applyFont="1" applyFill="1" applyAlignment="1">
      <alignment horizontal="center" vertical="center"/>
    </xf>
    <xf numFmtId="9" fontId="9" fillId="7" borderId="0" xfId="3" applyFont="1" applyFill="1" applyAlignment="1">
      <alignment horizontal="center" vertical="center"/>
    </xf>
    <xf numFmtId="1" fontId="6" fillId="4" borderId="0" xfId="4" applyNumberFormat="1" applyFont="1" applyFill="1" applyAlignment="1">
      <alignment horizontal="center" vertical="center"/>
    </xf>
    <xf numFmtId="1" fontId="4" fillId="0" borderId="0" xfId="0" applyNumberFormat="1" applyFont="1" applyAlignment="1">
      <alignment vertical="center"/>
    </xf>
    <xf numFmtId="9" fontId="5" fillId="7" borderId="0" xfId="4" applyNumberFormat="1" applyFont="1" applyFill="1" applyAlignment="1">
      <alignment horizontal="center" vertical="center"/>
    </xf>
    <xf numFmtId="9" fontId="3" fillId="0" borderId="1" xfId="3" applyFont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4" fillId="5" borderId="0" xfId="4" applyFont="1" applyFill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4" applyNumberFormat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3" fillId="0" borderId="0" xfId="4" applyFont="1" applyAlignment="1">
      <alignment horizontal="right" vertical="center"/>
    </xf>
    <xf numFmtId="0" fontId="7" fillId="0" borderId="0" xfId="4" applyFont="1" applyAlignment="1">
      <alignment horizontal="center" vertical="center" wrapText="1"/>
    </xf>
    <xf numFmtId="170" fontId="3" fillId="6" borderId="0" xfId="1" applyNumberFormat="1" applyFont="1" applyFill="1" applyAlignment="1">
      <alignment horizontal="center" vertical="center"/>
    </xf>
    <xf numFmtId="1" fontId="3" fillId="6" borderId="0" xfId="1" applyNumberFormat="1" applyFont="1" applyFill="1" applyAlignment="1">
      <alignment horizontal="center" vertical="center"/>
    </xf>
    <xf numFmtId="170" fontId="6" fillId="10" borderId="0" xfId="1" applyNumberFormat="1" applyFont="1" applyFill="1" applyAlignment="1">
      <alignment horizontal="center" vertical="center"/>
    </xf>
    <xf numFmtId="0" fontId="7" fillId="0" borderId="0" xfId="4" applyFont="1" applyAlignment="1">
      <alignment horizontal="left" vertical="center" wrapText="1"/>
    </xf>
    <xf numFmtId="0" fontId="6" fillId="11" borderId="0" xfId="4" applyFont="1" applyFill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2" fontId="3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5" fillId="9" borderId="1" xfId="4" applyNumberFormat="1" applyFont="1" applyFill="1" applyBorder="1" applyAlignment="1">
      <alignment horizontal="center" vertical="center"/>
    </xf>
    <xf numFmtId="0" fontId="18" fillId="0" borderId="0" xfId="4" applyFont="1" applyAlignment="1">
      <alignment vertical="center"/>
    </xf>
    <xf numFmtId="175" fontId="3" fillId="6" borderId="0" xfId="1" applyNumberFormat="1" applyFont="1" applyFill="1" applyAlignment="1">
      <alignment horizontal="center" vertical="center"/>
    </xf>
    <xf numFmtId="176" fontId="5" fillId="5" borderId="1" xfId="4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9" fontId="5" fillId="7" borderId="1" xfId="4" applyNumberFormat="1" applyFont="1" applyFill="1" applyBorder="1" applyAlignment="1">
      <alignment horizontal="center" vertical="center"/>
    </xf>
    <xf numFmtId="171" fontId="8" fillId="4" borderId="1" xfId="0" applyNumberFormat="1" applyFont="1" applyFill="1" applyBorder="1" applyAlignment="1">
      <alignment vertical="center"/>
    </xf>
    <xf numFmtId="0" fontId="3" fillId="0" borderId="1" xfId="4" applyFont="1" applyBorder="1" applyAlignment="1">
      <alignment horizontal="center" vertical="center"/>
    </xf>
    <xf numFmtId="10" fontId="5" fillId="7" borderId="1" xfId="4" applyNumberFormat="1" applyFont="1" applyFill="1" applyBorder="1" applyAlignment="1">
      <alignment horizontal="center" vertical="center"/>
    </xf>
    <xf numFmtId="171" fontId="10" fillId="4" borderId="1" xfId="0" applyNumberFormat="1" applyFont="1" applyFill="1" applyBorder="1" applyAlignment="1">
      <alignment vertical="center"/>
    </xf>
    <xf numFmtId="10" fontId="10" fillId="4" borderId="1" xfId="0" applyNumberFormat="1" applyFont="1" applyFill="1" applyBorder="1" applyAlignment="1">
      <alignment vertical="center"/>
    </xf>
    <xf numFmtId="0" fontId="5" fillId="5" borderId="1" xfId="4" applyFont="1" applyFill="1" applyBorder="1" applyAlignment="1">
      <alignment horizontal="left" vertical="center"/>
    </xf>
    <xf numFmtId="171" fontId="10" fillId="4" borderId="1" xfId="0" applyNumberFormat="1" applyFont="1" applyFill="1" applyBorder="1" applyAlignment="1">
      <alignment horizontal="center" vertical="center"/>
    </xf>
    <xf numFmtId="10" fontId="10" fillId="4" borderId="1" xfId="0" applyNumberFormat="1" applyFont="1" applyFill="1" applyBorder="1" applyAlignment="1">
      <alignment horizontal="center" vertical="center"/>
    </xf>
    <xf numFmtId="9" fontId="3" fillId="5" borderId="0" xfId="3" applyFont="1" applyFill="1" applyAlignment="1">
      <alignment horizontal="center" vertical="center"/>
    </xf>
    <xf numFmtId="1" fontId="5" fillId="0" borderId="0" xfId="3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4" fontId="19" fillId="4" borderId="1" xfId="4" applyNumberFormat="1" applyFont="1" applyFill="1" applyBorder="1" applyAlignment="1">
      <alignment horizontal="center" vertical="center"/>
    </xf>
    <xf numFmtId="10" fontId="3" fillId="9" borderId="0" xfId="3" applyNumberFormat="1" applyFont="1" applyFill="1" applyAlignment="1">
      <alignment horizontal="center" vertical="center"/>
    </xf>
    <xf numFmtId="10" fontId="21" fillId="12" borderId="0" xfId="4" applyNumberFormat="1" applyFont="1" applyFill="1" applyAlignment="1">
      <alignment horizontal="center" vertical="center" wrapText="1"/>
    </xf>
    <xf numFmtId="0" fontId="21" fillId="12" borderId="0" xfId="4" applyFont="1" applyFill="1" applyAlignment="1">
      <alignment horizontal="center" vertical="center"/>
    </xf>
    <xf numFmtId="165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/>
    </xf>
    <xf numFmtId="0" fontId="21" fillId="0" borderId="0" xfId="4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9" fontId="21" fillId="12" borderId="0" xfId="5" applyFont="1" applyFill="1" applyAlignment="1">
      <alignment horizontal="center" vertical="center"/>
    </xf>
    <xf numFmtId="168" fontId="21" fillId="12" borderId="0" xfId="4" applyNumberFormat="1" applyFont="1" applyFill="1" applyAlignment="1">
      <alignment horizontal="center" vertical="center"/>
    </xf>
    <xf numFmtId="177" fontId="21" fillId="12" borderId="0" xfId="4" applyNumberFormat="1" applyFont="1" applyFill="1" applyAlignment="1">
      <alignment horizontal="center" vertical="center"/>
    </xf>
    <xf numFmtId="168" fontId="23" fillId="13" borderId="0" xfId="4" applyNumberFormat="1" applyFont="1" applyFill="1" applyAlignment="1" applyProtection="1">
      <alignment horizontal="center" vertical="center"/>
      <protection locked="0"/>
    </xf>
    <xf numFmtId="9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 wrapText="1"/>
    </xf>
    <xf numFmtId="20" fontId="22" fillId="0" borderId="0" xfId="0" applyNumberFormat="1" applyFont="1" applyAlignment="1">
      <alignment horizontal="left" vertical="center"/>
    </xf>
    <xf numFmtId="165" fontId="21" fillId="12" borderId="0" xfId="4" applyNumberFormat="1" applyFont="1" applyFill="1" applyAlignment="1">
      <alignment horizontal="center" vertical="center" wrapText="1"/>
    </xf>
    <xf numFmtId="9" fontId="21" fillId="12" borderId="0" xfId="4" applyNumberFormat="1" applyFont="1" applyFill="1" applyAlignment="1">
      <alignment horizontal="center" vertical="center" wrapText="1"/>
    </xf>
    <xf numFmtId="0" fontId="21" fillId="2" borderId="1" xfId="4" applyFont="1" applyFill="1" applyBorder="1" applyAlignment="1">
      <alignment horizontal="center" vertical="center"/>
    </xf>
    <xf numFmtId="9" fontId="21" fillId="12" borderId="1" xfId="4" applyNumberFormat="1" applyFont="1" applyFill="1" applyBorder="1" applyAlignment="1">
      <alignment horizontal="center" vertical="center" wrapText="1"/>
    </xf>
    <xf numFmtId="1" fontId="21" fillId="0" borderId="1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0" fontId="21" fillId="0" borderId="1" xfId="4" applyNumberFormat="1" applyFont="1" applyBorder="1" applyAlignment="1">
      <alignment horizontal="center" vertical="center"/>
    </xf>
    <xf numFmtId="2" fontId="21" fillId="0" borderId="1" xfId="4" applyNumberFormat="1" applyFont="1" applyBorder="1" applyAlignment="1">
      <alignment horizontal="center" vertical="center"/>
    </xf>
    <xf numFmtId="166" fontId="21" fillId="0" borderId="1" xfId="4" applyNumberFormat="1" applyFont="1" applyBorder="1" applyAlignment="1">
      <alignment horizontal="center" vertical="center"/>
    </xf>
    <xf numFmtId="4" fontId="22" fillId="0" borderId="1" xfId="0" applyNumberFormat="1" applyFont="1" applyBorder="1" applyAlignment="1">
      <alignment horizontal="center" vertical="center"/>
    </xf>
    <xf numFmtId="10" fontId="21" fillId="0" borderId="1" xfId="3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center" vertical="center"/>
    </xf>
    <xf numFmtId="0" fontId="24" fillId="12" borderId="0" xfId="4" applyFont="1" applyFill="1" applyAlignment="1">
      <alignment horizontal="center" vertical="center"/>
    </xf>
    <xf numFmtId="0" fontId="21" fillId="4" borderId="0" xfId="4" applyFont="1" applyFill="1" applyAlignment="1">
      <alignment horizontal="center" vertical="center"/>
    </xf>
    <xf numFmtId="4" fontId="24" fillId="12" borderId="0" xfId="4" applyNumberFormat="1" applyFont="1" applyFill="1" applyAlignment="1">
      <alignment horizontal="center" vertical="center"/>
    </xf>
    <xf numFmtId="3" fontId="24" fillId="12" borderId="0" xfId="4" applyNumberFormat="1" applyFont="1" applyFill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/>
    </xf>
    <xf numFmtId="0" fontId="26" fillId="0" borderId="0" xfId="4" applyFont="1" applyAlignment="1" applyProtection="1">
      <alignment horizontal="center" vertical="center"/>
      <protection locked="0"/>
    </xf>
    <xf numFmtId="2" fontId="24" fillId="0" borderId="1" xfId="4" applyNumberFormat="1" applyFont="1" applyBorder="1" applyAlignment="1">
      <alignment horizontal="left" vertical="center"/>
    </xf>
    <xf numFmtId="2" fontId="24" fillId="0" borderId="1" xfId="4" applyNumberFormat="1" applyFont="1" applyBorder="1" applyAlignment="1">
      <alignment horizontal="center" vertical="center"/>
    </xf>
    <xf numFmtId="2" fontId="24" fillId="0" borderId="3" xfId="4" applyNumberFormat="1" applyFont="1" applyBorder="1" applyAlignment="1">
      <alignment horizontal="center" vertical="center"/>
    </xf>
    <xf numFmtId="3" fontId="27" fillId="0" borderId="1" xfId="4" applyNumberFormat="1" applyFont="1" applyBorder="1" applyAlignment="1">
      <alignment horizontal="center" vertical="center"/>
    </xf>
    <xf numFmtId="4" fontId="24" fillId="14" borderId="0" xfId="4" applyNumberFormat="1" applyFont="1" applyFill="1" applyAlignment="1">
      <alignment horizontal="center" vertical="center"/>
    </xf>
    <xf numFmtId="10" fontId="24" fillId="14" borderId="0" xfId="5" applyNumberFormat="1" applyFont="1" applyFill="1" applyAlignment="1">
      <alignment horizontal="center" vertical="center"/>
    </xf>
    <xf numFmtId="167" fontId="24" fillId="14" borderId="0" xfId="4" applyNumberFormat="1" applyFont="1" applyFill="1" applyAlignment="1">
      <alignment horizontal="center" vertical="center"/>
    </xf>
    <xf numFmtId="4" fontId="24" fillId="14" borderId="12" xfId="4" applyNumberFormat="1" applyFont="1" applyFill="1" applyBorder="1" applyAlignment="1">
      <alignment horizontal="center" vertical="center"/>
    </xf>
    <xf numFmtId="3" fontId="21" fillId="2" borderId="1" xfId="4" applyNumberFormat="1" applyFont="1" applyFill="1" applyBorder="1" applyAlignment="1">
      <alignment horizontal="center" vertical="center"/>
    </xf>
    <xf numFmtId="4" fontId="21" fillId="2" borderId="1" xfId="4" applyNumberFormat="1" applyFont="1" applyFill="1" applyBorder="1" applyAlignment="1">
      <alignment horizontal="center" vertical="center"/>
    </xf>
    <xf numFmtId="9" fontId="21" fillId="2" borderId="1" xfId="3" applyFont="1" applyFill="1" applyBorder="1" applyAlignment="1">
      <alignment horizontal="center" vertical="center"/>
    </xf>
    <xf numFmtId="0" fontId="24" fillId="0" borderId="0" xfId="4" applyFont="1" applyAlignment="1" applyProtection="1">
      <alignment horizontal="center" vertical="center"/>
      <protection locked="0"/>
    </xf>
    <xf numFmtId="1" fontId="24" fillId="0" borderId="0" xfId="4" applyNumberFormat="1" applyFont="1" applyAlignment="1">
      <alignment horizontal="center" vertical="center"/>
    </xf>
    <xf numFmtId="2" fontId="24" fillId="0" borderId="0" xfId="4" applyNumberFormat="1" applyFont="1" applyAlignment="1">
      <alignment horizontal="center" vertical="center"/>
    </xf>
    <xf numFmtId="4" fontId="24" fillId="0" borderId="0" xfId="4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" fontId="20" fillId="15" borderId="11" xfId="4" applyNumberFormat="1" applyFont="1" applyFill="1" applyBorder="1" applyAlignment="1">
      <alignment horizontal="center" vertical="center"/>
    </xf>
    <xf numFmtId="2" fontId="20" fillId="16" borderId="1" xfId="4" applyNumberFormat="1" applyFont="1" applyFill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/>
      <protection locked="0"/>
    </xf>
    <xf numFmtId="2" fontId="3" fillId="0" borderId="0" xfId="4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horizontal="left" vertical="center"/>
    </xf>
    <xf numFmtId="2" fontId="28" fillId="0" borderId="1" xfId="4" applyNumberFormat="1" applyFont="1" applyBorder="1" applyAlignment="1">
      <alignment horizontal="center" vertical="center"/>
    </xf>
    <xf numFmtId="10" fontId="29" fillId="12" borderId="1" xfId="4" applyNumberFormat="1" applyFont="1" applyFill="1" applyBorder="1" applyAlignment="1">
      <alignment vertical="center" wrapText="1"/>
    </xf>
    <xf numFmtId="164" fontId="29" fillId="12" borderId="1" xfId="4" applyNumberFormat="1" applyFont="1" applyFill="1" applyBorder="1" applyAlignment="1">
      <alignment vertical="center" wrapText="1"/>
    </xf>
    <xf numFmtId="0" fontId="21" fillId="0" borderId="6" xfId="4" applyFont="1" applyBorder="1" applyAlignment="1">
      <alignment horizontal="center" vertical="center"/>
    </xf>
    <xf numFmtId="9" fontId="29" fillId="12" borderId="1" xfId="3" applyFont="1" applyFill="1" applyBorder="1" applyAlignment="1">
      <alignment vertical="center" wrapText="1"/>
    </xf>
    <xf numFmtId="9" fontId="29" fillId="12" borderId="11" xfId="3" applyFont="1" applyFill="1" applyBorder="1" applyAlignment="1">
      <alignment vertical="center" wrapText="1"/>
    </xf>
    <xf numFmtId="9" fontId="1" fillId="0" borderId="1" xfId="3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2" fontId="1" fillId="0" borderId="1" xfId="3" applyNumberFormat="1" applyFont="1" applyBorder="1" applyAlignment="1">
      <alignment horizontal="center" vertical="center"/>
    </xf>
    <xf numFmtId="2" fontId="29" fillId="12" borderId="1" xfId="4" applyNumberFormat="1" applyFont="1" applyFill="1" applyBorder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30" fillId="0" borderId="0" xfId="0" applyFont="1"/>
    <xf numFmtId="0" fontId="6" fillId="8" borderId="1" xfId="4" applyFont="1" applyFill="1" applyBorder="1" applyAlignment="1">
      <alignment horizontal="center" vertical="center"/>
    </xf>
    <xf numFmtId="10" fontId="23" fillId="12" borderId="1" xfId="4" applyNumberFormat="1" applyFont="1" applyFill="1" applyBorder="1" applyAlignment="1">
      <alignment horizontal="center" vertical="center" wrapText="1"/>
    </xf>
    <xf numFmtId="2" fontId="29" fillId="12" borderId="1" xfId="3" applyNumberFormat="1" applyFont="1" applyFill="1" applyBorder="1" applyAlignment="1">
      <alignment horizontal="center" vertical="center" wrapText="1"/>
    </xf>
    <xf numFmtId="178" fontId="21" fillId="2" borderId="1" xfId="4" applyNumberFormat="1" applyFont="1" applyFill="1" applyBorder="1" applyAlignment="1">
      <alignment horizontal="center" vertical="center"/>
    </xf>
    <xf numFmtId="178" fontId="25" fillId="12" borderId="1" xfId="4" applyNumberFormat="1" applyFont="1" applyFill="1" applyBorder="1" applyAlignment="1">
      <alignment horizontal="center" vertical="center" wrapText="1"/>
    </xf>
    <xf numFmtId="10" fontId="29" fillId="12" borderId="1" xfId="4" applyNumberFormat="1" applyFont="1" applyFill="1" applyBorder="1" applyAlignment="1">
      <alignment horizontal="center" vertical="center" wrapText="1"/>
    </xf>
    <xf numFmtId="10" fontId="23" fillId="12" borderId="14" xfId="4" applyNumberFormat="1" applyFont="1" applyFill="1" applyBorder="1" applyAlignment="1">
      <alignment horizontal="center" vertical="center" wrapText="1"/>
    </xf>
    <xf numFmtId="9" fontId="29" fillId="12" borderId="1" xfId="3" applyFont="1" applyFill="1" applyBorder="1" applyAlignment="1">
      <alignment horizontal="center" vertical="center" wrapText="1"/>
    </xf>
    <xf numFmtId="10" fontId="23" fillId="12" borderId="0" xfId="4" applyNumberFormat="1" applyFont="1" applyFill="1" applyAlignment="1">
      <alignment horizontal="center" vertical="center" wrapText="1"/>
    </xf>
    <xf numFmtId="10" fontId="29" fillId="12" borderId="0" xfId="4" applyNumberFormat="1" applyFont="1" applyFill="1" applyAlignment="1">
      <alignment horizontal="center" vertical="center" wrapText="1"/>
    </xf>
    <xf numFmtId="164" fontId="29" fillId="12" borderId="1" xfId="4" applyNumberFormat="1" applyFont="1" applyFill="1" applyBorder="1" applyAlignment="1">
      <alignment horizontal="center" vertical="center" wrapText="1"/>
    </xf>
    <xf numFmtId="2" fontId="31" fillId="9" borderId="1" xfId="4" applyNumberFormat="1" applyFont="1" applyFill="1" applyBorder="1" applyAlignment="1">
      <alignment horizontal="center" vertical="center" wrapText="1"/>
    </xf>
    <xf numFmtId="2" fontId="17" fillId="0" borderId="10" xfId="4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left" vertical="center"/>
    </xf>
    <xf numFmtId="10" fontId="29" fillId="12" borderId="1" xfId="3" applyNumberFormat="1" applyFont="1" applyFill="1" applyBorder="1" applyAlignment="1">
      <alignment horizontal="center" vertical="center" wrapText="1"/>
    </xf>
    <xf numFmtId="10" fontId="32" fillId="12" borderId="1" xfId="3" applyNumberFormat="1" applyFont="1" applyFill="1" applyBorder="1" applyAlignment="1">
      <alignment horizontal="center" vertical="center" wrapText="1"/>
    </xf>
    <xf numFmtId="179" fontId="29" fillId="12" borderId="1" xfId="3" applyNumberFormat="1" applyFont="1" applyFill="1" applyBorder="1" applyAlignment="1">
      <alignment horizontal="center" vertical="center" wrapText="1"/>
    </xf>
    <xf numFmtId="3" fontId="33" fillId="0" borderId="1" xfId="4" applyNumberFormat="1" applyFont="1" applyBorder="1" applyAlignment="1">
      <alignment horizontal="center" vertical="center"/>
    </xf>
    <xf numFmtId="2" fontId="34" fillId="0" borderId="1" xfId="4" applyNumberFormat="1" applyFont="1" applyBorder="1" applyAlignment="1">
      <alignment horizontal="center" vertical="center"/>
    </xf>
    <xf numFmtId="2" fontId="21" fillId="0" borderId="3" xfId="4" applyNumberFormat="1" applyFont="1" applyBorder="1" applyAlignment="1">
      <alignment horizontal="center" vertical="center"/>
    </xf>
    <xf numFmtId="4" fontId="33" fillId="0" borderId="1" xfId="4" applyNumberFormat="1" applyFont="1" applyBorder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 wrapText="1"/>
    </xf>
    <xf numFmtId="177" fontId="25" fillId="12" borderId="1" xfId="4" applyNumberFormat="1" applyFont="1" applyFill="1" applyBorder="1" applyAlignment="1">
      <alignment horizontal="center" vertical="center"/>
    </xf>
    <xf numFmtId="9" fontId="23" fillId="12" borderId="1" xfId="3" applyFont="1" applyFill="1" applyBorder="1" applyAlignment="1">
      <alignment horizontal="center" vertical="center" wrapText="1"/>
    </xf>
    <xf numFmtId="10" fontId="23" fillId="12" borderId="1" xfId="3" applyNumberFormat="1" applyFont="1" applyFill="1" applyBorder="1" applyAlignment="1">
      <alignment horizontal="center" vertical="center" wrapText="1"/>
    </xf>
    <xf numFmtId="10" fontId="21" fillId="2" borderId="1" xfId="3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" fontId="35" fillId="13" borderId="1" xfId="4" applyNumberFormat="1" applyFont="1" applyFill="1" applyBorder="1" applyAlignment="1">
      <alignment horizontal="center" vertical="center" wrapText="1"/>
    </xf>
    <xf numFmtId="2" fontId="23" fillId="12" borderId="1" xfId="3" applyNumberFormat="1" applyFont="1" applyFill="1" applyBorder="1" applyAlignment="1">
      <alignment horizontal="center" vertical="center" wrapText="1"/>
    </xf>
    <xf numFmtId="165" fontId="37" fillId="12" borderId="1" xfId="3" applyNumberFormat="1" applyFont="1" applyFill="1" applyBorder="1" applyAlignment="1">
      <alignment horizontal="center" vertical="center" wrapText="1"/>
    </xf>
    <xf numFmtId="10" fontId="25" fillId="12" borderId="0" xfId="4" applyNumberFormat="1" applyFont="1" applyFill="1" applyAlignment="1">
      <alignment horizontal="center" vertical="center"/>
    </xf>
    <xf numFmtId="4" fontId="24" fillId="15" borderId="11" xfId="4" applyNumberFormat="1" applyFont="1" applyFill="1" applyBorder="1" applyAlignment="1">
      <alignment horizontal="center" vertical="center"/>
    </xf>
    <xf numFmtId="164" fontId="23" fillId="12" borderId="1" xfId="4" applyNumberFormat="1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2" fontId="23" fillId="12" borderId="3" xfId="4" applyNumberFormat="1" applyFont="1" applyFill="1" applyBorder="1" applyAlignment="1">
      <alignment horizontal="center" vertical="center" wrapText="1"/>
    </xf>
    <xf numFmtId="1" fontId="38" fillId="0" borderId="1" xfId="4" applyNumberFormat="1" applyFont="1" applyBorder="1" applyAlignment="1">
      <alignment horizontal="center" vertical="center"/>
    </xf>
    <xf numFmtId="1" fontId="41" fillId="12" borderId="1" xfId="4" applyNumberFormat="1" applyFont="1" applyFill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165" fontId="43" fillId="0" borderId="1" xfId="2" applyNumberFormat="1" applyFont="1" applyBorder="1" applyAlignment="1">
      <alignment horizontal="center" vertical="center"/>
    </xf>
    <xf numFmtId="180" fontId="40" fillId="0" borderId="1" xfId="0" applyNumberFormat="1" applyFont="1" applyBorder="1" applyAlignment="1">
      <alignment horizontal="center" vertical="center"/>
    </xf>
    <xf numFmtId="3" fontId="24" fillId="3" borderId="1" xfId="4" applyNumberFormat="1" applyFont="1" applyFill="1" applyBorder="1" applyAlignment="1">
      <alignment horizontal="center" vertical="center"/>
    </xf>
    <xf numFmtId="3" fontId="39" fillId="18" borderId="1" xfId="4" applyNumberFormat="1" applyFont="1" applyFill="1" applyBorder="1" applyAlignment="1">
      <alignment horizontal="center" vertical="center"/>
    </xf>
    <xf numFmtId="0" fontId="45" fillId="12" borderId="0" xfId="4" applyFont="1" applyFill="1" applyAlignment="1">
      <alignment horizontal="center" vertical="center"/>
    </xf>
    <xf numFmtId="2" fontId="44" fillId="12" borderId="3" xfId="4" applyNumberFormat="1" applyFont="1" applyFill="1" applyBorder="1" applyAlignment="1">
      <alignment horizontal="center" vertical="center"/>
    </xf>
    <xf numFmtId="2" fontId="3" fillId="0" borderId="0" xfId="1" applyNumberFormat="1" applyFont="1" applyAlignment="1">
      <alignment horizontal="center" vertical="center" wrapText="1"/>
    </xf>
    <xf numFmtId="169" fontId="46" fillId="12" borderId="0" xfId="1" applyFont="1" applyFill="1" applyAlignment="1">
      <alignment horizontal="center" vertical="center"/>
    </xf>
    <xf numFmtId="181" fontId="48" fillId="12" borderId="1" xfId="4" applyNumberFormat="1" applyFont="1" applyFill="1" applyBorder="1" applyAlignment="1">
      <alignment horizontal="center" vertical="center" wrapText="1"/>
    </xf>
    <xf numFmtId="2" fontId="51" fillId="12" borderId="1" xfId="3" applyNumberFormat="1" applyFont="1" applyFill="1" applyBorder="1" applyAlignment="1">
      <alignment horizontal="center" vertical="center" wrapText="1"/>
    </xf>
    <xf numFmtId="2" fontId="28" fillId="0" borderId="1" xfId="4" applyNumberFormat="1" applyFont="1" applyBorder="1" applyAlignment="1">
      <alignment horizontal="center" vertical="center" wrapText="1"/>
    </xf>
    <xf numFmtId="0" fontId="54" fillId="0" borderId="0" xfId="0" applyFont="1" applyAlignment="1">
      <alignment vertical="center" wrapText="1"/>
    </xf>
    <xf numFmtId="0" fontId="54" fillId="0" borderId="0" xfId="0" applyFont="1"/>
    <xf numFmtId="0" fontId="53" fillId="0" borderId="0" xfId="0" applyFont="1"/>
    <xf numFmtId="0" fontId="55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9" fontId="56" fillId="0" borderId="1" xfId="3" applyFont="1" applyBorder="1" applyAlignment="1" applyProtection="1">
      <alignment horizontal="center" vertical="center"/>
      <protection locked="0"/>
    </xf>
    <xf numFmtId="2" fontId="31" fillId="12" borderId="1" xfId="3" applyNumberFormat="1" applyFont="1" applyFill="1" applyBorder="1" applyAlignment="1">
      <alignment horizontal="center" vertical="center" wrapText="1"/>
    </xf>
    <xf numFmtId="0" fontId="28" fillId="0" borderId="0" xfId="4" applyFont="1" applyAlignment="1">
      <alignment horizontal="center" vertical="center" wrapText="1"/>
    </xf>
    <xf numFmtId="10" fontId="8" fillId="12" borderId="1" xfId="3" applyNumberFormat="1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vertical="center"/>
    </xf>
    <xf numFmtId="2" fontId="36" fillId="3" borderId="1" xfId="4" applyNumberFormat="1" applyFont="1" applyFill="1" applyBorder="1" applyAlignment="1">
      <alignment horizontal="center" vertical="center" wrapText="1"/>
    </xf>
    <xf numFmtId="164" fontId="48" fillId="12" borderId="1" xfId="3" applyNumberFormat="1" applyFont="1" applyFill="1" applyBorder="1" applyAlignment="1">
      <alignment horizontal="center" vertical="center" wrapText="1"/>
    </xf>
    <xf numFmtId="0" fontId="49" fillId="12" borderId="0" xfId="4" applyFont="1" applyFill="1" applyAlignment="1">
      <alignment horizontal="center" vertical="center" wrapText="1"/>
    </xf>
    <xf numFmtId="3" fontId="24" fillId="19" borderId="1" xfId="4" applyNumberFormat="1" applyFont="1" applyFill="1" applyBorder="1" applyAlignment="1">
      <alignment horizontal="center" vertical="center"/>
    </xf>
    <xf numFmtId="2" fontId="57" fillId="12" borderId="0" xfId="3" applyNumberFormat="1" applyFont="1" applyFill="1" applyAlignment="1">
      <alignment horizontal="center" vertical="center" wrapText="1"/>
    </xf>
    <xf numFmtId="2" fontId="56" fillId="0" borderId="1" xfId="4" applyNumberFormat="1" applyFont="1" applyBorder="1" applyAlignment="1">
      <alignment horizontal="center" vertical="center"/>
    </xf>
    <xf numFmtId="2" fontId="50" fillId="4" borderId="0" xfId="4" applyNumberFormat="1" applyFont="1" applyFill="1" applyAlignment="1">
      <alignment horizontal="center" vertical="center" wrapText="1"/>
    </xf>
    <xf numFmtId="2" fontId="3" fillId="6" borderId="0" xfId="1" applyNumberFormat="1" applyFont="1" applyFill="1" applyAlignment="1">
      <alignment horizontal="center" vertical="center"/>
    </xf>
    <xf numFmtId="1" fontId="58" fillId="0" borderId="0" xfId="1" applyNumberFormat="1" applyFont="1" applyAlignment="1">
      <alignment horizontal="center" vertical="center"/>
    </xf>
    <xf numFmtId="1" fontId="59" fillId="0" borderId="0" xfId="1" applyNumberFormat="1" applyFont="1" applyAlignment="1">
      <alignment horizontal="center" vertical="center"/>
    </xf>
    <xf numFmtId="49" fontId="26" fillId="5" borderId="0" xfId="0" applyNumberFormat="1" applyFont="1" applyFill="1" applyAlignment="1">
      <alignment horizontal="center" vertical="center"/>
    </xf>
    <xf numFmtId="0" fontId="60" fillId="0" borderId="0" xfId="0" applyFont="1" applyAlignment="1">
      <alignment horizontal="center" vertical="center"/>
    </xf>
    <xf numFmtId="2" fontId="61" fillId="7" borderId="0" xfId="6" applyNumberFormat="1" applyFont="1" applyFill="1" applyAlignment="1">
      <alignment horizontal="center" vertical="center"/>
    </xf>
    <xf numFmtId="2" fontId="5" fillId="7" borderId="0" xfId="6" applyNumberFormat="1" applyFont="1" applyFill="1" applyAlignment="1">
      <alignment horizontal="center" vertical="center"/>
    </xf>
    <xf numFmtId="170" fontId="3" fillId="0" borderId="0" xfId="1" applyNumberFormat="1" applyFont="1" applyAlignment="1">
      <alignment horizontal="center" vertical="center"/>
    </xf>
    <xf numFmtId="2" fontId="62" fillId="0" borderId="0" xfId="4" applyNumberFormat="1" applyFont="1" applyAlignment="1">
      <alignment horizontal="center" vertical="center"/>
    </xf>
    <xf numFmtId="0" fontId="63" fillId="7" borderId="0" xfId="0" applyFont="1" applyFill="1" applyAlignment="1">
      <alignment vertical="center"/>
    </xf>
    <xf numFmtId="1" fontId="64" fillId="0" borderId="0" xfId="1" applyNumberFormat="1" applyFont="1" applyAlignment="1">
      <alignment horizontal="center" vertical="center"/>
    </xf>
    <xf numFmtId="2" fontId="18" fillId="7" borderId="0" xfId="6" applyNumberFormat="1" applyFont="1" applyFill="1" applyAlignment="1">
      <alignment horizontal="center" vertical="center"/>
    </xf>
    <xf numFmtId="2" fontId="3" fillId="7" borderId="1" xfId="6" applyNumberFormat="1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/>
    </xf>
    <xf numFmtId="4" fontId="21" fillId="2" borderId="2" xfId="4" applyNumberFormat="1" applyFont="1" applyFill="1" applyBorder="1" applyAlignment="1">
      <alignment horizontal="center" vertical="center"/>
    </xf>
    <xf numFmtId="0" fontId="51" fillId="7" borderId="0" xfId="0" applyFont="1" applyFill="1"/>
    <xf numFmtId="0" fontId="51" fillId="7" borderId="0" xfId="4" applyFont="1" applyFill="1" applyAlignment="1">
      <alignment horizontal="center" vertical="center"/>
    </xf>
    <xf numFmtId="0" fontId="51" fillId="7" borderId="0" xfId="4" applyFont="1" applyFill="1" applyAlignment="1">
      <alignment vertical="center"/>
    </xf>
    <xf numFmtId="0" fontId="66" fillId="0" borderId="1" xfId="0" applyFont="1" applyBorder="1"/>
    <xf numFmtId="2" fontId="66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9" fontId="63" fillId="7" borderId="0" xfId="0" applyNumberFormat="1" applyFont="1" applyFill="1" applyAlignment="1">
      <alignment horizontal="center" vertical="center"/>
    </xf>
    <xf numFmtId="2" fontId="63" fillId="7" borderId="0" xfId="0" applyNumberFormat="1" applyFont="1" applyFill="1" applyAlignment="1">
      <alignment horizontal="center" vertical="center"/>
    </xf>
    <xf numFmtId="9" fontId="67" fillId="21" borderId="1" xfId="3" applyFont="1" applyFill="1" applyBorder="1" applyAlignment="1">
      <alignment horizontal="center" vertical="center"/>
    </xf>
    <xf numFmtId="2" fontId="68" fillId="21" borderId="1" xfId="0" applyNumberFormat="1" applyFont="1" applyFill="1" applyBorder="1" applyAlignment="1">
      <alignment horizontal="center" vertical="center"/>
    </xf>
    <xf numFmtId="2" fontId="3" fillId="20" borderId="1" xfId="6" applyNumberFormat="1" applyFont="1" applyFill="1" applyBorder="1" applyAlignment="1">
      <alignment horizontal="center" vertical="center"/>
    </xf>
    <xf numFmtId="0" fontId="0" fillId="20" borderId="0" xfId="0" applyFill="1"/>
    <xf numFmtId="2" fontId="65" fillId="20" borderId="1" xfId="6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0" fillId="7" borderId="0" xfId="0" applyFill="1"/>
    <xf numFmtId="2" fontId="61" fillId="7" borderId="1" xfId="6" applyNumberFormat="1" applyFont="1" applyFill="1" applyBorder="1" applyAlignment="1">
      <alignment horizontal="center" vertical="center"/>
    </xf>
    <xf numFmtId="2" fontId="51" fillId="7" borderId="1" xfId="0" applyNumberFormat="1" applyFont="1" applyFill="1" applyBorder="1" applyAlignment="1">
      <alignment horizontal="center" vertical="center" wrapText="1"/>
    </xf>
    <xf numFmtId="2" fontId="69" fillId="20" borderId="1" xfId="0" applyNumberFormat="1" applyFont="1" applyFill="1" applyBorder="1"/>
    <xf numFmtId="0" fontId="70" fillId="20" borderId="1" xfId="4" applyFont="1" applyFill="1" applyBorder="1" applyAlignment="1">
      <alignment horizontal="left" vertical="center"/>
    </xf>
    <xf numFmtId="1" fontId="4" fillId="2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0" fontId="18" fillId="7" borderId="0" xfId="6" applyNumberFormat="1" applyFont="1" applyFill="1" applyAlignment="1">
      <alignment horizontal="center" vertical="center"/>
    </xf>
    <xf numFmtId="2" fontId="5" fillId="17" borderId="1" xfId="4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1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1" fontId="72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3" fillId="16" borderId="10" xfId="0" applyFont="1" applyFill="1" applyBorder="1" applyAlignment="1">
      <alignment horizontal="center" vertical="center"/>
    </xf>
    <xf numFmtId="0" fontId="75" fillId="23" borderId="20" xfId="0" applyFont="1" applyFill="1" applyBorder="1" applyAlignment="1">
      <alignment horizontal="left" vertical="center"/>
    </xf>
    <xf numFmtId="182" fontId="0" fillId="0" borderId="0" xfId="0" applyNumberFormat="1" applyAlignment="1">
      <alignment horizontal="center" vertical="center"/>
    </xf>
    <xf numFmtId="0" fontId="72" fillId="0" borderId="0" xfId="0" applyFont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center" vertical="center"/>
    </xf>
    <xf numFmtId="182" fontId="0" fillId="0" borderId="19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left" vertical="center"/>
    </xf>
    <xf numFmtId="182" fontId="0" fillId="0" borderId="19" xfId="0" applyNumberFormat="1" applyBorder="1" applyAlignment="1">
      <alignment horizontal="left" vertical="center"/>
    </xf>
    <xf numFmtId="0" fontId="20" fillId="0" borderId="15" xfId="0" applyFont="1" applyBorder="1" applyAlignment="1">
      <alignment horizontal="left" wrapText="1"/>
    </xf>
    <xf numFmtId="3" fontId="0" fillId="22" borderId="19" xfId="0" applyNumberFormat="1" applyFill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10" fontId="76" fillId="12" borderId="1" xfId="4" applyNumberFormat="1" applyFont="1" applyFill="1" applyBorder="1" applyAlignment="1">
      <alignment horizontal="center" vertical="center" wrapText="1"/>
    </xf>
    <xf numFmtId="2" fontId="76" fillId="12" borderId="1" xfId="4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22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74" fillId="0" borderId="23" xfId="0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0" fontId="20" fillId="0" borderId="15" xfId="0" applyFont="1" applyBorder="1" applyAlignment="1">
      <alignment horizontal="left" vertical="center" wrapText="1"/>
    </xf>
    <xf numFmtId="2" fontId="38" fillId="0" borderId="1" xfId="4" applyNumberFormat="1" applyFont="1" applyBorder="1" applyAlignment="1">
      <alignment horizontal="center" vertical="center"/>
    </xf>
    <xf numFmtId="10" fontId="77" fillId="12" borderId="1" xfId="3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182" fontId="74" fillId="0" borderId="24" xfId="0" applyNumberFormat="1" applyFont="1" applyBorder="1" applyAlignment="1">
      <alignment horizontal="center" vertical="center"/>
    </xf>
    <xf numFmtId="0" fontId="72" fillId="22" borderId="27" xfId="0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2" fontId="0" fillId="22" borderId="1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74" fillId="0" borderId="24" xfId="0" applyNumberFormat="1" applyFont="1" applyBorder="1" applyAlignment="1">
      <alignment horizontal="center" vertical="center"/>
    </xf>
    <xf numFmtId="0" fontId="74" fillId="0" borderId="26" xfId="0" applyFont="1" applyBorder="1" applyAlignment="1">
      <alignment vertical="center" wrapText="1"/>
    </xf>
    <xf numFmtId="2" fontId="71" fillId="0" borderId="0" xfId="0" applyNumberFormat="1" applyFont="1" applyAlignment="1">
      <alignment horizontal="center" vertical="center"/>
    </xf>
    <xf numFmtId="2" fontId="71" fillId="0" borderId="0" xfId="0" applyNumberFormat="1" applyFont="1" applyAlignment="1">
      <alignment horizontal="left" vertical="center"/>
    </xf>
    <xf numFmtId="2" fontId="48" fillId="12" borderId="1" xfId="3" applyNumberFormat="1" applyFont="1" applyFill="1" applyBorder="1" applyAlignment="1">
      <alignment horizontal="center" vertical="center" wrapText="1"/>
    </xf>
    <xf numFmtId="183" fontId="0" fillId="0" borderId="0" xfId="0" applyNumberFormat="1" applyAlignment="1">
      <alignment horizontal="center" vertical="center"/>
    </xf>
    <xf numFmtId="10" fontId="79" fillId="12" borderId="0" xfId="3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3" fontId="74" fillId="0" borderId="24" xfId="0" applyNumberFormat="1" applyFont="1" applyBorder="1" applyAlignment="1">
      <alignment horizontal="center" vertical="center"/>
    </xf>
    <xf numFmtId="2" fontId="74" fillId="0" borderId="24" xfId="0" applyNumberFormat="1" applyFont="1" applyBorder="1" applyAlignment="1">
      <alignment horizontal="center" vertical="center"/>
    </xf>
    <xf numFmtId="0" fontId="74" fillId="0" borderId="0" xfId="0" applyFont="1" applyAlignment="1">
      <alignment horizontal="left" vertical="center"/>
    </xf>
    <xf numFmtId="0" fontId="0" fillId="22" borderId="29" xfId="0" applyFill="1" applyBorder="1" applyAlignment="1">
      <alignment horizontal="center" vertical="center"/>
    </xf>
    <xf numFmtId="0" fontId="0" fillId="22" borderId="28" xfId="0" applyFill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182" fontId="74" fillId="0" borderId="1" xfId="0" applyNumberFormat="1" applyFon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 wrapText="1"/>
    </xf>
    <xf numFmtId="0" fontId="0" fillId="22" borderId="30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" fontId="24" fillId="12" borderId="0" xfId="4" applyNumberFormat="1" applyFont="1" applyFill="1" applyAlignment="1">
      <alignment horizontal="center" vertical="center"/>
    </xf>
    <xf numFmtId="0" fontId="60" fillId="9" borderId="1" xfId="0" applyFont="1" applyFill="1" applyBorder="1" applyAlignment="1">
      <alignment horizontal="center" vertical="center"/>
    </xf>
    <xf numFmtId="0" fontId="82" fillId="24" borderId="25" xfId="0" applyFont="1" applyFill="1" applyBorder="1" applyAlignment="1">
      <alignment horizontal="center" vertical="center"/>
    </xf>
    <xf numFmtId="0" fontId="82" fillId="24" borderId="28" xfId="0" applyFont="1" applyFill="1" applyBorder="1" applyAlignment="1">
      <alignment horizontal="center" vertical="center"/>
    </xf>
    <xf numFmtId="4" fontId="0" fillId="0" borderId="1" xfId="0" applyNumberFormat="1" applyBorder="1"/>
    <xf numFmtId="182" fontId="0" fillId="22" borderId="2" xfId="0" applyNumberFormat="1" applyFill="1" applyBorder="1" applyAlignment="1">
      <alignment horizontal="center" vertical="center"/>
    </xf>
    <xf numFmtId="22" fontId="81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0" fillId="22" borderId="30" xfId="0" applyFont="1" applyFill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183" fontId="0" fillId="22" borderId="30" xfId="0" applyNumberFormat="1" applyFill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3" fontId="0" fillId="22" borderId="1" xfId="0" applyNumberFormat="1" applyFill="1" applyBorder="1" applyAlignment="1">
      <alignment horizontal="center" vertical="center"/>
    </xf>
    <xf numFmtId="183" fontId="0" fillId="0" borderId="31" xfId="0" applyNumberFormat="1" applyBorder="1" applyAlignment="1">
      <alignment horizontal="center" vertical="center"/>
    </xf>
    <xf numFmtId="2" fontId="24" fillId="0" borderId="1" xfId="4" applyNumberFormat="1" applyFont="1" applyBorder="1" applyAlignment="1" applyProtection="1">
      <alignment horizontal="center" vertical="center"/>
      <protection locked="0"/>
    </xf>
    <xf numFmtId="0" fontId="83" fillId="9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60" fillId="9" borderId="1" xfId="0" applyFont="1" applyFill="1" applyBorder="1" applyAlignment="1">
      <alignment horizontal="center" vertical="center" wrapText="1"/>
    </xf>
    <xf numFmtId="164" fontId="39" fillId="12" borderId="1" xfId="3" applyNumberFormat="1" applyFont="1" applyFill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left" vertical="center"/>
    </xf>
    <xf numFmtId="2" fontId="71" fillId="0" borderId="0" xfId="0" applyNumberFormat="1" applyFont="1" applyAlignment="1">
      <alignment horizontal="left" vertical="center" wrapText="1"/>
    </xf>
    <xf numFmtId="2" fontId="21" fillId="2" borderId="1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0" fontId="22" fillId="0" borderId="0" xfId="0" applyNumberFormat="1" applyFont="1" applyAlignment="1">
      <alignment horizontal="center" vertical="center"/>
    </xf>
    <xf numFmtId="2" fontId="60" fillId="9" borderId="1" xfId="0" applyNumberFormat="1" applyFont="1" applyFill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10" fontId="21" fillId="0" borderId="0" xfId="3" applyNumberFormat="1" applyFont="1" applyAlignment="1">
      <alignment horizontal="center" vertical="center"/>
    </xf>
    <xf numFmtId="1" fontId="84" fillId="12" borderId="1" xfId="4" applyNumberFormat="1" applyFont="1" applyFill="1" applyBorder="1" applyAlignment="1">
      <alignment horizontal="center" vertical="center" wrapText="1"/>
    </xf>
    <xf numFmtId="3" fontId="24" fillId="0" borderId="1" xfId="4" applyNumberFormat="1" applyFont="1" applyBorder="1" applyAlignment="1" applyProtection="1">
      <alignment horizontal="center" vertical="center"/>
      <protection locked="0"/>
    </xf>
    <xf numFmtId="2" fontId="24" fillId="2" borderId="1" xfId="3" applyNumberFormat="1" applyFont="1" applyFill="1" applyBorder="1" applyAlignment="1">
      <alignment horizontal="center" vertical="center" wrapText="1"/>
    </xf>
    <xf numFmtId="1" fontId="24" fillId="2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74" fillId="25" borderId="1" xfId="0" applyFont="1" applyFill="1" applyBorder="1" applyAlignment="1">
      <alignment horizontal="center" vertical="center"/>
    </xf>
    <xf numFmtId="1" fontId="24" fillId="0" borderId="1" xfId="4" applyNumberFormat="1" applyFont="1" applyBorder="1" applyAlignment="1" applyProtection="1">
      <alignment horizontal="center" vertical="center"/>
      <protection locked="0"/>
    </xf>
    <xf numFmtId="1" fontId="5" fillId="5" borderId="1" xfId="4" applyNumberFormat="1" applyFont="1" applyFill="1" applyBorder="1" applyAlignment="1" applyProtection="1">
      <alignment horizontal="center" vertical="center"/>
      <protection locked="0"/>
    </xf>
    <xf numFmtId="2" fontId="85" fillId="0" borderId="0" xfId="0" applyNumberFormat="1" applyFont="1" applyAlignment="1">
      <alignment horizontal="center" vertical="center"/>
    </xf>
    <xf numFmtId="0" fontId="74" fillId="16" borderId="1" xfId="0" applyFont="1" applyFill="1" applyBorder="1" applyAlignment="1">
      <alignment wrapText="1"/>
    </xf>
    <xf numFmtId="10" fontId="74" fillId="16" borderId="1" xfId="0" applyNumberFormat="1" applyFont="1" applyFill="1" applyBorder="1"/>
    <xf numFmtId="4" fontId="47" fillId="12" borderId="0" xfId="4" applyNumberFormat="1" applyFont="1" applyFill="1" applyAlignment="1">
      <alignment horizontal="center" vertical="center" wrapText="1"/>
    </xf>
    <xf numFmtId="183" fontId="24" fillId="0" borderId="1" xfId="4" applyNumberFormat="1" applyFont="1" applyBorder="1" applyAlignment="1" applyProtection="1">
      <alignment horizontal="center" vertical="center"/>
      <protection locked="0"/>
    </xf>
    <xf numFmtId="3" fontId="24" fillId="0" borderId="1" xfId="4" applyNumberFormat="1" applyFont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 wrapText="1"/>
      <protection locked="0"/>
    </xf>
    <xf numFmtId="2" fontId="24" fillId="0" borderId="1" xfId="4" applyNumberFormat="1" applyFont="1" applyBorder="1" applyAlignment="1">
      <alignment horizontal="center" vertical="center" wrapText="1"/>
    </xf>
    <xf numFmtId="2" fontId="24" fillId="5" borderId="1" xfId="4" applyNumberFormat="1" applyFont="1" applyFill="1" applyBorder="1" applyAlignment="1">
      <alignment horizontal="center" vertical="center"/>
    </xf>
    <xf numFmtId="2" fontId="86" fillId="18" borderId="0" xfId="0" applyNumberFormat="1" applyFont="1" applyFill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9" fontId="43" fillId="5" borderId="1" xfId="3" applyFont="1" applyFill="1" applyBorder="1" applyAlignment="1">
      <alignment horizontal="center" vertical="center"/>
    </xf>
    <xf numFmtId="0" fontId="88" fillId="9" borderId="1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0" fillId="5" borderId="1" xfId="0" applyFill="1" applyBorder="1"/>
    <xf numFmtId="183" fontId="24" fillId="26" borderId="1" xfId="13" applyNumberFormat="1" applyFont="1" applyFill="1" applyBorder="1" applyAlignment="1">
      <alignment horizontal="center" vertical="center"/>
    </xf>
    <xf numFmtId="183" fontId="24" fillId="27" borderId="1" xfId="13" applyNumberFormat="1" applyFont="1" applyFill="1" applyBorder="1" applyAlignment="1">
      <alignment horizontal="center" vertical="center"/>
    </xf>
    <xf numFmtId="2" fontId="24" fillId="26" borderId="1" xfId="13" applyNumberFormat="1" applyFont="1" applyFill="1" applyBorder="1" applyAlignment="1">
      <alignment horizontal="center" vertical="center"/>
    </xf>
    <xf numFmtId="183" fontId="24" fillId="5" borderId="1" xfId="13" applyNumberFormat="1" applyFont="1" applyFill="1" applyBorder="1" applyAlignment="1">
      <alignment horizontal="center" vertical="center"/>
    </xf>
    <xf numFmtId="2" fontId="24" fillId="5" borderId="1" xfId="13" applyNumberFormat="1" applyFont="1" applyFill="1" applyBorder="1" applyAlignment="1">
      <alignment horizontal="center" vertical="center"/>
    </xf>
    <xf numFmtId="9" fontId="87" fillId="16" borderId="1" xfId="3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39" fillId="28" borderId="1" xfId="0" applyFont="1" applyFill="1" applyBorder="1" applyAlignment="1">
      <alignment horizontal="center" vertical="center"/>
    </xf>
    <xf numFmtId="1" fontId="87" fillId="16" borderId="1" xfId="3" applyNumberFormat="1" applyFont="1" applyFill="1" applyBorder="1" applyAlignment="1">
      <alignment horizontal="center" vertical="center"/>
    </xf>
    <xf numFmtId="1" fontId="26" fillId="16" borderId="1" xfId="0" applyNumberFormat="1" applyFont="1" applyFill="1" applyBorder="1" applyAlignment="1">
      <alignment horizontal="center" vertical="center"/>
    </xf>
    <xf numFmtId="1" fontId="87" fillId="12" borderId="1" xfId="3" applyNumberFormat="1" applyFont="1" applyFill="1" applyBorder="1" applyAlignment="1">
      <alignment horizontal="center" vertical="center"/>
    </xf>
    <xf numFmtId="2" fontId="24" fillId="15" borderId="1" xfId="4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2" fillId="0" borderId="6" xfId="0" applyFont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center" vertical="center" wrapText="1"/>
    </xf>
    <xf numFmtId="2" fontId="24" fillId="2" borderId="3" xfId="3" applyNumberFormat="1" applyFont="1" applyFill="1" applyBorder="1" applyAlignment="1">
      <alignment horizontal="center" vertical="center" wrapText="1"/>
    </xf>
    <xf numFmtId="0" fontId="60" fillId="9" borderId="3" xfId="0" applyFont="1" applyFill="1" applyBorder="1" applyAlignment="1">
      <alignment horizontal="center" vertical="center"/>
    </xf>
    <xf numFmtId="2" fontId="0" fillId="0" borderId="0" xfId="0" applyNumberFormat="1"/>
    <xf numFmtId="2" fontId="22" fillId="0" borderId="0" xfId="0" applyNumberFormat="1" applyFont="1" applyAlignment="1">
      <alignment horizontal="left"/>
    </xf>
    <xf numFmtId="3" fontId="24" fillId="0" borderId="1" xfId="4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50" fillId="4" borderId="0" xfId="4" applyFont="1" applyFill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2" fontId="0" fillId="0" borderId="1" xfId="0" applyNumberFormat="1" applyBorder="1"/>
    <xf numFmtId="4" fontId="24" fillId="0" borderId="1" xfId="4" applyNumberFormat="1" applyFont="1" applyBorder="1" applyAlignment="1">
      <alignment horizontal="center" vertical="center"/>
    </xf>
    <xf numFmtId="2" fontId="42" fillId="4" borderId="3" xfId="0" applyNumberFormat="1" applyFont="1" applyFill="1" applyBorder="1" applyAlignment="1">
      <alignment horizontal="center" vertical="center"/>
    </xf>
    <xf numFmtId="2" fontId="42" fillId="4" borderId="13" xfId="0" applyNumberFormat="1" applyFont="1" applyFill="1" applyBorder="1" applyAlignment="1">
      <alignment horizontal="center" vertical="center"/>
    </xf>
    <xf numFmtId="2" fontId="42" fillId="4" borderId="4" xfId="0" applyNumberFormat="1" applyFont="1" applyFill="1" applyBorder="1" applyAlignment="1">
      <alignment horizontal="center" vertical="center"/>
    </xf>
    <xf numFmtId="2" fontId="35" fillId="4" borderId="3" xfId="0" applyNumberFormat="1" applyFont="1" applyFill="1" applyBorder="1" applyAlignment="1">
      <alignment horizontal="center" vertical="center"/>
    </xf>
    <xf numFmtId="2" fontId="35" fillId="4" borderId="13" xfId="0" applyNumberFormat="1" applyFont="1" applyFill="1" applyBorder="1" applyAlignment="1">
      <alignment horizontal="center" vertical="center"/>
    </xf>
    <xf numFmtId="2" fontId="35" fillId="4" borderId="4" xfId="0" applyNumberFormat="1" applyFont="1" applyFill="1" applyBorder="1" applyAlignment="1">
      <alignment horizontal="center" vertical="center"/>
    </xf>
    <xf numFmtId="0" fontId="21" fillId="0" borderId="3" xfId="4" applyFont="1" applyBorder="1" applyAlignment="1">
      <alignment horizontal="center" vertical="center"/>
    </xf>
    <xf numFmtId="0" fontId="21" fillId="0" borderId="4" xfId="4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24" fillId="12" borderId="13" xfId="4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 wrapText="1"/>
    </xf>
    <xf numFmtId="0" fontId="74" fillId="0" borderId="26" xfId="0" applyFont="1" applyBorder="1" applyAlignment="1">
      <alignment horizontal="center" vertical="center" wrapText="1"/>
    </xf>
    <xf numFmtId="0" fontId="74" fillId="0" borderId="0" xfId="0" applyFont="1" applyAlignment="1">
      <alignment horizontal="center" vertical="center" wrapText="1"/>
    </xf>
  </cellXfs>
  <cellStyles count="14">
    <cellStyle name="Comma" xfId="1" builtinId="3"/>
    <cellStyle name="Currency" xfId="2" builtinId="4"/>
    <cellStyle name="Euro" xfId="7" xr:uid="{00000000-0005-0000-0000-000002000000}"/>
    <cellStyle name="Hyperlink" xfId="11" builtinId="8"/>
    <cellStyle name="Normal" xfId="0" builtinId="0"/>
    <cellStyle name="Normal 2" xfId="4" xr:uid="{00000000-0005-0000-0000-000005000000}"/>
    <cellStyle name="Normal 3" xfId="8" xr:uid="{00000000-0005-0000-0000-000006000000}"/>
    <cellStyle name="Normal 3 2" xfId="13" xr:uid="{425C5C70-FCE3-461E-9441-F8D670E37EFE}"/>
    <cellStyle name="Normal 4" xfId="9" xr:uid="{00000000-0005-0000-0000-000007000000}"/>
    <cellStyle name="Normal 5" xfId="10" xr:uid="{00000000-0005-0000-0000-000008000000}"/>
    <cellStyle name="Normal_RACING S09 Template" xfId="6" xr:uid="{00000000-0005-0000-0000-000009000000}"/>
    <cellStyle name="Percent" xfId="3" builtinId="5"/>
    <cellStyle name="Percent 2" xfId="5" xr:uid="{00000000-0005-0000-0000-00000B000000}"/>
    <cellStyle name="Percent 3" xfId="12" xr:uid="{00000000-0005-0000-0000-00000C000000}"/>
  </cellStyles>
  <dxfs count="137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i/>
      </font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i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i/>
      </font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249977111117893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70" formatCode="_-* #,##0_-;\-* #,##0_-;_-* \-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5" formatCode="_-* #,##0.000_-;\-* #,##0.00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69" formatCode="_-* #,##0.00_-;\-* #,##0.00_-;_-* \-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2" formatCode="0.0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solid">
          <fgColor indexed="52"/>
          <bgColor rgb="FFFFDD7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0" formatCode="General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rgb="FFFF0000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0C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/>
        <color rgb="FFFFC000"/>
      </font>
      <fill>
        <patternFill>
          <bgColor theme="3" tint="-0.499984740745262"/>
        </patternFill>
      </fill>
    </dxf>
    <dxf>
      <font>
        <b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ndense val="0"/>
        <extend val="0"/>
      </font>
      <fill>
        <patternFill patternType="solid">
          <fgColor indexed="51"/>
          <bgColor indexed="52"/>
        </patternFill>
      </fill>
    </dxf>
    <dxf>
      <font>
        <b/>
        <i val="0"/>
        <color theme="0"/>
      </font>
      <fill>
        <patternFill patternType="solid">
          <fgColor indexed="19"/>
          <bgColor rgb="FFC0000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left style="thin">
          <color indexed="64"/>
        </left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color theme="0" tint="-4.9989318521683403E-2"/>
      </font>
      <fill>
        <patternFill>
          <bgColor theme="3" tint="-0.49998474074526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rgb="FFFFC000"/>
      </font>
      <fill>
        <patternFill>
          <bgColor rgb="FFC00000"/>
        </patternFill>
      </fill>
    </dxf>
    <dxf>
      <fill>
        <patternFill>
          <bgColor theme="3" tint="0.79998168889431442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996633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auto="1"/>
      </font>
      <fill>
        <patternFill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theme="2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color rgb="FFFF0000"/>
      </font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 val="0"/>
        <i val="0"/>
      </font>
      <fill>
        <patternFill>
          <bgColor theme="2" tint="-0.49998474074526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FFCC"/>
      <color rgb="FFFFF0C1"/>
      <color rgb="FF920000"/>
      <color rgb="FFFFFF99"/>
      <color rgb="FF973735"/>
      <color rgb="FFFFDD71"/>
      <color rgb="FFFFE79B"/>
      <color rgb="FF463500"/>
      <color rgb="FF692725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86351706036745"/>
          <c:y val="7.4548702245552628E-2"/>
          <c:w val="0.69450678040244973"/>
          <c:h val="0.8326195683872849"/>
        </c:manualLayout>
      </c:layout>
      <c:lineChart>
        <c:grouping val="standard"/>
        <c:varyColors val="0"/>
        <c:ser>
          <c:idx val="0"/>
          <c:order val="0"/>
          <c:spPr>
            <a:ln cmpd="sng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'Dashboard '!$A$3:$A$26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'Dashboard '!$BT$3:$BT$26</c:f>
              <c:numCache>
                <c:formatCode>_-* #,##0.000_-;\-* #,##0.000_-;_-* \-??_-;_-@_-</c:formatCode>
                <c:ptCount val="24"/>
                <c:pt idx="0">
                  <c:v>6.2599804304082164E-125</c:v>
                </c:pt>
                <c:pt idx="1">
                  <c:v>6.2599804304082164E-125</c:v>
                </c:pt>
                <c:pt idx="2">
                  <c:v>2.8021987282837084E-4</c:v>
                </c:pt>
                <c:pt idx="3">
                  <c:v>6.2599804304082164E-125</c:v>
                </c:pt>
                <c:pt idx="4">
                  <c:v>1.0019183514606938E-165</c:v>
                </c:pt>
                <c:pt idx="5">
                  <c:v>6.2599804304082164E-125</c:v>
                </c:pt>
                <c:pt idx="6">
                  <c:v>0</c:v>
                </c:pt>
                <c:pt idx="7">
                  <c:v>2.9133673838769256E-56</c:v>
                </c:pt>
                <c:pt idx="8">
                  <c:v>2.1060205177837771E-37</c:v>
                </c:pt>
                <c:pt idx="9">
                  <c:v>2.1060205177837771E-37</c:v>
                </c:pt>
                <c:pt idx="10">
                  <c:v>2.1060205177837771E-37</c:v>
                </c:pt>
                <c:pt idx="11">
                  <c:v>2.1060205177837771E-37</c:v>
                </c:pt>
                <c:pt idx="12">
                  <c:v>2.1060205177837771E-37</c:v>
                </c:pt>
                <c:pt idx="13">
                  <c:v>2.1060205177837771E-37</c:v>
                </c:pt>
                <c:pt idx="14">
                  <c:v>2.1060205177837771E-37</c:v>
                </c:pt>
                <c:pt idx="15">
                  <c:v>2.1060205177837771E-37</c:v>
                </c:pt>
                <c:pt idx="16">
                  <c:v>2.1060205177837771E-37</c:v>
                </c:pt>
                <c:pt idx="17">
                  <c:v>2.1060205177837771E-37</c:v>
                </c:pt>
                <c:pt idx="18">
                  <c:v>2.1060205177837771E-37</c:v>
                </c:pt>
                <c:pt idx="19">
                  <c:v>2.1060205177837771E-37</c:v>
                </c:pt>
                <c:pt idx="20">
                  <c:v>2.1060205177837771E-37</c:v>
                </c:pt>
                <c:pt idx="21">
                  <c:v>2.1060205177837771E-37</c:v>
                </c:pt>
                <c:pt idx="22">
                  <c:v>2.1060205177837771E-37</c:v>
                </c:pt>
                <c:pt idx="23">
                  <c:v>2.1060205177837771E-37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4-400A-B4F2-C5BEC662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707456"/>
        <c:axId val="258709760"/>
      </c:lineChart>
      <c:catAx>
        <c:axId val="25870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 baseline="0"/>
            </a:pPr>
            <a:endParaRPr lang="en-US"/>
          </a:p>
        </c:txPr>
        <c:crossAx val="258709760"/>
        <c:crosses val="autoZero"/>
        <c:auto val="1"/>
        <c:lblAlgn val="ctr"/>
        <c:lblOffset val="100"/>
        <c:noMultiLvlLbl val="0"/>
      </c:catAx>
      <c:valAx>
        <c:axId val="25870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-* #,##0.000_-;\-* #,##0.000_-;_-* \-??_-;_-@_-" sourceLinked="1"/>
        <c:majorTickMark val="out"/>
        <c:minorTickMark val="none"/>
        <c:tickLblPos val="nextTo"/>
        <c:crossAx val="258707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1074420</xdr:colOff>
          <xdr:row>0</xdr:row>
          <xdr:rowOff>15240</xdr:rowOff>
        </xdr:from>
        <xdr:to>
          <xdr:col>23</xdr:col>
          <xdr:colOff>1341120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970887</xdr:colOff>
      <xdr:row>42</xdr:row>
      <xdr:rowOff>443344</xdr:rowOff>
    </xdr:from>
    <xdr:to>
      <xdr:col>11</xdr:col>
      <xdr:colOff>603413</xdr:colOff>
      <xdr:row>52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6451" y="13009417"/>
          <a:ext cx="4911107" cy="31034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0</xdr:row>
          <xdr:rowOff>38100</xdr:rowOff>
        </xdr:from>
        <xdr:to>
          <xdr:col>27</xdr:col>
          <xdr:colOff>30480</xdr:colOff>
          <xdr:row>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AU" sz="36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238125</xdr:colOff>
      <xdr:row>39</xdr:row>
      <xdr:rowOff>285764</xdr:rowOff>
    </xdr:from>
    <xdr:to>
      <xdr:col>77</xdr:col>
      <xdr:colOff>95250</xdr:colOff>
      <xdr:row>55</xdr:row>
      <xdr:rowOff>309563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90</xdr:col>
      <xdr:colOff>272144</xdr:colOff>
      <xdr:row>28</xdr:row>
      <xdr:rowOff>81644</xdr:rowOff>
    </xdr:from>
    <xdr:to>
      <xdr:col>92</xdr:col>
      <xdr:colOff>1755322</xdr:colOff>
      <xdr:row>47</xdr:row>
      <xdr:rowOff>27214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25465" y="6599465"/>
          <a:ext cx="4953000" cy="3660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/Documents/Gaming/New%20Gaming/Gaming/betting/Grehound%20Betting%20_academics/INVESTMENTS%20SHEETS/INVEST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INVESTMENTS%20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INVESTMENTS%20200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lan/My%20Documents/betting/Grehound%20Betting%20_academics/INVESTMENTS%20SHEETS/INVESTMEN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RACING%20S0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Gear/USB%20Backup/Gaming/Templates/ADHOC%20TEST%20MR6%200708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>
        <row r="1">
          <cell r="B1" t="str">
            <v>distance</v>
          </cell>
        </row>
        <row r="2">
          <cell r="B2" t="str">
            <v>BOX</v>
          </cell>
          <cell r="D2" t="str">
            <v>standardized</v>
          </cell>
        </row>
        <row r="3">
          <cell r="B3">
            <v>7</v>
          </cell>
          <cell r="D3">
            <v>-0.15523047140904059</v>
          </cell>
        </row>
        <row r="4">
          <cell r="B4">
            <v>6</v>
          </cell>
          <cell r="D4">
            <v>1.1679458996504966</v>
          </cell>
        </row>
        <row r="5">
          <cell r="B5">
            <v>4</v>
          </cell>
          <cell r="D5">
            <v>-7.2436404352764642E-3</v>
          </cell>
        </row>
        <row r="6">
          <cell r="B6">
            <v>5</v>
          </cell>
          <cell r="D6">
            <v>-0.9059929309832595</v>
          </cell>
        </row>
        <row r="7">
          <cell r="B7">
            <v>2</v>
          </cell>
          <cell r="D7">
            <v>-1.6153672036835152</v>
          </cell>
        </row>
        <row r="8">
          <cell r="B8">
            <v>3</v>
          </cell>
          <cell r="D8">
            <v>1.4762341042041649</v>
          </cell>
        </row>
        <row r="9">
          <cell r="B9">
            <v>1</v>
          </cell>
          <cell r="D9">
            <v>-7.2436404352764642E-3</v>
          </cell>
        </row>
        <row r="10">
          <cell r="B10">
            <v>8</v>
          </cell>
          <cell r="D10">
            <v>4.6897883091708926E-2</v>
          </cell>
        </row>
        <row r="11">
          <cell r="B11">
            <v>10</v>
          </cell>
          <cell r="D11">
            <v>-11.879606499524041</v>
          </cell>
        </row>
        <row r="12">
          <cell r="B12">
            <v>9</v>
          </cell>
          <cell r="D12">
            <v>-12.882097935152768</v>
          </cell>
        </row>
        <row r="15">
          <cell r="B15" t="str">
            <v>mean/median</v>
          </cell>
          <cell r="D15">
            <v>2.6281060661048627E-16</v>
          </cell>
        </row>
        <row r="16">
          <cell r="B16" t="str">
            <v>Mean</v>
          </cell>
          <cell r="D16">
            <v>2.6281060661048627E-16</v>
          </cell>
        </row>
        <row r="17">
          <cell r="B17" t="str">
            <v>median</v>
          </cell>
          <cell r="D17">
            <v>-7.2436404352764642E-3</v>
          </cell>
        </row>
        <row r="18">
          <cell r="B18" t="str">
            <v>Stevp</v>
          </cell>
          <cell r="D18">
            <v>0.99999999999997746</v>
          </cell>
        </row>
        <row r="19">
          <cell r="B19" t="str">
            <v>interval</v>
          </cell>
          <cell r="D19">
            <v>2.6281060661048036E-16</v>
          </cell>
        </row>
        <row r="20">
          <cell r="B20" t="str">
            <v>Confidence</v>
          </cell>
        </row>
        <row r="21">
          <cell r="B21" t="str">
            <v>Corrrelation</v>
          </cell>
          <cell r="D21" t="str">
            <v>WIN PLACE not Quinella!!!</v>
          </cell>
        </row>
        <row r="22">
          <cell r="B22" t="str">
            <v>Skew</v>
          </cell>
          <cell r="D22">
            <v>-6.8000945736870655E-2</v>
          </cell>
        </row>
        <row r="23">
          <cell r="B23">
            <v>39759.959304629629</v>
          </cell>
        </row>
        <row r="24">
          <cell r="B24">
            <v>0.70454545454545459</v>
          </cell>
        </row>
        <row r="25">
          <cell r="B25">
            <v>13.770018920995351</v>
          </cell>
        </row>
        <row r="27">
          <cell r="B27" t="str">
            <v>=NOW()</v>
          </cell>
        </row>
        <row r="28">
          <cell r="B28" t="str">
            <v>SAMPLE</v>
          </cell>
          <cell r="D28" t="str">
            <v>Rank of Second(+)</v>
          </cell>
        </row>
        <row r="29">
          <cell r="B29">
            <v>5</v>
          </cell>
          <cell r="D29">
            <v>7</v>
          </cell>
        </row>
        <row r="30">
          <cell r="B30" t="str">
            <v>TOTE ODDS</v>
          </cell>
        </row>
        <row r="31">
          <cell r="B31" t="str">
            <v>Result</v>
          </cell>
          <cell r="D31" t="str">
            <v>Place</v>
          </cell>
        </row>
        <row r="32">
          <cell r="D32" t="str">
            <v>Odds</v>
          </cell>
        </row>
        <row r="33">
          <cell r="B33" t="str">
            <v>1 - LEPRECHAUN PACE  </v>
          </cell>
          <cell r="D33" t="str">
            <v>2.00 </v>
          </cell>
        </row>
        <row r="34">
          <cell r="B34" t="str">
            <v>5 - SHANLYN PRINCE  </v>
          </cell>
          <cell r="D34" t="str">
            <v>3.00 </v>
          </cell>
        </row>
        <row r="35">
          <cell r="B35" t="str">
            <v>7 - BETTY'S ANGEL  </v>
          </cell>
          <cell r="D35" t="str">
            <v>2.30 </v>
          </cell>
        </row>
        <row r="36">
          <cell r="B36" t="str">
            <v>6 - METICULOUS  </v>
          </cell>
        </row>
        <row r="63">
          <cell r="B63" t="str">
            <v>A statistical term describing that a probability, or return distribution, has a kurtosis coefficient that is larger then the coefficient associated with a normal distribution, which is around 3. This will signal that the probability of obtaining an extrem</v>
          </cell>
        </row>
        <row r="65">
          <cell r="B65" t="str">
            <v xml:space="preserve">Kurtosis is a measure of the likelihood that an event occurring is extreme in relation to a given distribution.  </v>
          </cell>
        </row>
        <row r="66">
          <cell r="B66" t="str">
            <v xml:space="preserve"> </v>
          </cell>
        </row>
        <row r="67">
          <cell r="B67" t="str">
            <v xml:space="preserve"> Excess kurtosis is an important consideration to take when examining historical returns from a stock or portfolio, for example. The higher the kurtosis coefficient is above the "normal level", the more likely that future returns will be either extremely </v>
          </cell>
        </row>
        <row r="69">
          <cell r="B69" t="str">
            <v xml:space="preserve">Kurtosis is often referred to the "volatility of volatility".  </v>
          </cell>
        </row>
      </sheetData>
      <sheetData sheetId="251" refreshError="1"/>
      <sheetData sheetId="252" refreshError="1"/>
      <sheetData sheetId="253" refreshError="1"/>
      <sheetData sheetId="2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>
        <row r="1">
          <cell r="B1" t="str">
            <v>distance</v>
          </cell>
        </row>
        <row r="2">
          <cell r="D2" t="str">
            <v>normdist</v>
          </cell>
        </row>
        <row r="3">
          <cell r="D3">
            <v>-0.15523047140904059</v>
          </cell>
        </row>
        <row r="4">
          <cell r="D4">
            <v>1.1679458996504966</v>
          </cell>
        </row>
        <row r="5">
          <cell r="D5">
            <v>-7.2436404352764642E-3</v>
          </cell>
        </row>
        <row r="6">
          <cell r="D6">
            <v>-0.9059929309832595</v>
          </cell>
        </row>
        <row r="7">
          <cell r="D7">
            <v>-1.6153672036835152</v>
          </cell>
        </row>
        <row r="8">
          <cell r="D8">
            <v>1.4762341042041649</v>
          </cell>
        </row>
        <row r="9">
          <cell r="D9">
            <v>-7.2436404352764642E-3</v>
          </cell>
        </row>
        <row r="10">
          <cell r="D10">
            <v>4.6897883091708926E-2</v>
          </cell>
        </row>
        <row r="11">
          <cell r="D11">
            <v>-11.879606499524041</v>
          </cell>
        </row>
        <row r="12">
          <cell r="D12">
            <v>-12.882097935152768</v>
          </cell>
        </row>
        <row r="15">
          <cell r="D15">
            <v>2.6281060661048627E-16</v>
          </cell>
        </row>
        <row r="16">
          <cell r="D16">
            <v>2.6281060661048627E-16</v>
          </cell>
        </row>
        <row r="17">
          <cell r="D17">
            <v>-7.2436404352764642E-3</v>
          </cell>
        </row>
        <row r="18">
          <cell r="D18">
            <v>0.99999999999997746</v>
          </cell>
        </row>
        <row r="19">
          <cell r="D19">
            <v>2.6281060661048036E-16</v>
          </cell>
        </row>
        <row r="21">
          <cell r="D21" t="str">
            <v>WIN PLACE not Quinella!!!</v>
          </cell>
        </row>
        <row r="22">
          <cell r="D22">
            <v>-6.8000945736870655E-2</v>
          </cell>
        </row>
        <row r="28">
          <cell r="D28" t="str">
            <v>Rank of Second(+)</v>
          </cell>
        </row>
        <row r="29">
          <cell r="D29">
            <v>7</v>
          </cell>
        </row>
        <row r="31">
          <cell r="D31" t="str">
            <v>Place</v>
          </cell>
        </row>
        <row r="32">
          <cell r="D32" t="str">
            <v>Odds</v>
          </cell>
        </row>
        <row r="33">
          <cell r="D33" t="str">
            <v>2.00 </v>
          </cell>
        </row>
        <row r="34">
          <cell r="D34" t="str">
            <v>3.00 </v>
          </cell>
        </row>
        <row r="35">
          <cell r="D35" t="str">
            <v>2.30 </v>
          </cell>
        </row>
      </sheetData>
      <sheetData sheetId="251"/>
      <sheetData sheetId="252"/>
      <sheetData sheetId="253"/>
      <sheetData sheetId="25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king Plan"/>
      <sheetName val="ORIGINAL DUTCH"/>
      <sheetName val="MODIFIED "/>
      <sheetName val="MR5170710"/>
      <sheetName val="MR6170710+S-K"/>
      <sheetName val="MR7170710-S+K"/>
      <sheetName val="MR8170710+SK"/>
      <sheetName val="SR6170710-SK"/>
      <sheetName val="SR7170710+SK"/>
      <sheetName val="SR8170710=SK"/>
      <sheetName val="Template (4)"/>
      <sheetName val="Template (2)"/>
      <sheetName val="Template (5)"/>
      <sheetName val="Template (6)"/>
      <sheetName val="Template"/>
      <sheetName val="Melbourne Cup 2009+S-K"/>
      <sheetName val="mr5100710+s-k"/>
      <sheetName val="m6100710+sk"/>
      <sheetName val="mr7100710+sk"/>
      <sheetName val="mr8100710-sk"/>
      <sheetName val="mr530710-s+k"/>
      <sheetName val="mr630710+sk"/>
      <sheetName val="mr730710+sk"/>
      <sheetName val="m830710-s+k"/>
      <sheetName val="MR6260610+S-K"/>
      <sheetName val="MR7260610-S+K"/>
      <sheetName val="MR8260610+S-K"/>
      <sheetName val="BR5190610+S-K"/>
      <sheetName val="BR6190610-SK"/>
      <sheetName val="BR7190610+S-K"/>
      <sheetName val="BR4120610-sk"/>
      <sheetName val="BR5120610+sk"/>
      <sheetName val="BR7120610-s+k"/>
      <sheetName val="MR90210+SK"/>
      <sheetName val="MR 6 191209 +SK"/>
      <sheetName val="BR5050610+sk"/>
      <sheetName val="BR6050610+sk"/>
      <sheetName val="BR7050610+s-k"/>
      <sheetName val="BR8050610+SK"/>
      <sheetName val="SR5050610+sk"/>
      <sheetName val="SR6050610-s+k"/>
      <sheetName val="SR8050610+sk"/>
      <sheetName val="BR6290510-SK"/>
      <sheetName val="BR7Dooben10K290510-s+K"/>
      <sheetName val="SR6030410+SK"/>
      <sheetName val="MR6220510+sk"/>
      <sheetName val="BR7220510+s-k"/>
      <sheetName val="MR8220510-sk"/>
      <sheetName val="MR72008-sk"/>
      <sheetName val="SR8080510+S-K"/>
      <sheetName val="MR7080510+SK"/>
      <sheetName val="MR8080510-SK"/>
      <sheetName val="MR8010510+sk"/>
      <sheetName val="MOONEE VALLEY 7 241009+sk"/>
      <sheetName val="SR6SYDNY CUP 240410+S-K"/>
      <sheetName val="SR6doncaster"/>
      <sheetName val="SR8"/>
      <sheetName val="SR8100410-S+K"/>
      <sheetName val="MR80410-S+K"/>
      <sheetName val="BR 7270210-S+K"/>
      <sheetName val="SR5030410-SK"/>
      <sheetName val="MR6030410+S-K"/>
      <sheetName val="GOLDENSLIPPERSR070410-SK"/>
      <sheetName val="SR6270310+S-K"/>
      <sheetName val="SR9270310+SK"/>
      <sheetName val="CoolmoreSR7200310-SK"/>
      <sheetName val="MR 6 060310+SK"/>
      <sheetName val="SR8 270210 +S-K"/>
      <sheetName val="MR5 160110+S-K "/>
      <sheetName val="MR8200210-SK"/>
      <sheetName val="WILLIAM REID STKG1MR7100213+S-K"/>
      <sheetName val="BR8 130210+SK"/>
      <sheetName val="SALE7+S-K"/>
      <sheetName val="sunshine6+SK"/>
      <sheetName val="MR8060210-SK"/>
      <sheetName val="MR9060210-SK"/>
      <sheetName val="MR6160110-SK"/>
      <sheetName val="MR8 160110-SK"/>
      <sheetName val="JWALKER MM BR 050110 SK+"/>
      <sheetName val="QLD MM BR 6 100110 +S-K"/>
      <sheetName val="BMW MM BR 7 100110-SK"/>
      <sheetName val="RM WILLIAMS MMBR 8 100110 +S-K"/>
      <sheetName val="LR 020110"/>
      <sheetName val="Mr6 261209-S-K"/>
      <sheetName val="mr8  261209 +s-k"/>
      <sheetName val="MR 5 121209"/>
      <sheetName val="MR 7 051209"/>
      <sheetName val="sub"/>
      <sheetName val="MACKINNON STAKES 311009 +SK"/>
      <sheetName val="sr8241009 -SK"/>
      <sheetName val="mr9 241009 +s-k"/>
      <sheetName val="ROSEHILLSR6241009 +SK "/>
      <sheetName val="DAVID JONES MR7171009"/>
      <sheetName val="CAULFIELD CUPMR81710 2009+sk"/>
      <sheetName val="YALUMBA MR5 101009"/>
      <sheetName val="DJS TOORAKHCP MR6 10 10 09-SK"/>
      <sheetName val="Caulfied GuineasMR7 10 10 09-SK"/>
      <sheetName val="HERB POWER STAKES MR 8 10 11 09"/>
      <sheetName val="MR8 10 10 09+S-K"/>
      <sheetName val="MR7 04 10 09+S-K"/>
      <sheetName val="MR6 19092009 _S_K _2_"/>
      <sheetName val="MR8 19092009 _S_K _2_"/>
      <sheetName val="MR7 05092009 _SK _1_"/>
      <sheetName val="MR8 05092009 _SK _2_"/>
      <sheetName val="MR9 05092009 _SK"/>
      <sheetName val="SR7 08082009 _SK_1_"/>
      <sheetName val="SR8 08082009 _SK_2_"/>
      <sheetName val="MR7 08082009_SK_3_"/>
      <sheetName val="MR8 08082009_S_K_4_"/>
      <sheetName val="MR6 25072009 _S_K _1_"/>
      <sheetName val="MR8 25072009 _S_K _2_"/>
      <sheetName val="MR6 18072009 _S_K _1_"/>
      <sheetName val="SR6 18072009 _S_K _2_"/>
      <sheetName val="MR7 18072009 _SK _3_"/>
      <sheetName val="SR7 18072009 _S_K _4_"/>
      <sheetName val="MR8 18072009 _SK _5_"/>
      <sheetName val="SR8 18072009 _SK _6_"/>
      <sheetName val="SR5 11072009 _+SK __"/>
      <sheetName val="SR6 11072009 +S-K _1_"/>
      <sheetName val="SR7 11072009 _SK _2_"/>
      <sheetName val="SR8 11072009 _SK _3_"/>
      <sheetName val="MR5 04072009 _SK _1_"/>
      <sheetName val="MR6 04072009 _SK _2_"/>
      <sheetName val="MR8 04072009_ S_K _3_"/>
      <sheetName val="MR627062009 S_K"/>
      <sheetName val="SR920062009+S-K"/>
      <sheetName val="MR827062009_S_K"/>
      <sheetName val="BR620062009+SK"/>
      <sheetName val="BR820062009+SK"/>
      <sheetName val="BR806062009+S-K"/>
      <sheetName val="BR716052009+SK"/>
      <sheetName val="BR509052009-S+K _2_"/>
      <sheetName val="SR718042009+S-K _1_"/>
      <sheetName val="SR818042009_S_K _2_"/>
      <sheetName val="SR411042009_S_K _1_"/>
      <sheetName val="SR511042009_S_K _2_"/>
      <sheetName val="SR7 DJS DERBY 11042009_S_K _3_"/>
      <sheetName val="SR811042009_S_K _4_"/>
      <sheetName val="MR604042009_S_K _2_"/>
      <sheetName val="GOLDSLIPPERSR704042009_S_K _1_"/>
      <sheetName val="SR6 28032009_S_K _1_"/>
      <sheetName val="MR6 28032009_SK _2_"/>
      <sheetName val="BR5 21032009_S_K _5_"/>
      <sheetName val="BR7 21032009_S_K _2_"/>
      <sheetName val="BR8 21032009_S_K _3_"/>
      <sheetName val="SR7 21032009_S_K _4_"/>
      <sheetName val="_Y8 14032009_S_K _1_"/>
      <sheetName val="_S6 14032009_S_K _2_"/>
      <sheetName val="_S7 14032009_S_K _3_"/>
      <sheetName val="_S9 14032009_S_K _4_"/>
      <sheetName val="M6 14032009_S_K _4_"/>
      <sheetName val="M7 14032009_S_K _2_"/>
      <sheetName val="BR8 08032009_S_K _2_"/>
      <sheetName val="BR7 08032009_S_K _1_"/>
      <sheetName val="New Zeland Y9 04032009_S_K _1_"/>
      <sheetName val="BR7 28022009_S_K _2_"/>
      <sheetName val="BR6 28022009_S_K _2_"/>
      <sheetName val="MR9 21022009_S_K _2_"/>
      <sheetName val="MR8 21022009_S_K _1_"/>
      <sheetName val="MR6 21022009_S_K _3_"/>
      <sheetName val="MR8 08022009_S_K _6_"/>
      <sheetName val="MR7 08022009_S_K _6_"/>
      <sheetName val="BR8 07022009_S_K _5_"/>
      <sheetName val="BR7 07022009_S_K _4_"/>
      <sheetName val="BR6 07022009_S_K _3_"/>
      <sheetName val="BR5 07022009_S_K _2_"/>
      <sheetName val="BR4 07022009_S_K _1_"/>
      <sheetName val="M7 26012009_S_K __"/>
      <sheetName val="Y8 24012009_S_K _4_"/>
      <sheetName val="ML5 170120098_S_K _3_"/>
      <sheetName val="Bris 07 06122008_S_K _2_"/>
      <sheetName val="Bris 07 06122008_S_K _1_"/>
      <sheetName val="Sydney 6 13122008_S_K _2_"/>
      <sheetName val="Adelaide 07 13122008_S_K _1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>
        <row r="3">
          <cell r="A3" t="str">
            <v xml:space="preserve">CHASM (1) </v>
          </cell>
          <cell r="C3">
            <v>19</v>
          </cell>
        </row>
        <row r="4">
          <cell r="A4" t="str">
            <v xml:space="preserve">GOLD SALUTE (4) </v>
          </cell>
          <cell r="C4">
            <v>21</v>
          </cell>
        </row>
        <row r="5">
          <cell r="A5" t="str">
            <v xml:space="preserve">MIDNIGHT MUSTANG (11) </v>
          </cell>
          <cell r="C5">
            <v>21</v>
          </cell>
        </row>
        <row r="6">
          <cell r="A6" t="str">
            <v xml:space="preserve">MASKED ASSASSIN (9) </v>
          </cell>
          <cell r="C6">
            <v>20</v>
          </cell>
        </row>
        <row r="7">
          <cell r="A7" t="str">
            <v xml:space="preserve">TURFFONTEIN (13) </v>
          </cell>
          <cell r="C7">
            <v>24</v>
          </cell>
        </row>
        <row r="8">
          <cell r="A8" t="str">
            <v xml:space="preserve">MR BARITONE (8) </v>
          </cell>
          <cell r="C8">
            <v>51</v>
          </cell>
        </row>
        <row r="9">
          <cell r="A9" t="str">
            <v xml:space="preserve">RAHEEB (14) </v>
          </cell>
          <cell r="C9">
            <v>18</v>
          </cell>
        </row>
        <row r="10">
          <cell r="A10" t="str">
            <v xml:space="preserve">ORANGE COUNTY (18) </v>
          </cell>
          <cell r="C10">
            <v>41</v>
          </cell>
        </row>
        <row r="11">
          <cell r="A11" t="str">
            <v xml:space="preserve">JUNGLE RULER (17) </v>
          </cell>
          <cell r="C11">
            <v>58</v>
          </cell>
        </row>
        <row r="12">
          <cell r="A12" t="str">
            <v xml:space="preserve">RIOS (2) </v>
          </cell>
          <cell r="C12">
            <v>22</v>
          </cell>
        </row>
        <row r="13">
          <cell r="A13" t="str">
            <v xml:space="preserve">PINNACLES (5) </v>
          </cell>
          <cell r="C13">
            <v>38</v>
          </cell>
        </row>
        <row r="14">
          <cell r="A14" t="str">
            <v xml:space="preserve">ESTEE (3) </v>
          </cell>
          <cell r="C14">
            <v>18</v>
          </cell>
        </row>
        <row r="15">
          <cell r="A15" t="str">
            <v xml:space="preserve">FAMOUS ROMAN (16) </v>
          </cell>
          <cell r="C15">
            <v>25</v>
          </cell>
        </row>
        <row r="16">
          <cell r="A16" t="str">
            <v xml:space="preserve">STICKPIN (15) </v>
          </cell>
          <cell r="C16">
            <v>40</v>
          </cell>
        </row>
        <row r="17">
          <cell r="A17" t="str">
            <v xml:space="preserve">RAFFAELLO (7) </v>
          </cell>
          <cell r="C17">
            <v>30</v>
          </cell>
        </row>
        <row r="18">
          <cell r="A18" t="str">
            <v xml:space="preserve">VON COSTA DE HERO (12) </v>
          </cell>
          <cell r="C18">
            <v>16</v>
          </cell>
        </row>
        <row r="19">
          <cell r="A19" t="str">
            <v xml:space="preserve">ALL AMERICAN (6) </v>
          </cell>
          <cell r="C19">
            <v>19</v>
          </cell>
        </row>
        <row r="20">
          <cell r="A20" t="str">
            <v xml:space="preserve">PILLAR OF HERCULES (10) </v>
          </cell>
          <cell r="C20">
            <v>20</v>
          </cell>
        </row>
      </sheetData>
      <sheetData sheetId="101" refreshError="1">
        <row r="3">
          <cell r="A3" t="str">
            <v xml:space="preserve">NEROLI </v>
          </cell>
          <cell r="C3">
            <v>13</v>
          </cell>
        </row>
        <row r="4">
          <cell r="A4" t="str">
            <v xml:space="preserve">DOLLOPS </v>
          </cell>
          <cell r="C4">
            <v>18</v>
          </cell>
        </row>
        <row r="5">
          <cell r="A5" t="str">
            <v xml:space="preserve">TEMPEST TOST </v>
          </cell>
          <cell r="C5">
            <v>10</v>
          </cell>
        </row>
        <row r="6">
          <cell r="A6" t="str">
            <v xml:space="preserve">FLYING RUBY </v>
          </cell>
          <cell r="C6">
            <v>20</v>
          </cell>
        </row>
        <row r="7">
          <cell r="A7" t="str">
            <v xml:space="preserve">VELOCITEA </v>
          </cell>
          <cell r="C7">
            <v>11</v>
          </cell>
        </row>
        <row r="8">
          <cell r="A8" t="str">
            <v xml:space="preserve">BEAMING </v>
          </cell>
          <cell r="C8">
            <v>13</v>
          </cell>
        </row>
        <row r="9">
          <cell r="A9" t="str">
            <v xml:space="preserve">DELYARA </v>
          </cell>
          <cell r="C9">
            <v>20</v>
          </cell>
        </row>
        <row r="10">
          <cell r="A10" t="str">
            <v xml:space="preserve">TOOTSIE </v>
          </cell>
          <cell r="C10">
            <v>15</v>
          </cell>
        </row>
        <row r="11">
          <cell r="A11" t="str">
            <v xml:space="preserve">ABSOLUT GLAM  </v>
          </cell>
          <cell r="C11">
            <v>21</v>
          </cell>
        </row>
        <row r="12">
          <cell r="A12" t="str">
            <v xml:space="preserve">CHAMPAGNE HARMONY </v>
          </cell>
          <cell r="C12">
            <v>7</v>
          </cell>
        </row>
        <row r="13">
          <cell r="A13" t="str">
            <v xml:space="preserve">PRINCESS GISELLA </v>
          </cell>
          <cell r="C13">
            <v>22</v>
          </cell>
        </row>
        <row r="14">
          <cell r="A14" t="str">
            <v xml:space="preserve">RAPID SENSATION </v>
          </cell>
          <cell r="C14">
            <v>8</v>
          </cell>
        </row>
        <row r="15">
          <cell r="A15" t="str">
            <v xml:space="preserve">JACQUELINE ROUGE </v>
          </cell>
          <cell r="C15">
            <v>33</v>
          </cell>
        </row>
        <row r="16">
          <cell r="A16" t="str">
            <v xml:space="preserve">ANNESONG </v>
          </cell>
          <cell r="C16">
            <v>30</v>
          </cell>
        </row>
        <row r="17">
          <cell r="A17" t="str">
            <v xml:space="preserve">PRIMA NOVA </v>
          </cell>
          <cell r="C17">
            <v>25</v>
          </cell>
        </row>
      </sheetData>
      <sheetData sheetId="102" refreshError="1">
        <row r="3">
          <cell r="A3" t="str">
            <v xml:space="preserve">TYPHOON TRACY </v>
          </cell>
          <cell r="C3">
            <v>6</v>
          </cell>
        </row>
        <row r="4">
          <cell r="A4" t="str">
            <v xml:space="preserve">HEART OF DREAMS </v>
          </cell>
          <cell r="C4">
            <v>9</v>
          </cell>
        </row>
        <row r="5">
          <cell r="A5" t="str">
            <v xml:space="preserve">VIGOR </v>
          </cell>
          <cell r="C5">
            <v>16</v>
          </cell>
        </row>
        <row r="6">
          <cell r="A6" t="str">
            <v xml:space="preserve">MACO'REILLY </v>
          </cell>
          <cell r="C6">
            <v>30</v>
          </cell>
        </row>
        <row r="7">
          <cell r="A7" t="str">
            <v xml:space="preserve">PREDATORY PRICER </v>
          </cell>
          <cell r="C7">
            <v>13</v>
          </cell>
        </row>
        <row r="8">
          <cell r="A8" t="str">
            <v xml:space="preserve">KIBBUTZ </v>
          </cell>
          <cell r="C8">
            <v>12</v>
          </cell>
        </row>
        <row r="9">
          <cell r="A9" t="str">
            <v xml:space="preserve">C'EST LA GUERRE </v>
          </cell>
          <cell r="C9">
            <v>16</v>
          </cell>
        </row>
        <row r="10">
          <cell r="A10" t="str">
            <v xml:space="preserve">MASTER O'REILLY  </v>
          </cell>
          <cell r="C10">
            <v>31</v>
          </cell>
        </row>
        <row r="11">
          <cell r="A11" t="str">
            <v xml:space="preserve">RED RULER </v>
          </cell>
          <cell r="C11">
            <v>19</v>
          </cell>
        </row>
        <row r="12">
          <cell r="A12" t="str">
            <v xml:space="preserve">PACINO </v>
          </cell>
          <cell r="C12">
            <v>36</v>
          </cell>
        </row>
        <row r="13">
          <cell r="A13" t="str">
            <v xml:space="preserve">HE'S SOMETHING </v>
          </cell>
          <cell r="C13">
            <v>21</v>
          </cell>
        </row>
        <row r="14">
          <cell r="A14" t="str">
            <v xml:space="preserve">ZAGREB </v>
          </cell>
          <cell r="C14">
            <v>15</v>
          </cell>
        </row>
      </sheetData>
      <sheetData sheetId="103" refreshError="1">
        <row r="3">
          <cell r="A3" t="str">
            <v xml:space="preserve">SWIFT ALLIANCE </v>
          </cell>
          <cell r="C3">
            <v>6</v>
          </cell>
        </row>
        <row r="4">
          <cell r="A4" t="str">
            <v xml:space="preserve">CHASM </v>
          </cell>
          <cell r="C4">
            <v>18</v>
          </cell>
        </row>
        <row r="5">
          <cell r="A5" t="str">
            <v xml:space="preserve">ARINOS </v>
          </cell>
          <cell r="C5">
            <v>14</v>
          </cell>
        </row>
        <row r="6">
          <cell r="A6" t="str">
            <v xml:space="preserve">MALDIVIAN  </v>
          </cell>
          <cell r="C6">
            <v>27</v>
          </cell>
        </row>
        <row r="7">
          <cell r="A7" t="str">
            <v xml:space="preserve">CHAMPAGNE HARMONY </v>
          </cell>
          <cell r="C7">
            <v>6</v>
          </cell>
        </row>
        <row r="8">
          <cell r="A8" t="str">
            <v xml:space="preserve">MIDNIGHT MUSTANG </v>
          </cell>
          <cell r="C8">
            <v>20</v>
          </cell>
        </row>
        <row r="9">
          <cell r="A9" t="str">
            <v xml:space="preserve">KRONER </v>
          </cell>
          <cell r="C9">
            <v>17</v>
          </cell>
        </row>
        <row r="10">
          <cell r="A10" t="str">
            <v xml:space="preserve">GOLD SALUTE </v>
          </cell>
          <cell r="C10">
            <v>20</v>
          </cell>
        </row>
        <row r="11">
          <cell r="A11" t="str">
            <v xml:space="preserve">TURFFONTEIN </v>
          </cell>
          <cell r="C11">
            <v>23</v>
          </cell>
        </row>
        <row r="12">
          <cell r="A12" t="str">
            <v xml:space="preserve">RAHEEB </v>
          </cell>
          <cell r="C12">
            <v>17</v>
          </cell>
        </row>
        <row r="13">
          <cell r="A13" t="str">
            <v xml:space="preserve">SHREWD RHYTHM </v>
          </cell>
          <cell r="C13">
            <v>17</v>
          </cell>
        </row>
        <row r="14">
          <cell r="A14" t="str">
            <v xml:space="preserve">DR NIPANDTUCK </v>
          </cell>
          <cell r="C14">
            <v>43</v>
          </cell>
        </row>
        <row r="15">
          <cell r="A15" t="str">
            <v xml:space="preserve">ALL AMERICAN </v>
          </cell>
          <cell r="C15">
            <v>18</v>
          </cell>
        </row>
        <row r="16">
          <cell r="A16" t="str">
            <v xml:space="preserve">FALAISE </v>
          </cell>
          <cell r="C16">
            <v>42</v>
          </cell>
        </row>
        <row r="17">
          <cell r="A17" t="str">
            <v xml:space="preserve">SHADOWAYS </v>
          </cell>
          <cell r="C17">
            <v>27</v>
          </cell>
        </row>
      </sheetData>
      <sheetData sheetId="104" refreshError="1">
        <row r="3">
          <cell r="A3" t="str">
            <v xml:space="preserve">UNSUNG HEROINE  </v>
          </cell>
          <cell r="C3">
            <v>4</v>
          </cell>
        </row>
        <row r="4">
          <cell r="A4" t="str">
            <v xml:space="preserve">OUR CANNAVARO </v>
          </cell>
          <cell r="C4">
            <v>7</v>
          </cell>
        </row>
        <row r="5">
          <cell r="A5" t="str">
            <v xml:space="preserve">HISSING SID </v>
          </cell>
          <cell r="C5">
            <v>15</v>
          </cell>
        </row>
        <row r="6">
          <cell r="A6" t="str">
            <v xml:space="preserve">MACKNUCKLE </v>
          </cell>
          <cell r="C6">
            <v>23</v>
          </cell>
        </row>
        <row r="7">
          <cell r="A7" t="str">
            <v xml:space="preserve">LEICA LARRIKIN </v>
          </cell>
          <cell r="C7">
            <v>7</v>
          </cell>
        </row>
        <row r="8">
          <cell r="A8" t="str">
            <v xml:space="preserve">READY WHEN YOU ARE </v>
          </cell>
          <cell r="C8">
            <v>35</v>
          </cell>
        </row>
        <row r="9">
          <cell r="A9" t="str">
            <v xml:space="preserve">THE FOREMAN </v>
          </cell>
          <cell r="C9">
            <v>16</v>
          </cell>
        </row>
        <row r="10">
          <cell r="A10" t="str">
            <v xml:space="preserve">SPEED GIFTED </v>
          </cell>
          <cell r="C10">
            <v>9</v>
          </cell>
        </row>
        <row r="11">
          <cell r="A11" t="str">
            <v xml:space="preserve">CATS FUN </v>
          </cell>
          <cell r="C11">
            <v>29</v>
          </cell>
        </row>
        <row r="12">
          <cell r="A12" t="str">
            <v xml:space="preserve">YOUNG CENTAUR </v>
          </cell>
          <cell r="C12">
            <v>36</v>
          </cell>
        </row>
        <row r="13">
          <cell r="A13" t="str">
            <v xml:space="preserve">VANDALO </v>
          </cell>
          <cell r="C13">
            <v>25</v>
          </cell>
        </row>
        <row r="14">
          <cell r="A14" t="str">
            <v xml:space="preserve">ACOSTA </v>
          </cell>
          <cell r="C14">
            <v>20</v>
          </cell>
        </row>
        <row r="15">
          <cell r="A15" t="str">
            <v xml:space="preserve">ARAPAHO MISS </v>
          </cell>
          <cell r="C15">
            <v>22</v>
          </cell>
        </row>
        <row r="16">
          <cell r="A16" t="str">
            <v xml:space="preserve">RED LORD </v>
          </cell>
          <cell r="C16">
            <v>38</v>
          </cell>
        </row>
        <row r="17">
          <cell r="A17" t="str">
            <v xml:space="preserve">SADDLER'S STORY </v>
          </cell>
          <cell r="C17">
            <v>29</v>
          </cell>
        </row>
      </sheetData>
      <sheetData sheetId="105" refreshError="1">
        <row r="3">
          <cell r="A3" t="str">
            <v xml:space="preserve">CULLEN CASTLE  </v>
          </cell>
          <cell r="C3">
            <v>16</v>
          </cell>
        </row>
        <row r="4">
          <cell r="A4" t="str">
            <v xml:space="preserve">NATMANA </v>
          </cell>
          <cell r="C4">
            <v>30</v>
          </cell>
        </row>
        <row r="5">
          <cell r="A5" t="str">
            <v xml:space="preserve">INSPIRED CHOICE </v>
          </cell>
          <cell r="C5">
            <v>18</v>
          </cell>
        </row>
        <row r="6">
          <cell r="A6" t="str">
            <v xml:space="preserve">SIR FUSSALOT </v>
          </cell>
          <cell r="C6">
            <v>22</v>
          </cell>
        </row>
        <row r="7">
          <cell r="A7" t="str">
            <v xml:space="preserve">ROMANY STAR </v>
          </cell>
          <cell r="C7">
            <v>11</v>
          </cell>
        </row>
        <row r="8">
          <cell r="A8" t="str">
            <v xml:space="preserve">BIEN PENSANT </v>
          </cell>
          <cell r="C8">
            <v>27</v>
          </cell>
        </row>
        <row r="9">
          <cell r="A9" t="str">
            <v xml:space="preserve">GUNNADOIT </v>
          </cell>
          <cell r="C9">
            <v>21</v>
          </cell>
        </row>
        <row r="10">
          <cell r="A10" t="str">
            <v xml:space="preserve">INADESERT </v>
          </cell>
          <cell r="C10">
            <v>28</v>
          </cell>
        </row>
        <row r="11">
          <cell r="A11" t="str">
            <v xml:space="preserve">DANZIBAA </v>
          </cell>
          <cell r="C11">
            <v>39</v>
          </cell>
        </row>
        <row r="12">
          <cell r="A12" t="str">
            <v xml:space="preserve">ANOTHER NIP </v>
          </cell>
          <cell r="C12">
            <v>21</v>
          </cell>
        </row>
        <row r="13">
          <cell r="A13" t="str">
            <v xml:space="preserve">CHINGGIS </v>
          </cell>
          <cell r="C13">
            <v>18</v>
          </cell>
        </row>
        <row r="14">
          <cell r="A14" t="str">
            <v xml:space="preserve">REGAL TROCHE </v>
          </cell>
          <cell r="C14">
            <v>10</v>
          </cell>
        </row>
      </sheetData>
      <sheetData sheetId="106" refreshError="1">
        <row r="3">
          <cell r="A3" t="str">
            <v xml:space="preserve">MCCLINTOCK </v>
          </cell>
          <cell r="C3">
            <v>13</v>
          </cell>
        </row>
        <row r="4">
          <cell r="A4" t="str">
            <v xml:space="preserve">VOICE COMMANDER </v>
          </cell>
          <cell r="C4">
            <v>20</v>
          </cell>
        </row>
        <row r="5">
          <cell r="A5" t="str">
            <v xml:space="preserve">TESTIMONIAL </v>
          </cell>
          <cell r="C5">
            <v>41</v>
          </cell>
        </row>
        <row r="6">
          <cell r="A6" t="str">
            <v xml:space="preserve">PINS ON PARADE </v>
          </cell>
          <cell r="C6">
            <v>17</v>
          </cell>
        </row>
        <row r="7">
          <cell r="A7" t="str">
            <v xml:space="preserve">COMEPSA </v>
          </cell>
          <cell r="C7">
            <v>19</v>
          </cell>
        </row>
        <row r="8">
          <cell r="A8" t="str">
            <v xml:space="preserve">HELLO PRETTY  </v>
          </cell>
          <cell r="C8">
            <v>16</v>
          </cell>
        </row>
        <row r="9">
          <cell r="A9" t="str">
            <v xml:space="preserve">FANGLES </v>
          </cell>
          <cell r="C9">
            <v>29</v>
          </cell>
        </row>
        <row r="10">
          <cell r="A10" t="str">
            <v xml:space="preserve">GO CART </v>
          </cell>
          <cell r="C10">
            <v>34</v>
          </cell>
        </row>
        <row r="11">
          <cell r="A11" t="str">
            <v xml:space="preserve">SACRED ORDERS </v>
          </cell>
          <cell r="C11">
            <v>25</v>
          </cell>
        </row>
        <row r="12">
          <cell r="A12" t="str">
            <v xml:space="preserve">ZARVISTA </v>
          </cell>
          <cell r="C12">
            <v>22</v>
          </cell>
        </row>
        <row r="13">
          <cell r="A13" t="str">
            <v xml:space="preserve">MURRAY'S SUN </v>
          </cell>
          <cell r="C13">
            <v>14</v>
          </cell>
        </row>
        <row r="14">
          <cell r="A14" t="str">
            <v xml:space="preserve">MUSTARD </v>
          </cell>
          <cell r="C14">
            <v>91</v>
          </cell>
        </row>
      </sheetData>
      <sheetData sheetId="107" refreshError="1">
        <row r="3">
          <cell r="A3" t="str">
            <v xml:space="preserve">SCENIC SCENE </v>
          </cell>
          <cell r="C3">
            <v>39</v>
          </cell>
        </row>
        <row r="4">
          <cell r="A4" t="str">
            <v xml:space="preserve">FIELD HUNTER  </v>
          </cell>
          <cell r="C4">
            <v>40</v>
          </cell>
        </row>
        <row r="5">
          <cell r="A5" t="str">
            <v xml:space="preserve">RUBIJON </v>
          </cell>
          <cell r="C5">
            <v>38</v>
          </cell>
        </row>
        <row r="6">
          <cell r="A6" t="str">
            <v xml:space="preserve">CLANDON </v>
          </cell>
          <cell r="C6">
            <v>38</v>
          </cell>
        </row>
        <row r="7">
          <cell r="A7" t="str">
            <v xml:space="preserve">LEICA LARRIKIN </v>
          </cell>
          <cell r="C7">
            <v>6</v>
          </cell>
        </row>
        <row r="8">
          <cell r="A8" t="str">
            <v xml:space="preserve">GREATWALL OF CHINA </v>
          </cell>
          <cell r="C8">
            <v>26</v>
          </cell>
        </row>
        <row r="9">
          <cell r="A9" t="str">
            <v xml:space="preserve">GAME SERENA </v>
          </cell>
          <cell r="C9">
            <v>40</v>
          </cell>
        </row>
        <row r="10">
          <cell r="A10" t="str">
            <v xml:space="preserve">VANDALO </v>
          </cell>
          <cell r="C10">
            <v>22</v>
          </cell>
        </row>
        <row r="11">
          <cell r="A11" t="str">
            <v xml:space="preserve">KAAVERT </v>
          </cell>
          <cell r="C11">
            <v>10</v>
          </cell>
        </row>
        <row r="12">
          <cell r="A12" t="str">
            <v xml:space="preserve">ACOSTA </v>
          </cell>
          <cell r="C12">
            <v>19</v>
          </cell>
        </row>
        <row r="13">
          <cell r="A13" t="str">
            <v xml:space="preserve">LEICA FALCON </v>
          </cell>
          <cell r="C13">
            <v>17</v>
          </cell>
        </row>
      </sheetData>
      <sheetData sheetId="108" refreshError="1">
        <row r="3">
          <cell r="A3" t="str">
            <v xml:space="preserve">LA ROCKET </v>
          </cell>
          <cell r="C3">
            <v>18</v>
          </cell>
        </row>
        <row r="4">
          <cell r="A4" t="str">
            <v xml:space="preserve">SILKY SMOOTH </v>
          </cell>
          <cell r="C4">
            <v>20</v>
          </cell>
        </row>
        <row r="5">
          <cell r="A5" t="str">
            <v xml:space="preserve">DRIFFIELD GOLD </v>
          </cell>
          <cell r="C5">
            <v>28</v>
          </cell>
        </row>
        <row r="6">
          <cell r="A6" t="str">
            <v xml:space="preserve">JUNGLE RULER </v>
          </cell>
          <cell r="C6">
            <v>54</v>
          </cell>
        </row>
        <row r="7">
          <cell r="A7" t="str">
            <v xml:space="preserve">GUILD </v>
          </cell>
          <cell r="C7">
            <v>16</v>
          </cell>
        </row>
        <row r="8">
          <cell r="A8" t="str">
            <v xml:space="preserve">KELTAH </v>
          </cell>
          <cell r="C8">
            <v>37</v>
          </cell>
        </row>
        <row r="9">
          <cell r="A9" t="str">
            <v xml:space="preserve">CATS FUN </v>
          </cell>
          <cell r="C9">
            <v>27</v>
          </cell>
        </row>
        <row r="10">
          <cell r="A10" t="str">
            <v xml:space="preserve">FRIGID </v>
          </cell>
          <cell r="C10">
            <v>34</v>
          </cell>
        </row>
        <row r="11">
          <cell r="A11" t="str">
            <v xml:space="preserve">FORDEE </v>
          </cell>
          <cell r="C11">
            <v>16</v>
          </cell>
        </row>
        <row r="12">
          <cell r="A12" t="str">
            <v xml:space="preserve">RICH SUCCESS </v>
          </cell>
          <cell r="C12">
            <v>13</v>
          </cell>
        </row>
      </sheetData>
      <sheetData sheetId="109" refreshError="1">
        <row r="3">
          <cell r="A3" t="str">
            <v xml:space="preserve">FIELD HUNTER  </v>
          </cell>
          <cell r="C3">
            <v>39</v>
          </cell>
        </row>
        <row r="4">
          <cell r="A4" t="str">
            <v xml:space="preserve">CLANDON </v>
          </cell>
          <cell r="C4">
            <v>37</v>
          </cell>
        </row>
        <row r="5">
          <cell r="A5" t="str">
            <v xml:space="preserve">KELTAH </v>
          </cell>
          <cell r="C5">
            <v>36</v>
          </cell>
        </row>
        <row r="6">
          <cell r="A6" t="str">
            <v xml:space="preserve">GREATWALL OF CHINA </v>
          </cell>
          <cell r="C6">
            <v>25</v>
          </cell>
        </row>
        <row r="7">
          <cell r="A7" t="str">
            <v xml:space="preserve">JENNINGS </v>
          </cell>
          <cell r="C7">
            <v>35</v>
          </cell>
        </row>
        <row r="8">
          <cell r="A8" t="str">
            <v xml:space="preserve">DESERT MASTER </v>
          </cell>
          <cell r="C8">
            <v>44</v>
          </cell>
        </row>
        <row r="9">
          <cell r="A9" t="str">
            <v xml:space="preserve">TOLKA ROCK </v>
          </cell>
          <cell r="C9">
            <v>18</v>
          </cell>
        </row>
        <row r="10">
          <cell r="A10" t="str">
            <v xml:space="preserve">VANDALO </v>
          </cell>
          <cell r="C10">
            <v>21</v>
          </cell>
        </row>
        <row r="11">
          <cell r="A11" t="str">
            <v xml:space="preserve">SENTIRE </v>
          </cell>
          <cell r="C11">
            <v>44</v>
          </cell>
        </row>
        <row r="12">
          <cell r="A12" t="str">
            <v xml:space="preserve">ACOSTA </v>
          </cell>
          <cell r="C12">
            <v>18</v>
          </cell>
        </row>
      </sheetData>
      <sheetData sheetId="110" refreshError="1">
        <row r="3">
          <cell r="A3" t="str">
            <v xml:space="preserve">BOHIKA </v>
          </cell>
          <cell r="C3">
            <v>10</v>
          </cell>
        </row>
        <row r="4">
          <cell r="A4" t="str">
            <v xml:space="preserve">COMMANDING HOPE </v>
          </cell>
          <cell r="C4">
            <v>16</v>
          </cell>
        </row>
        <row r="5">
          <cell r="A5" t="str">
            <v xml:space="preserve">GUILD </v>
          </cell>
          <cell r="C5">
            <v>15</v>
          </cell>
        </row>
        <row r="6">
          <cell r="A6" t="str">
            <v xml:space="preserve">MR SARGOOD </v>
          </cell>
          <cell r="C6">
            <v>32</v>
          </cell>
        </row>
        <row r="7">
          <cell r="A7" t="str">
            <v xml:space="preserve">IN THE SHADOWS  </v>
          </cell>
          <cell r="C7">
            <v>36</v>
          </cell>
        </row>
        <row r="8">
          <cell r="A8" t="str">
            <v xml:space="preserve">AMERRYKING </v>
          </cell>
          <cell r="C8">
            <v>34</v>
          </cell>
        </row>
        <row r="9">
          <cell r="A9" t="str">
            <v xml:space="preserve">SIGNOR SOCKS </v>
          </cell>
          <cell r="C9">
            <v>16</v>
          </cell>
        </row>
        <row r="10">
          <cell r="A10" t="str">
            <v xml:space="preserve">PROSPECT </v>
          </cell>
          <cell r="C10">
            <v>35</v>
          </cell>
        </row>
        <row r="11">
          <cell r="A11" t="str">
            <v xml:space="preserve">OUR MONTAGUE </v>
          </cell>
          <cell r="C11">
            <v>26</v>
          </cell>
        </row>
        <row r="12">
          <cell r="A12" t="str">
            <v xml:space="preserve">RICH SUCCESS </v>
          </cell>
          <cell r="C12">
            <v>12</v>
          </cell>
        </row>
      </sheetData>
      <sheetData sheetId="111" refreshError="1">
        <row r="3">
          <cell r="A3" t="str">
            <v xml:space="preserve">DAMSELFLY </v>
          </cell>
          <cell r="C3">
            <v>6</v>
          </cell>
        </row>
        <row r="4">
          <cell r="A4" t="str">
            <v xml:space="preserve">GRAN SASSO </v>
          </cell>
          <cell r="C4">
            <v>24</v>
          </cell>
        </row>
        <row r="5">
          <cell r="A5" t="str">
            <v xml:space="preserve">I AM INVINCIBLE </v>
          </cell>
          <cell r="C5">
            <v>10</v>
          </cell>
        </row>
        <row r="6">
          <cell r="A6" t="str">
            <v xml:space="preserve">GLOBAL WARMING </v>
          </cell>
          <cell r="C6">
            <v>27</v>
          </cell>
        </row>
        <row r="7">
          <cell r="A7" t="str">
            <v xml:space="preserve">SNAPPY TOM </v>
          </cell>
          <cell r="C7">
            <v>52</v>
          </cell>
        </row>
        <row r="8">
          <cell r="A8" t="str">
            <v xml:space="preserve">ORANGE COUNTY </v>
          </cell>
          <cell r="C8">
            <v>37</v>
          </cell>
        </row>
        <row r="9">
          <cell r="A9" t="str">
            <v xml:space="preserve">LA GOULUE </v>
          </cell>
          <cell r="C9">
            <v>15</v>
          </cell>
        </row>
        <row r="10">
          <cell r="A10" t="str">
            <v xml:space="preserve">MIND YOUR HEAD </v>
          </cell>
          <cell r="C10">
            <v>27</v>
          </cell>
        </row>
      </sheetData>
      <sheetData sheetId="112" refreshError="1">
        <row r="3">
          <cell r="A3" t="str">
            <v xml:space="preserve">BAY WINDOW </v>
          </cell>
          <cell r="C3">
            <v>10</v>
          </cell>
        </row>
        <row r="4">
          <cell r="A4" t="str">
            <v xml:space="preserve">COCORURU </v>
          </cell>
          <cell r="C4">
            <v>19</v>
          </cell>
        </row>
        <row r="5">
          <cell r="A5" t="str">
            <v xml:space="preserve">STRAT'S FLYER </v>
          </cell>
          <cell r="C5">
            <v>26</v>
          </cell>
        </row>
        <row r="6">
          <cell r="A6" t="str">
            <v xml:space="preserve">SYNONYM </v>
          </cell>
          <cell r="C6">
            <v>27</v>
          </cell>
        </row>
        <row r="7">
          <cell r="A7" t="str">
            <v xml:space="preserve">CRUISY LADY </v>
          </cell>
          <cell r="C7">
            <v>23</v>
          </cell>
        </row>
        <row r="8">
          <cell r="A8" t="str">
            <v xml:space="preserve">DOTHIS DOTHAT </v>
          </cell>
          <cell r="C8">
            <v>27</v>
          </cell>
        </row>
        <row r="9">
          <cell r="A9" t="str">
            <v xml:space="preserve">HADAAF </v>
          </cell>
          <cell r="C9">
            <v>60</v>
          </cell>
        </row>
        <row r="10">
          <cell r="A10" t="str">
            <v xml:space="preserve">ALLABOUTUS </v>
          </cell>
          <cell r="C10">
            <v>28</v>
          </cell>
        </row>
        <row r="11">
          <cell r="A11" t="str">
            <v xml:space="preserve">TREVBAR </v>
          </cell>
          <cell r="C11">
            <v>42</v>
          </cell>
        </row>
        <row r="12">
          <cell r="A12" t="str">
            <v xml:space="preserve">TAGUS </v>
          </cell>
          <cell r="C12">
            <v>18</v>
          </cell>
        </row>
        <row r="13">
          <cell r="A13" t="str">
            <v xml:space="preserve">STARRY LIGHT </v>
          </cell>
          <cell r="C13">
            <v>26</v>
          </cell>
        </row>
        <row r="14">
          <cell r="A14" t="str">
            <v xml:space="preserve">PARFUMIER </v>
          </cell>
          <cell r="C14">
            <v>34</v>
          </cell>
        </row>
        <row r="15">
          <cell r="A15" t="str">
            <v xml:space="preserve">MR UNFORGETTABLE </v>
          </cell>
          <cell r="C15">
            <v>17</v>
          </cell>
        </row>
      </sheetData>
      <sheetData sheetId="113" refreshError="1">
        <row r="3">
          <cell r="A3" t="str">
            <v xml:space="preserve">AFTERBURN </v>
          </cell>
          <cell r="C3">
            <v>24</v>
          </cell>
        </row>
        <row r="4">
          <cell r="A4" t="str">
            <v xml:space="preserve">RUNNING RIOT </v>
          </cell>
          <cell r="C4">
            <v>18</v>
          </cell>
        </row>
        <row r="5">
          <cell r="A5" t="str">
            <v xml:space="preserve">JEUNEYMAN </v>
          </cell>
          <cell r="C5">
            <v>21</v>
          </cell>
        </row>
        <row r="6">
          <cell r="A6" t="str">
            <v xml:space="preserve">CAPE D'AMORE </v>
          </cell>
          <cell r="C6">
            <v>25</v>
          </cell>
        </row>
        <row r="7">
          <cell r="A7" t="str">
            <v xml:space="preserve">WOODWIN </v>
          </cell>
          <cell r="C7">
            <v>18</v>
          </cell>
        </row>
        <row r="8">
          <cell r="A8" t="str">
            <v xml:space="preserve">FIELD HUNTER </v>
          </cell>
          <cell r="C8">
            <v>38</v>
          </cell>
        </row>
        <row r="9">
          <cell r="A9" t="str">
            <v xml:space="preserve">BASHFUL GIRL </v>
          </cell>
          <cell r="C9">
            <v>24</v>
          </cell>
        </row>
        <row r="10">
          <cell r="A10" t="str">
            <v xml:space="preserve">TRUSTUS </v>
          </cell>
          <cell r="C10">
            <v>15</v>
          </cell>
        </row>
        <row r="11">
          <cell r="A11" t="str">
            <v xml:space="preserve">SCENIC SILVER </v>
          </cell>
          <cell r="C11">
            <v>25</v>
          </cell>
        </row>
        <row r="12">
          <cell r="A12" t="str">
            <v xml:space="preserve">JUNGLE RULER </v>
          </cell>
          <cell r="C12">
            <v>53</v>
          </cell>
        </row>
        <row r="13">
          <cell r="A13" t="str">
            <v xml:space="preserve">THREEDEE </v>
          </cell>
          <cell r="C13">
            <v>33</v>
          </cell>
        </row>
        <row r="14">
          <cell r="A14" t="str">
            <v xml:space="preserve">JENNINGS </v>
          </cell>
          <cell r="C14">
            <v>34</v>
          </cell>
        </row>
        <row r="15">
          <cell r="A15" t="str">
            <v xml:space="preserve">ZYZXX </v>
          </cell>
          <cell r="C15">
            <v>32</v>
          </cell>
        </row>
        <row r="16">
          <cell r="A16" t="str">
            <v xml:space="preserve">KING OF ASHFORD </v>
          </cell>
          <cell r="C16">
            <v>45</v>
          </cell>
        </row>
        <row r="17">
          <cell r="A17" t="str">
            <v xml:space="preserve">MONSIEUR FERAUD </v>
          </cell>
          <cell r="C17">
            <v>25</v>
          </cell>
        </row>
        <row r="18">
          <cell r="A18" t="str">
            <v xml:space="preserve">WIND SHEAR </v>
          </cell>
          <cell r="C18">
            <v>23</v>
          </cell>
        </row>
      </sheetData>
      <sheetData sheetId="114" refreshError="1">
        <row r="3">
          <cell r="A3" t="str">
            <v xml:space="preserve">JEST CREWSIN' </v>
          </cell>
          <cell r="C3">
            <v>15</v>
          </cell>
        </row>
        <row r="4">
          <cell r="A4" t="str">
            <v xml:space="preserve">ZARVISTA </v>
          </cell>
          <cell r="C4">
            <v>21</v>
          </cell>
        </row>
        <row r="5">
          <cell r="A5" t="str">
            <v xml:space="preserve">GREAT FEELING </v>
          </cell>
          <cell r="C5">
            <v>25</v>
          </cell>
        </row>
        <row r="6">
          <cell r="A6" t="str">
            <v xml:space="preserve">BEAU SECRET </v>
          </cell>
          <cell r="C6">
            <v>29</v>
          </cell>
        </row>
        <row r="7">
          <cell r="A7" t="str">
            <v xml:space="preserve">FLUSHING MEADOWS </v>
          </cell>
          <cell r="C7">
            <v>24</v>
          </cell>
        </row>
        <row r="8">
          <cell r="A8" t="str">
            <v xml:space="preserve">THE TAKE </v>
          </cell>
          <cell r="C8">
            <v>13</v>
          </cell>
        </row>
        <row r="9">
          <cell r="A9" t="str">
            <v xml:space="preserve">KOICHI </v>
          </cell>
          <cell r="C9">
            <v>21</v>
          </cell>
        </row>
        <row r="10">
          <cell r="A10" t="str">
            <v xml:space="preserve">SAVAGE SEVENS </v>
          </cell>
          <cell r="C10">
            <v>51</v>
          </cell>
        </row>
        <row r="11">
          <cell r="A11" t="str">
            <v xml:space="preserve">MOTSPUR </v>
          </cell>
          <cell r="C11">
            <v>17</v>
          </cell>
        </row>
        <row r="12">
          <cell r="A12" t="str">
            <v xml:space="preserve">ORPEN ROSE </v>
          </cell>
          <cell r="C12">
            <v>32</v>
          </cell>
        </row>
        <row r="13">
          <cell r="A13" t="str">
            <v xml:space="preserve">MUSIC ACADEMY </v>
          </cell>
          <cell r="C13">
            <v>15</v>
          </cell>
        </row>
        <row r="14">
          <cell r="A14" t="str">
            <v xml:space="preserve">MUSTARD </v>
          </cell>
          <cell r="C14">
            <v>90</v>
          </cell>
        </row>
        <row r="15">
          <cell r="A15" t="str">
            <v xml:space="preserve">DOWN THE WICKET </v>
          </cell>
          <cell r="C15">
            <v>19</v>
          </cell>
        </row>
      </sheetData>
      <sheetData sheetId="115" refreshError="1">
        <row r="3">
          <cell r="A3" t="str">
            <v xml:space="preserve">LA BELLA ROO </v>
          </cell>
          <cell r="C3">
            <v>4</v>
          </cell>
        </row>
        <row r="4">
          <cell r="A4" t="str">
            <v xml:space="preserve">ROAD TO DUNDEE </v>
          </cell>
          <cell r="C4">
            <v>17</v>
          </cell>
        </row>
        <row r="5">
          <cell r="A5" t="str">
            <v xml:space="preserve">MISTRY </v>
          </cell>
          <cell r="C5">
            <v>16</v>
          </cell>
        </row>
        <row r="6">
          <cell r="A6" t="str">
            <v xml:space="preserve">GREENMOUNT BELLE </v>
          </cell>
          <cell r="C6">
            <v>26</v>
          </cell>
        </row>
        <row r="7">
          <cell r="A7" t="str">
            <v xml:space="preserve">EXPRESSMOSS </v>
          </cell>
          <cell r="C7">
            <v>25</v>
          </cell>
        </row>
        <row r="8">
          <cell r="A8" t="str">
            <v xml:space="preserve">RED GEISHA </v>
          </cell>
          <cell r="C8">
            <v>20</v>
          </cell>
        </row>
        <row r="9">
          <cell r="A9" t="str">
            <v xml:space="preserve">MANILA JEWEL </v>
          </cell>
          <cell r="C9">
            <v>7</v>
          </cell>
        </row>
        <row r="10">
          <cell r="A10" t="str">
            <v xml:space="preserve">BELLE'S READY </v>
          </cell>
          <cell r="C10">
            <v>7</v>
          </cell>
        </row>
        <row r="11">
          <cell r="A11" t="str">
            <v xml:space="preserve">WITH APOLOGIES </v>
          </cell>
          <cell r="C11">
            <v>19</v>
          </cell>
        </row>
        <row r="12">
          <cell r="A12" t="str">
            <v xml:space="preserve">LIL' CESNA </v>
          </cell>
          <cell r="C12">
            <v>12</v>
          </cell>
        </row>
        <row r="13">
          <cell r="A13" t="str">
            <v xml:space="preserve">FIRST DRINKS </v>
          </cell>
          <cell r="C13">
            <v>40</v>
          </cell>
        </row>
        <row r="14">
          <cell r="A14" t="str">
            <v xml:space="preserve">DONNA ROSSA </v>
          </cell>
          <cell r="C14">
            <v>21</v>
          </cell>
        </row>
      </sheetData>
      <sheetData sheetId="116" refreshError="1">
        <row r="3">
          <cell r="A3" t="str">
            <v xml:space="preserve">CENTRE ARENA </v>
          </cell>
          <cell r="C3">
            <v>13</v>
          </cell>
        </row>
        <row r="4">
          <cell r="A4" t="str">
            <v xml:space="preserve">AUSWORLD </v>
          </cell>
          <cell r="C4">
            <v>11</v>
          </cell>
        </row>
        <row r="5">
          <cell r="A5" t="str">
            <v xml:space="preserve">THUNDERBIRDSAREGO </v>
          </cell>
          <cell r="C5">
            <v>51</v>
          </cell>
        </row>
        <row r="6">
          <cell r="A6" t="str">
            <v xml:space="preserve">SUPERREACT </v>
          </cell>
          <cell r="C6">
            <v>32</v>
          </cell>
        </row>
        <row r="7">
          <cell r="A7" t="str">
            <v xml:space="preserve">IN BOCCA LUPO </v>
          </cell>
          <cell r="C7">
            <v>13</v>
          </cell>
        </row>
        <row r="8">
          <cell r="A8" t="str">
            <v xml:space="preserve">UNIVERSAL COLOURS </v>
          </cell>
          <cell r="C8">
            <v>17</v>
          </cell>
        </row>
        <row r="9">
          <cell r="A9" t="str">
            <v xml:space="preserve">ULTRA </v>
          </cell>
          <cell r="C9">
            <v>20</v>
          </cell>
        </row>
        <row r="10">
          <cell r="A10" t="str">
            <v xml:space="preserve">SMOKEY HAZE </v>
          </cell>
          <cell r="C10">
            <v>35</v>
          </cell>
        </row>
        <row r="11">
          <cell r="A11" t="str">
            <v xml:space="preserve">NARWEE </v>
          </cell>
          <cell r="C11">
            <v>18</v>
          </cell>
        </row>
        <row r="12">
          <cell r="A12" t="str">
            <v xml:space="preserve">CHINGGIS </v>
          </cell>
          <cell r="C12">
            <v>17</v>
          </cell>
        </row>
        <row r="13">
          <cell r="A13" t="str">
            <v xml:space="preserve">TEARS TO LAUGHTER </v>
          </cell>
          <cell r="C13">
            <v>15</v>
          </cell>
        </row>
      </sheetData>
      <sheetData sheetId="117" refreshError="1">
        <row r="3">
          <cell r="A3" t="str">
            <v xml:space="preserve">THE INVINCIBLE ONE </v>
          </cell>
          <cell r="C3">
            <v>5</v>
          </cell>
        </row>
        <row r="4">
          <cell r="A4" t="str">
            <v xml:space="preserve">GENTLY BENTLEY </v>
          </cell>
          <cell r="C4">
            <v>19</v>
          </cell>
        </row>
        <row r="5">
          <cell r="A5" t="str">
            <v xml:space="preserve">MONARO MAGIC </v>
          </cell>
          <cell r="C5">
            <v>21</v>
          </cell>
        </row>
        <row r="6">
          <cell r="A6" t="str">
            <v xml:space="preserve">COUSIN WAL </v>
          </cell>
          <cell r="C6">
            <v>10</v>
          </cell>
        </row>
        <row r="7">
          <cell r="A7" t="str">
            <v xml:space="preserve">COSSACK COURT </v>
          </cell>
          <cell r="C7">
            <v>10</v>
          </cell>
        </row>
        <row r="8">
          <cell r="A8" t="str">
            <v xml:space="preserve">ZAKYNTHOS EXPECTUS </v>
          </cell>
          <cell r="C8">
            <v>13</v>
          </cell>
        </row>
        <row r="9">
          <cell r="A9" t="str">
            <v xml:space="preserve">CARDINAL ANGEL </v>
          </cell>
          <cell r="C9">
            <v>12</v>
          </cell>
        </row>
        <row r="10">
          <cell r="A10" t="str">
            <v xml:space="preserve">LOUISIANNA FLYER </v>
          </cell>
          <cell r="C10">
            <v>28</v>
          </cell>
        </row>
        <row r="11">
          <cell r="A11" t="str">
            <v xml:space="preserve">MULAMAN  </v>
          </cell>
          <cell r="C11">
            <v>25</v>
          </cell>
        </row>
        <row r="12">
          <cell r="A12" t="str">
            <v xml:space="preserve">YOBURG </v>
          </cell>
          <cell r="C12">
            <v>14</v>
          </cell>
        </row>
        <row r="13">
          <cell r="A13" t="str">
            <v xml:space="preserve">CLEVERGAZE </v>
          </cell>
          <cell r="C13">
            <v>55</v>
          </cell>
        </row>
      </sheetData>
      <sheetData sheetId="118" refreshError="1">
        <row r="3">
          <cell r="A3" t="str">
            <v xml:space="preserve">TOGNI </v>
          </cell>
          <cell r="C3">
            <v>15</v>
          </cell>
        </row>
        <row r="4">
          <cell r="A4" t="str">
            <v xml:space="preserve">THEOPHORUS </v>
          </cell>
          <cell r="C4">
            <v>16</v>
          </cell>
        </row>
        <row r="5">
          <cell r="A5" t="str">
            <v xml:space="preserve">GERGIS </v>
          </cell>
          <cell r="C5">
            <v>18</v>
          </cell>
        </row>
        <row r="6">
          <cell r="A6" t="str">
            <v xml:space="preserve">HELENE BRILLIANT </v>
          </cell>
          <cell r="C6">
            <v>17</v>
          </cell>
        </row>
        <row r="7">
          <cell r="A7" t="str">
            <v xml:space="preserve">WITH A CHANCE  </v>
          </cell>
          <cell r="C7">
            <v>60</v>
          </cell>
        </row>
        <row r="8">
          <cell r="A8" t="str">
            <v xml:space="preserve">GUNNA HAPPEN </v>
          </cell>
          <cell r="C8">
            <v>41</v>
          </cell>
        </row>
        <row r="9">
          <cell r="A9" t="str">
            <v xml:space="preserve">BLACK PANTHER </v>
          </cell>
          <cell r="C9">
            <v>42</v>
          </cell>
        </row>
        <row r="10">
          <cell r="A10" t="str">
            <v xml:space="preserve">SEQUINELLA </v>
          </cell>
          <cell r="C10">
            <v>31</v>
          </cell>
        </row>
        <row r="11">
          <cell r="A11" t="str">
            <v xml:space="preserve">MOSSURMI </v>
          </cell>
          <cell r="C11">
            <v>30</v>
          </cell>
        </row>
        <row r="12">
          <cell r="A12" t="str">
            <v xml:space="preserve">DON LUIGI </v>
          </cell>
          <cell r="C12">
            <v>54</v>
          </cell>
        </row>
        <row r="13">
          <cell r="A13" t="str">
            <v xml:space="preserve">RARE POPPI </v>
          </cell>
          <cell r="C13">
            <v>47</v>
          </cell>
        </row>
      </sheetData>
      <sheetData sheetId="119" refreshError="1">
        <row r="3">
          <cell r="A3" t="str">
            <v xml:space="preserve">SWIFT ALLIANCE  </v>
          </cell>
          <cell r="C3">
            <v>3</v>
          </cell>
        </row>
        <row r="4">
          <cell r="A4" t="str">
            <v xml:space="preserve">PLATINUM SKYE </v>
          </cell>
          <cell r="C4">
            <v>5</v>
          </cell>
        </row>
        <row r="5">
          <cell r="A5" t="str">
            <v xml:space="preserve">CLOUDY MORNING </v>
          </cell>
          <cell r="C5">
            <v>5</v>
          </cell>
        </row>
        <row r="6">
          <cell r="A6" t="str">
            <v xml:space="preserve">MAGIC WEEKEND </v>
          </cell>
          <cell r="C6">
            <v>7</v>
          </cell>
        </row>
        <row r="7">
          <cell r="A7" t="str">
            <v xml:space="preserve">ONTHELOOKOUT </v>
          </cell>
          <cell r="C7">
            <v>9</v>
          </cell>
        </row>
        <row r="8">
          <cell r="A8" t="str">
            <v xml:space="preserve">MISS INDEPENDENT </v>
          </cell>
          <cell r="C8">
            <v>13</v>
          </cell>
        </row>
        <row r="9">
          <cell r="A9" t="str">
            <v xml:space="preserve">HEALY CREEK </v>
          </cell>
          <cell r="C9">
            <v>9</v>
          </cell>
        </row>
        <row r="10">
          <cell r="A10" t="str">
            <v xml:space="preserve">WITHOUTME </v>
          </cell>
          <cell r="C10">
            <v>12</v>
          </cell>
        </row>
        <row r="11">
          <cell r="A11" t="str">
            <v xml:space="preserve">ADMIRALS HONOUR </v>
          </cell>
          <cell r="C11">
            <v>16</v>
          </cell>
        </row>
      </sheetData>
      <sheetData sheetId="120" refreshError="1">
        <row r="3">
          <cell r="A3" t="str">
            <v xml:space="preserve">BEJEWELLED </v>
          </cell>
          <cell r="C3">
            <v>12</v>
          </cell>
        </row>
        <row r="4">
          <cell r="A4" t="str">
            <v xml:space="preserve">SILENT BUT DEADLY </v>
          </cell>
          <cell r="C4">
            <v>13</v>
          </cell>
        </row>
        <row r="5">
          <cell r="A5" t="str">
            <v xml:space="preserve">MARGHAM </v>
          </cell>
          <cell r="C5">
            <v>11</v>
          </cell>
        </row>
        <row r="6">
          <cell r="A6" t="str">
            <v xml:space="preserve">BELLEVENT </v>
          </cell>
          <cell r="C6">
            <v>24</v>
          </cell>
        </row>
        <row r="7">
          <cell r="A7" t="str">
            <v xml:space="preserve">MISSYALUKE </v>
          </cell>
          <cell r="C7">
            <v>16</v>
          </cell>
        </row>
        <row r="8">
          <cell r="A8" t="str">
            <v xml:space="preserve">ASSHEWAQUA </v>
          </cell>
          <cell r="C8">
            <v>21</v>
          </cell>
        </row>
        <row r="9">
          <cell r="A9" t="str">
            <v xml:space="preserve">MATCHLESS </v>
          </cell>
          <cell r="C9">
            <v>39</v>
          </cell>
        </row>
        <row r="10">
          <cell r="A10" t="str">
            <v xml:space="preserve">VERY GRAND </v>
          </cell>
          <cell r="C10">
            <v>27</v>
          </cell>
        </row>
        <row r="11">
          <cell r="A11" t="str">
            <v xml:space="preserve">GLOBAL START </v>
          </cell>
          <cell r="C11">
            <v>38</v>
          </cell>
        </row>
        <row r="12">
          <cell r="A12" t="str">
            <v xml:space="preserve">IMAGINING </v>
          </cell>
          <cell r="C12">
            <v>24</v>
          </cell>
        </row>
        <row r="13">
          <cell r="A13" t="str">
            <v xml:space="preserve">LIMANI </v>
          </cell>
          <cell r="C13">
            <v>34</v>
          </cell>
        </row>
        <row r="14">
          <cell r="A14" t="str">
            <v xml:space="preserve">BLAMELESS </v>
          </cell>
          <cell r="C14">
            <v>22</v>
          </cell>
        </row>
      </sheetData>
      <sheetData sheetId="121" refreshError="1">
        <row r="3">
          <cell r="A3" t="str">
            <v>AWIMOWEH 1</v>
          </cell>
          <cell r="C3">
            <v>8</v>
          </cell>
        </row>
        <row r="4">
          <cell r="A4" t="str">
            <v xml:space="preserve">SPIRIT OF ST LOUIS </v>
          </cell>
          <cell r="C4">
            <v>6</v>
          </cell>
        </row>
        <row r="5">
          <cell r="A5" t="str">
            <v xml:space="preserve">HOOKER ROAD </v>
          </cell>
          <cell r="C5">
            <v>52</v>
          </cell>
        </row>
        <row r="6">
          <cell r="A6" t="str">
            <v xml:space="preserve">INKSTER </v>
          </cell>
          <cell r="C6">
            <v>16</v>
          </cell>
        </row>
        <row r="7">
          <cell r="A7" t="str">
            <v xml:space="preserve">GRIZZ </v>
          </cell>
          <cell r="C7">
            <v>46</v>
          </cell>
        </row>
        <row r="8">
          <cell r="A8" t="str">
            <v xml:space="preserve">HE'S SOMETHING </v>
          </cell>
          <cell r="C8">
            <v>20</v>
          </cell>
        </row>
        <row r="9">
          <cell r="A9" t="str">
            <v xml:space="preserve">GRAND DESTINY </v>
          </cell>
          <cell r="C9">
            <v>32</v>
          </cell>
        </row>
        <row r="10">
          <cell r="A10" t="str">
            <v xml:space="preserve">TELLAN DAVE </v>
          </cell>
          <cell r="C10">
            <v>32</v>
          </cell>
        </row>
        <row r="11">
          <cell r="A11" t="str">
            <v xml:space="preserve">FIGURE OF SPEECH </v>
          </cell>
          <cell r="C11">
            <v>41</v>
          </cell>
        </row>
        <row r="12">
          <cell r="A12" t="str">
            <v xml:space="preserve">ELMORE </v>
          </cell>
          <cell r="C12">
            <v>36</v>
          </cell>
        </row>
        <row r="13">
          <cell r="A13" t="str">
            <v xml:space="preserve">SPARE A DIME </v>
          </cell>
          <cell r="C13">
            <v>28</v>
          </cell>
        </row>
        <row r="14">
          <cell r="A14" t="str">
            <v xml:space="preserve">DIAMONDSONDINSIDE </v>
          </cell>
          <cell r="C14">
            <v>52</v>
          </cell>
        </row>
        <row r="15">
          <cell r="A15" t="str">
            <v xml:space="preserve">DOOSRA DIAMOND </v>
          </cell>
          <cell r="C15">
            <v>38</v>
          </cell>
        </row>
        <row r="16">
          <cell r="A16" t="str">
            <v xml:space="preserve">SARATIME </v>
          </cell>
          <cell r="C16">
            <v>36</v>
          </cell>
        </row>
        <row r="17">
          <cell r="A17" t="str">
            <v xml:space="preserve">PRINCE VITALITY </v>
          </cell>
          <cell r="C17">
            <v>66</v>
          </cell>
        </row>
        <row r="18">
          <cell r="A18" t="str">
            <v xml:space="preserve">DOUBLE PORTION </v>
          </cell>
          <cell r="C18">
            <v>60</v>
          </cell>
        </row>
      </sheetData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Y1"/>
      <sheetName val="Dashboard"/>
      <sheetName val="Worksheet"/>
      <sheetName val="Raw Data"/>
    </sheetNames>
    <sheetDataSet>
      <sheetData sheetId="0"/>
      <sheetData sheetId="1">
        <row r="20">
          <cell r="AX20" t="str">
            <v>TOPPICKS</v>
          </cell>
        </row>
        <row r="21">
          <cell r="AX21" t="str">
            <v>ALLPICKS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4199A7-1381-454A-990B-93A8310FF7B0}" name="Table7" displayName="Table7" ref="BD6:BY30" totalsRowShown="0" headerRowDxfId="1234" dataDxfId="1233" tableBorderDxfId="1232">
  <autoFilter ref="BD6:BY30" xr:uid="{B0FB18DE-3B7B-464E-AD2E-72D16D80E301}"/>
  <tableColumns count="22">
    <tableColumn id="1" xr3:uid="{4FC61830-797D-4C52-9977-86D57F23D907}" name="Notcovered" dataDxfId="1231">
      <calculatedColumnFormula>IF($K7=1,$B7&amp;"K"&amp;K7&amp;BC7&amp;","&amp;BF7,IF($J7=1,$B7&amp;"J"&amp;J7&amp;BC7&amp;","&amp;BF7," "))</calculatedColumnFormula>
    </tableColumn>
    <tableColumn id="2" xr3:uid="{09CFC283-B4B9-463D-8482-31BA45632A4B}" name="Notcovered2" dataDxfId="1230">
      <calculatedColumnFormula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calculatedColumnFormula>
    </tableColumn>
    <tableColumn id="3" xr3:uid="{F256359C-0E4E-4BB5-A052-33E3C8CAB591}" name="Frequency" dataDxfId="1229">
      <calculatedColumnFormula>IF(K7=2,"times3",IF(AP7=4,"times4",IF(AP7=3,"times3"," ")))</calculatedColumnFormula>
    </tableColumn>
    <tableColumn id="4" xr3:uid="{2CB22728-515C-4CC9-AFC1-B4A493442913}" name="Now" dataDxfId="1228">
      <calculatedColumnFormula>IF(AND($AM$37&lt;=0.65,AP7&lt;&gt;" ",AM7&lt;&gt;" "),"now"&amp;" "&amp;B7," ")</calculatedColumnFormula>
    </tableColumn>
    <tableColumn id="5" xr3:uid="{E2DE4281-9D8C-4F3E-8BDE-EF527EE24F39}" name="Now Count" dataDxfId="1227">
      <calculatedColumnFormula>IF(BG7&lt;&gt;" ",1," ")</calculatedColumnFormula>
    </tableColumn>
    <tableColumn id="6" xr3:uid="{94EDAB36-8C33-4E29-811E-9D55FA054083}" name="K7&lt;=STDEV" dataDxfId="1226">
      <calculatedColumnFormula>IF(C7=" "," ",IF(AND(K7&lt;=$K$37,BF7="times4"),1,IF(AND(K7&gt;$K$37,BF7="times4"),2,IF(AND(K7&gt;$BH$36),3," "))))</calculatedColumnFormula>
    </tableColumn>
    <tableColumn id="7" xr3:uid="{1848C762-20F3-4738-9CE4-9AC0077D70BD}" name="J7-K7" dataDxfId="1225">
      <calculatedColumnFormula>IF(C7=" "," ",MEDIAN(I7:J7))</calculatedColumnFormula>
    </tableColumn>
    <tableColumn id="8" xr3:uid="{422A95DE-4B9D-40AB-A066-1FCA7C139825}" name="J7-K7 Count" dataDxfId="1224">
      <calculatedColumnFormula>IF(AND(C7&lt;&gt;" ",BJ7&lt;=$BJ$34,$BN$38="NARROW"),1,IF(AND(I7&lt;=$I$38,$BN$38&lt;&gt;"NARROW"),1," "))</calculatedColumnFormula>
    </tableColumn>
    <tableColumn id="9" xr3:uid="{5F9F3481-51AD-4351-A92B-8C0BC2F487CB}" name="Mean" dataDxfId="1223">
      <calculatedColumnFormula>IF(C7=" "," ",IF(AND(K7&gt;($K$36-1),K7&lt;=$K$40+1),2," "))</calculatedColumnFormula>
    </tableColumn>
    <tableColumn id="10" xr3:uid="{0EEB20E1-2D24-4159-84C6-52A1D9B34DC8}" name="Non Mean" dataDxfId="1222">
      <calculatedColumnFormula>IF(C7=" "," ",IF(AND(K7&gt;=$K$40),3," "))</calculatedColumnFormula>
    </tableColumn>
    <tableColumn id="11" xr3:uid="{CF6D0505-28E0-4BAD-B513-A7430A46DBDC}" name="Non Mean2" dataDxfId="1221">
      <calculatedColumnFormula>IF(D7=" "," ",IF(AND(K7&lt;=($K$36+1)),1,IF(AND(BQ7=1,J7&lt;=2),1," ")))</calculatedColumnFormula>
    </tableColumn>
    <tableColumn id="12" xr3:uid="{A86B5B0B-2B0C-44E4-9538-DB3AD74E72C5}" name="Jmean" dataDxfId="1220">
      <calculatedColumnFormula>IF(C7=" "," ",IF(AND(J7&gt;($J$36-1),J7&lt;=$J$40+1),2," "))</calculatedColumnFormula>
    </tableColumn>
    <tableColumn id="13" xr3:uid="{37275D0B-D1EC-4D25-9171-CFFF1035646B}" name="JNonMean" dataDxfId="1219">
      <calculatedColumnFormula>IF(C7=" "," ",IF(AND(J7&gt;=$J$40),3," "))</calculatedColumnFormula>
    </tableColumn>
    <tableColumn id="14" xr3:uid="{3ABDD992-46B5-422D-9C14-585375E880AF}" name="JNon Mean2" dataDxfId="1218">
      <calculatedColumnFormula>IF(C7=" "," ",IF(AND(J7&lt;=($J$36+1)),1," "))</calculatedColumnFormula>
    </tableColumn>
    <tableColumn id="15" xr3:uid="{72BC3E60-6894-4D5F-9BF2-28F67ED536D6}" name="NOW vs PICK1" dataDxfId="1217">
      <calculatedColumnFormula>IF($AJ$37&lt;$BW$32,"NOW","PICK1")</calculatedColumnFormula>
    </tableColumn>
    <tableColumn id="16" xr3:uid="{825B833B-99A5-4343-87D7-87546E65C7B6}" name="NOW vs PICK2" dataDxfId="1216">
      <calculatedColumnFormula>IF(Table7[[#This Row],[NOW vs PICK1]]="PICK1",Table7[[#This Row],[PICK 1]],Table7[[#This Row],[Now Count]])</calculatedColumnFormula>
    </tableColumn>
    <tableColumn id="17" xr3:uid="{61C022B7-DAAE-4A3A-9BF5-0791B214DCC3}" name="TOTE" dataDxfId="1215">
      <calculatedColumnFormula>IFERROR(VLOOKUP($B7,'Raw Data'!$A$3:$W$30,'SPORTSBET FIXED ODDS FOR PARLAY'!$I$2,FALSE)," ")</calculatedColumnFormula>
    </tableColumn>
    <tableColumn id="18" xr3:uid="{520B2049-372D-4E49-AF8B-6B0626F1ABD7}" name="$i" dataDxfId="1214">
      <calculatedColumnFormula>IF(I7&lt;=$I$40,1," ")</calculatedColumnFormula>
    </tableColumn>
    <tableColumn id="19" xr3:uid="{550DBD2C-7F0B-4EF2-8440-9E3CDD0781B0}" name="Field Percentiles" dataDxfId="1213">
      <calculatedColumnFormula>IF(C7=" "," ",K7/$C$5)</calculatedColumnFormula>
    </tableColumn>
    <tableColumn id="20" xr3:uid="{F187C508-1EC8-46E3-8180-E47DFD9CDC16}" name="PICK 1" dataDxfId="1212">
      <calculatedColumnFormula>IF(AND(BV7&lt;&gt;" ",I7&lt;=$I$38,$K$4="TT"),1,IF(AND(BH7=1,$K$4&lt;&gt;"TT"),1,IF(AND(BV7&lt;&gt;" ",BV7&gt;$BV$33,BV7&lt;$BV$34,$K$4&lt;&gt;"TT"),1,IF(AND(BV7&gt;=$BV$32,BV7&lt;=$BV$34,$BN$38&lt;&gt;"WIDE",$K$4="TT"),1," "))))</calculatedColumnFormula>
    </tableColumn>
    <tableColumn id="21" xr3:uid="{3ADAAAF7-E85B-4FF9-BF63-9B022369DA09}" name="PICK 2" dataDxfId="1211">
      <calculatedColumnFormula>IF(AND(BV7&gt;=$BV$32,BV7&lt;=$BV$34),2," ")</calculatedColumnFormula>
    </tableColumn>
    <tableColumn id="22" xr3:uid="{55F324E7-28D0-4C33-B5E2-B14325052CB9}" name="PICK 3" dataDxfId="1210">
      <calculatedColumnFormula>IF(C7=" "," ",IF(AND(BV7&gt;=$BV$34),1,IF(AND($K$4="TT",$BN$38="NARROW",Table7[[#This Row],[J7-K7 Count]]=1),1," ")))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dashboard" displayName="dashboard" ref="A2:CB26" totalsRowShown="0" headerRowDxfId="1034" headerRowCellStyle="Normal 2">
  <autoFilter ref="A2:CB26" xr:uid="{00000000-0009-0000-0100-000009000000}"/>
  <tableColumns count="80">
    <tableColumn id="1" xr3:uid="{00000000-0010-0000-0000-000001000000}" name="BOX" dataDxfId="1033" dataCellStyle="Normal 2">
      <calculatedColumnFormula>RawData[[#This Row],[Num]]</calculatedColumnFormula>
    </tableColumn>
    <tableColumn id="2" xr3:uid="{00000000-0010-0000-0000-000002000000}" name="Name" dataDxfId="1032">
      <calculatedColumnFormula>IFERROR(VLOOKUP($A3,'Raw Data'!$A$3:$EA$30,2,0)," ")</calculatedColumnFormula>
    </tableColumn>
    <tableColumn id="3" xr3:uid="{00000000-0010-0000-0000-000003000000}" name="RUNS" dataDxfId="1031" dataCellStyle="Normal 2">
      <calculatedColumnFormula>IFERROR(VLOOKUP($A3,'Raw Data'!$A$3:$EA$30,6,0)," ")</calculatedColumnFormula>
    </tableColumn>
    <tableColumn id="4" xr3:uid="{00000000-0010-0000-0000-000004000000}" name="Wins" dataDxfId="1030" dataCellStyle="Normal 2">
      <calculatedColumnFormula>IFERROR(VLOOKUP($A3,'Raw Data'!$A$3:$EA$30,7,0)," ")</calculatedColumnFormula>
    </tableColumn>
    <tableColumn id="5" xr3:uid="{00000000-0010-0000-0000-000005000000}" name="2nds" dataDxfId="1029" dataCellStyle="Normal 2">
      <calculatedColumnFormula>IFERROR(VLOOKUP($A3,'Raw Data'!$A$3:$EA$29,10,0)," ")</calculatedColumnFormula>
    </tableColumn>
    <tableColumn id="6" xr3:uid="{00000000-0010-0000-0000-000006000000}" name="COHENSION" dataDxfId="1028" dataCellStyle="Normal 2">
      <calculatedColumnFormula>IFERROR(VLOOKUP(dashboard[[#This Row],[BOX]],'Raw Data'!$A$3:$EA$32,130)," ")</calculatedColumnFormula>
    </tableColumn>
    <tableColumn id="7" xr3:uid="{00000000-0010-0000-0000-000007000000}" name="Wins Data" dataDxfId="1027" dataCellStyle="Comma">
      <calculatedColumnFormula>IF(ISERROR(D3/dashboard[[#This Row],[RUNS]])," ",(D3/dashboard[[#This Row],[RUNS]]))</calculatedColumnFormula>
    </tableColumn>
    <tableColumn id="8" xr3:uid="{00000000-0010-0000-0000-000008000000}" name="Wins %" dataDxfId="1026" dataCellStyle="Percent">
      <calculatedColumnFormula>IF(ISERROR(dashboard[[#This Row],[Wins Data]]/$G$29),0,dashboard[[#This Row],[Wins Data]]/$G$29)</calculatedColumnFormula>
    </tableColumn>
    <tableColumn id="9" xr3:uid="{00000000-0010-0000-0000-000009000000}" name="Wins2" dataDxfId="1025" dataCellStyle="Normal 2">
      <calculatedColumnFormula>IF(dashboard[[#This Row],[Column2]]=1,($I$30/J$29)," ")</calculatedColumnFormula>
    </tableColumn>
    <tableColumn id="10" xr3:uid="{00000000-0010-0000-0000-00000A000000}" name="Column2" dataDxfId="1024" dataCellStyle="Normal 2">
      <calculatedColumnFormula>IF(H3&gt;H$31,1," ")</calculatedColumnFormula>
    </tableColumn>
    <tableColumn id="11" xr3:uid="{00000000-0010-0000-0000-00000B000000}" name="2Nds Data" dataDxfId="1023" dataCellStyle="Comma">
      <calculatedColumnFormula>IF(ISERROR(E3/C3)," ",(E3/C3))</calculatedColumnFormula>
    </tableColumn>
    <tableColumn id="12" xr3:uid="{00000000-0010-0000-0000-00000C000000}" name="2Nds %" dataDxfId="1022" dataCellStyle="Percent">
      <calculatedColumnFormula>IF(ISERROR(K3/$K$29),0,(K3/$K$29))</calculatedColumnFormula>
    </tableColumn>
    <tableColumn id="13" xr3:uid="{00000000-0010-0000-0000-00000D000000}" name="2Nd" dataDxfId="1021" dataCellStyle="Normal 2">
      <calculatedColumnFormula>IF(dashboard[[#This Row],[Column1]]=1,($M$30/N$29)," ")</calculatedColumnFormula>
    </tableColumn>
    <tableColumn id="14" xr3:uid="{00000000-0010-0000-0000-00000E000000}" name="Column1" dataDxfId="1020" dataCellStyle="Normal 2">
      <calculatedColumnFormula>IF(L3&gt;L$31,1," ")</calculatedColumnFormula>
    </tableColumn>
    <tableColumn id="15" xr3:uid="{00000000-0010-0000-0000-00000F000000}" name="Cohesion Data" dataDxfId="1019" dataCellStyle="Comma">
      <calculatedColumnFormula>IFERROR((F3)^2," ")</calculatedColumnFormula>
    </tableColumn>
    <tableColumn id="16" xr3:uid="{00000000-0010-0000-0000-000010000000}" name="Cohesion %" dataDxfId="1018" dataCellStyle="Percent">
      <calculatedColumnFormula>IF(ISERROR(O3/$O$29),0,(O3/$O$29))</calculatedColumnFormula>
    </tableColumn>
    <tableColumn id="17" xr3:uid="{00000000-0010-0000-0000-000011000000}" name="Cohesion" dataDxfId="1017" dataCellStyle="Normal 2">
      <calculatedColumnFormula>IF(dashboard[[#This Row],[Column3]]=1,($Q$30/$R$29)," ")</calculatedColumnFormula>
    </tableColumn>
    <tableColumn id="18" xr3:uid="{00000000-0010-0000-0000-000012000000}" name="Column3" dataDxfId="1016" dataCellStyle="Normal 2">
      <calculatedColumnFormula>IF(P3&gt;P$31,1," ")</calculatedColumnFormula>
    </tableColumn>
    <tableColumn id="19" xr3:uid="{00000000-0010-0000-0000-000013000000}" name="Last Start Margin Data" dataDxfId="1015" dataCellStyle="Comma">
      <calculatedColumnFormula>IF(ISERROR(VLOOKUP($A3,'Raw Data'!$A$3:$EA$30,121,0))," ",VLOOKUP($A3,'Raw Data'!$A$3:$EA$30,121,0))</calculatedColumnFormula>
    </tableColumn>
    <tableColumn id="20" xr3:uid="{00000000-0010-0000-0000-000014000000}" name="Last Start Margin  %" dataDxfId="1014" dataCellStyle="Percent">
      <calculatedColumnFormula>IF(ISERROR(S3/$S$29),0,(S3/$S$29))</calculatedColumnFormula>
    </tableColumn>
    <tableColumn id="21" xr3:uid="{00000000-0010-0000-0000-000015000000}" name="Last Start Margin" dataDxfId="1013" dataCellStyle="Normal 2">
      <calculatedColumnFormula>IF(V3=1,($U$30/$V$29)," ")</calculatedColumnFormula>
    </tableColumn>
    <tableColumn id="22" xr3:uid="{00000000-0010-0000-0000-000016000000}" name="Column4" dataDxfId="1012" dataCellStyle="Normal 2">
      <calculatedColumnFormula>IF(T3&lt;=$T$31,1," ")</calculatedColumnFormula>
    </tableColumn>
    <tableColumn id="23" xr3:uid="{00000000-0010-0000-0000-000017000000}" name="Last Start Distance Change Data" dataDxfId="1011" dataCellStyle="Comma">
      <calculatedColumnFormula>IFERROR(VLOOKUP($A3,'Raw Data'!$A$3:$EA$30,123,0)^2," ")</calculatedColumnFormula>
    </tableColumn>
    <tableColumn id="24" xr3:uid="{00000000-0010-0000-0000-000018000000}" name="Last Start Distance Change%" dataDxfId="1010" dataCellStyle="Percent">
      <calculatedColumnFormula>IF(ISERROR(W3/$W$29),0,(W3/$W$29))</calculatedColumnFormula>
    </tableColumn>
    <tableColumn id="25" xr3:uid="{00000000-0010-0000-0000-000019000000}" name="Last Start Distance Change" dataDxfId="1009" dataCellStyle="Normal 2">
      <calculatedColumnFormula>IF(Z3=1,($Y$30/$Z$29)," ")</calculatedColumnFormula>
    </tableColumn>
    <tableColumn id="26" xr3:uid="{00000000-0010-0000-0000-00001A000000}" name="Column5" dataDxfId="1008" dataCellStyle="Normal 2">
      <calculatedColumnFormula>IF(X3&lt;=$X$31,1," ")</calculatedColumnFormula>
    </tableColumn>
    <tableColumn id="27" xr3:uid="{00000000-0010-0000-0000-00001B000000}" name="This Distance Strike Rate Data" dataDxfId="1007" dataCellStyle="Comma">
      <calculatedColumnFormula>IF(ISERROR(VLOOKUP($A3,'Raw Data'!$A$3:$EA$30,36,0))," ",VLOOKUP($A3,'Raw Data'!$A$3:$EA$30,36,0))</calculatedColumnFormula>
    </tableColumn>
    <tableColumn id="28" xr3:uid="{00000000-0010-0000-0000-00001C000000}" name="Distance Strike Rate %" dataDxfId="1006" dataCellStyle="Percent">
      <calculatedColumnFormula>IF(ISERROR(AA3/$AA$29),0,(AA3/$AA$29))</calculatedColumnFormula>
    </tableColumn>
    <tableColumn id="29" xr3:uid="{00000000-0010-0000-0000-00001D000000}" name="Distance" dataDxfId="1005" dataCellStyle="Normal 2">
      <calculatedColumnFormula>IF(dashboard[[#This Row],[Column6]]=1,($AC$30/$AD$29)," ")</calculatedColumnFormula>
    </tableColumn>
    <tableColumn id="30" xr3:uid="{00000000-0010-0000-0000-00001E000000}" name="Column6" dataDxfId="1004" dataCellStyle="Normal 2">
      <calculatedColumnFormula>IF(AB3&gt;AB$31,1," ")</calculatedColumnFormula>
    </tableColumn>
    <tableColumn id="31" xr3:uid="{00000000-0010-0000-0000-00001F000000}" name="100 / Tote Data" dataDxfId="1003" dataCellStyle="Comma">
      <calculatedColumnFormula>IF(ISERROR((100/(VLOOKUP($A3,'Raw Data'!$A$3:$X$32,'A1. PICKS'!$I$2,0))))," ",100/(VLOOKUP($A3,'Raw Data'!$A$3:$X$32,'A1. PICKS'!$I$2,0)))</calculatedColumnFormula>
    </tableColumn>
    <tableColumn id="32" xr3:uid="{00000000-0010-0000-0000-000020000000}" name="100/ Tote %" dataDxfId="1002" dataCellStyle="Percent">
      <calculatedColumnFormula>IF(ISERROR(AE3/$AE$29),0,(AE3/$AE$29))</calculatedColumnFormula>
    </tableColumn>
    <tableColumn id="33" xr3:uid="{00000000-0010-0000-0000-000021000000}" name="Tote" dataDxfId="1001" dataCellStyle="Normal 2">
      <calculatedColumnFormula>IF(dashboard[[#This Row],[Column7]]=1,($AG$30/$AH$29)," ")</calculatedColumnFormula>
    </tableColumn>
    <tableColumn id="34" xr3:uid="{00000000-0010-0000-0000-000022000000}" name="Column7" dataDxfId="1000" dataCellStyle="Normal 2">
      <calculatedColumnFormula>IF(AF3&gt;AF$31,1," ")</calculatedColumnFormula>
    </tableColumn>
    <tableColumn id="35" xr3:uid="{00000000-0010-0000-0000-000023000000}" name="Last Start Finish Position Data" dataDxfId="999" dataCellStyle="Comma">
      <calculatedColumnFormula>IFERROR(VLOOKUP($A3,'Raw Data'!$A$3:$EA$29,120,0)," ")</calculatedColumnFormula>
    </tableColumn>
    <tableColumn id="36" xr3:uid="{00000000-0010-0000-0000-000024000000}" name="Last Start Finish Position%" dataDxfId="998" dataCellStyle="Percent">
      <calculatedColumnFormula>IF(ISERROR(AI3/$AI$29),0,(AI3/$AI$29))</calculatedColumnFormula>
    </tableColumn>
    <tableColumn id="37" xr3:uid="{00000000-0010-0000-0000-000025000000}" name="Last Start Finish Position" dataDxfId="997" dataCellStyle="Normal 2">
      <calculatedColumnFormula>IF(dashboard[[#This Row],[Column8]]=1,($AK$30/$AL$29)," ")</calculatedColumnFormula>
    </tableColumn>
    <tableColumn id="38" xr3:uid="{00000000-0010-0000-0000-000026000000}" name="Column8" dataDxfId="996" dataCellStyle="Normal 2">
      <calculatedColumnFormula>IF(AJ3&lt;=AJ$31,1," ")</calculatedColumnFormula>
    </tableColumn>
    <tableColumn id="39" xr3:uid="{00000000-0010-0000-0000-000027000000}" name="This Track Roi Data" dataDxfId="995" dataCellStyle="Comma">
      <calculatedColumnFormula>IF(ISERROR(VLOOKUP($A3,'Raw Data'!$A$3:$EA$30,31,0))," ",VLOOKUP($A3,'Raw Data'!$A$3:$EA$30,31,0))</calculatedColumnFormula>
    </tableColumn>
    <tableColumn id="40" xr3:uid="{00000000-0010-0000-0000-000028000000}" name="This Track Roi %" dataDxfId="994" dataCellStyle="Percent">
      <calculatedColumnFormula>IF(ISERROR(AM3/$AM$29),0,(AM3/$AM$29))</calculatedColumnFormula>
    </tableColumn>
    <tableColumn id="41" xr3:uid="{00000000-0010-0000-0000-000029000000}" name="This Track Roi" dataDxfId="993" dataCellStyle="Normal 2">
      <calculatedColumnFormula>IF(dashboard[[#This Row],[Column9]]=1,($AO$30/$AP$29)," ")</calculatedColumnFormula>
    </tableColumn>
    <tableColumn id="42" xr3:uid="{00000000-0010-0000-0000-00002A000000}" name="Column9" dataDxfId="992" dataCellStyle="Normal 2">
      <calculatedColumnFormula>IF(AN3&gt;AN$31,1," ")</calculatedColumnFormula>
    </tableColumn>
    <tableColumn id="43" xr3:uid="{00000000-0010-0000-0000-00002B000000}" name="This Distance Place Strike Rate Data" dataDxfId="991" dataCellStyle="Comma">
      <calculatedColumnFormula>IF(ISERROR(VLOOKUP($A3,'Raw Data'!$A$3:$EA$30,39,0))," ",VLOOKUP($A3,'Raw Data'!$A$3:$EA$30,39,0))</calculatedColumnFormula>
    </tableColumn>
    <tableColumn id="44" xr3:uid="{00000000-0010-0000-0000-00002C000000}" name="Distance Place Strike Rate%" dataDxfId="990" dataCellStyle="Percent">
      <calculatedColumnFormula>IF(ISERROR(AQ3/$AQ$29),0,(AQ3/$AQ$29))</calculatedColumnFormula>
    </tableColumn>
    <tableColumn id="45" xr3:uid="{00000000-0010-0000-0000-00002D000000}" name="This Distance Place Strike Rate" dataDxfId="989" dataCellStyle="Normal 2">
      <calculatedColumnFormula>IF(dashboard[[#This Row],[Column10]]=1,($AS$30/$AT$29)," ")</calculatedColumnFormula>
    </tableColumn>
    <tableColumn id="46" xr3:uid="{00000000-0010-0000-0000-00002E000000}" name="Column10" dataDxfId="988" dataCellStyle="Normal 2">
      <calculatedColumnFormula>IF(AR3&gt;AR$31,1," ")</calculatedColumnFormula>
    </tableColumn>
    <tableColumn id="47" xr3:uid="{00000000-0010-0000-0000-00002F000000}" name="Prize Money Data" dataDxfId="987" dataCellStyle="Comma">
      <calculatedColumnFormula>IFERROR(VLOOKUP($A3,'Raw Data'!$A$3:$EA$30,20,0)," ")</calculatedColumnFormula>
    </tableColumn>
    <tableColumn id="48" xr3:uid="{00000000-0010-0000-0000-000030000000}" name="Prize Money %" dataDxfId="986" dataCellStyle="Percent">
      <calculatedColumnFormula>IF(ISERROR(AU3/$AU$29),0,(AU3/$AU$29))</calculatedColumnFormula>
    </tableColumn>
    <tableColumn id="49" xr3:uid="{00000000-0010-0000-0000-000031000000}" name="Money" dataDxfId="985" dataCellStyle="Normal 2">
      <calculatedColumnFormula>IF(dashboard[[#This Row],[Column11]]=1,($AW$30/$AX$29)," ")</calculatedColumnFormula>
    </tableColumn>
    <tableColumn id="50" xr3:uid="{00000000-0010-0000-0000-000032000000}" name="Column11" dataDxfId="984" dataCellStyle="Normal 2">
      <calculatedColumnFormula>IF(AV3&gt;AV$31,1," ")</calculatedColumnFormula>
    </tableColumn>
    <tableColumn id="51" xr3:uid="{00000000-0010-0000-0000-000033000000}" name="Jockey This Season Strike Rate Data" dataDxfId="983" dataCellStyle="Comma">
      <calculatedColumnFormula>IF(ISERROR(VLOOKUP($A3,'Raw Data'!$A$3:$EA$30,75,0))," ",VLOOKUP($A3,'Raw Data'!$A$3:$EA$30,75,0))</calculatedColumnFormula>
    </tableColumn>
    <tableColumn id="52" xr3:uid="{00000000-0010-0000-0000-000034000000}" name="Jockey This Season Strike Rate%" dataDxfId="982" dataCellStyle="Percent">
      <calculatedColumnFormula>IF(ISERROR(AY3/$AY$29),0,(AY3/$AY$29))</calculatedColumnFormula>
    </tableColumn>
    <tableColumn id="53" xr3:uid="{00000000-0010-0000-0000-000035000000}" name="Jockey This Season Strike Rate" dataDxfId="981" dataCellStyle="Normal 2">
      <calculatedColumnFormula>IF(BB3=1,($BA$30/$BB$29)," ")</calculatedColumnFormula>
    </tableColumn>
    <tableColumn id="54" xr3:uid="{00000000-0010-0000-0000-000036000000}" name="Column12" dataDxfId="980" dataCellStyle="Normal 2">
      <calculatedColumnFormula>IF(AZ3&gt;$AZ$31,1," ")</calculatedColumnFormula>
    </tableColumn>
    <tableColumn id="55" xr3:uid="{00000000-0010-0000-0000-000037000000}" name="Trainer This Season Strike Rate Data" dataDxfId="979" dataCellStyle="Comma">
      <calculatedColumnFormula>IF(ISERROR(VLOOKUP($A3,'Raw Data'!$A$3:$EA$30,108,0))," ",VLOOKUP($A3,'Raw Data'!$A$3:$EA$30,108,0))</calculatedColumnFormula>
    </tableColumn>
    <tableColumn id="56" xr3:uid="{00000000-0010-0000-0000-000038000000}" name="Trainer This Season Strike Rate%" dataDxfId="978" dataCellStyle="Percent">
      <calculatedColumnFormula>IF(ISERROR(BC3/$BC$29),0,(BC3/$BC$29))</calculatedColumnFormula>
    </tableColumn>
    <tableColumn id="57" xr3:uid="{00000000-0010-0000-0000-000039000000}" name="Trainer This Season Strike Rate" dataDxfId="977" dataCellStyle="Normal 2">
      <calculatedColumnFormula>IF(BF3=1,($BE$30/$BF$29)," ")</calculatedColumnFormula>
    </tableColumn>
    <tableColumn id="58" xr3:uid="{00000000-0010-0000-0000-00003A000000}" name="Column13" dataDxfId="976" dataCellStyle="Normal 2">
      <calculatedColumnFormula>IF(BD3&gt;$BD$31,1," ")</calculatedColumnFormula>
    </tableColumn>
    <tableColumn id="59" xr3:uid="{00000000-0010-0000-0000-00003B000000}" name="This Condition Strike Rate Data" dataDxfId="975" dataCellStyle="Comma">
      <calculatedColumnFormula>IF(ISERROR(VLOOKUP($A3,'Raw Data'!$A$3:$EA$30,48,0))," ",VLOOKUP($A3,'Raw Data'!$A$3:$EA$30,48,0))</calculatedColumnFormula>
    </tableColumn>
    <tableColumn id="60" xr3:uid="{00000000-0010-0000-0000-00003C000000}" name="This Condition Strike Rate Data%" dataDxfId="974" dataCellStyle="Percent">
      <calculatedColumnFormula>IF(ISERROR(BG3/$BG$29),0,(BG3/$BG$29))</calculatedColumnFormula>
    </tableColumn>
    <tableColumn id="61" xr3:uid="{00000000-0010-0000-0000-00003D000000}" name="This Condition Strike Rate" dataDxfId="973" dataCellStyle="Normal 2">
      <calculatedColumnFormula>IF(BJ3=1,($BI$30/$BJ$29)," ")</calculatedColumnFormula>
    </tableColumn>
    <tableColumn id="62" xr3:uid="{00000000-0010-0000-0000-00003E000000}" name="Column14" dataDxfId="972" dataCellStyle="Normal 2">
      <calculatedColumnFormula>IF(BH3&gt;$BH$31,1," ")</calculatedColumnFormula>
    </tableColumn>
    <tableColumn id="63" xr3:uid="{00000000-0010-0000-0000-00003F000000}" name="This Track Place Strike Rate Data" dataDxfId="971" dataCellStyle="Comma">
      <calculatedColumnFormula>IF(ISERROR(VLOOKUP($A3,'Raw Data'!$A$3:$EA$30,39,0))," ",VLOOKUP($A3,'Raw Data'!$A$3:$EA$30,39,0))</calculatedColumnFormula>
    </tableColumn>
    <tableColumn id="64" xr3:uid="{00000000-0010-0000-0000-000040000000}" name="Track Place Strike Rate%" dataDxfId="970" dataCellStyle="Percent">
      <calculatedColumnFormula>IF(ISERROR(BK3/$BK$29),0,(BK3/$BK$29))</calculatedColumnFormula>
    </tableColumn>
    <tableColumn id="65" xr3:uid="{00000000-0010-0000-0000-000041000000}" name="This Track Place Strike Rate" dataDxfId="969" dataCellStyle="Normal 2">
      <calculatedColumnFormula>IF(BL3&gt;$BL$31,($BM$30/$BN$29)," ")</calculatedColumnFormula>
    </tableColumn>
    <tableColumn id="66" xr3:uid="{00000000-0010-0000-0000-000042000000}" name="Column15" dataDxfId="968" dataCellStyle="Normal 2">
      <calculatedColumnFormula>IF(BL3&gt;BL$31,1," ")</calculatedColumnFormula>
    </tableColumn>
    <tableColumn id="67" xr3:uid="{00000000-0010-0000-0000-000043000000}" name="Column18" dataDxfId="967"/>
    <tableColumn id="68" xr3:uid="{00000000-0010-0000-0000-000044000000}" name="SUM OF PARTS" dataDxfId="966" dataCellStyle="Normal 2">
      <calculatedColumnFormula>IFERROR(SUM(BE3,BA3,I3,M3,Q3,U3,Y3,AC3,AG3,AK3,AO3,AS3,AW3,BI3,BM3)," ")</calculatedColumnFormula>
    </tableColumn>
    <tableColumn id="69" xr3:uid="{00000000-0010-0000-0000-000045000000}" name="Column19" dataDxfId="965"/>
    <tableColumn id="70" xr3:uid="{00000000-0010-0000-0000-000046000000}" name="Sum of Parts %" dataDxfId="964" dataCellStyle="Percent">
      <calculatedColumnFormula>IFERROR((BP3/$BP$29)," ")</calculatedColumnFormula>
    </tableColumn>
    <tableColumn id="71" xr3:uid="{00000000-0010-0000-0000-000047000000}" name="STANDARD" dataDxfId="963" dataCellStyle="Comma">
      <calculatedColumnFormula>IFERROR(STANDARDIZE(BR3,$BW$32,$BW$34)," ")</calculatedColumnFormula>
    </tableColumn>
    <tableColumn id="72" xr3:uid="{00000000-0010-0000-0000-000048000000}" name="NORMAL" dataDxfId="962" dataCellStyle="Comma">
      <calculatedColumnFormula>IFERROR(NORMDIST(BS3,$BW$32,$BW$34,FALSE)," ")</calculatedColumnFormula>
    </tableColumn>
    <tableColumn id="73" xr3:uid="{00000000-0010-0000-0000-000049000000}" name="RANK" dataDxfId="961" dataCellStyle="Normal 2">
      <calculatedColumnFormula>IF(CI3&lt;=8,REPT("|",CI3/MAX(CI$3:CI$26)*75)," ")</calculatedColumnFormula>
    </tableColumn>
    <tableColumn id="74" xr3:uid="{00000000-0010-0000-0000-00004A000000}" name="Kurt ^2 COVER" dataDxfId="960" dataCellStyle="Comma">
      <calculatedColumnFormula>IF(CX3&lt;=CW$29,REPT("|",CX3/MAX($CX$3:$CX$26)*75)," ")</calculatedColumnFormula>
    </tableColumn>
    <tableColumn id="75" xr3:uid="{00000000-0010-0000-0000-00004B000000}" name="Skew ^2 COVER" dataDxfId="959" dataCellStyle="Comma">
      <calculatedColumnFormula>IF(CY3&lt;=CW$29,REPT("|",CY3/MAX(CY$3:CY$26)*75)," ")</calculatedColumnFormula>
    </tableColumn>
    <tableColumn id="76" xr3:uid="{00000000-0010-0000-0000-00004C000000}" name="COSHAPE RANK COVER" dataDxfId="958" dataCellStyle="Comma">
      <calculatedColumnFormula>IF(CF3&lt;=8,REPT("|",CF3/MAX(CF$3:CF$26)*75)," ")</calculatedColumnFormula>
    </tableColumn>
    <tableColumn id="77" xr3:uid="{00000000-0010-0000-0000-00004D000000}" name="CLUSTER RANK COVER" dataDxfId="957" dataCellStyle="Normal 2">
      <calculatedColumnFormula>IF(CZ3&lt;=8,REPT("|",CZ3/MAX(CZ$3:CZ$26)*75)," ")</calculatedColumnFormula>
    </tableColumn>
    <tableColumn id="78" xr3:uid="{00000000-0010-0000-0000-00004E000000}" name="NORM DIST COVER" dataDxfId="956" dataCellStyle="Normal 2">
      <calculatedColumnFormula>IF(CG3&lt;=8,REPT("|",CG3/MAX(CG$3:CG$26)*75)," ")</calculatedColumnFormula>
    </tableColumn>
    <tableColumn id="80" xr3:uid="{00000000-0010-0000-0000-000050000000}" name="PROPOSED" dataDxfId="955" dataCellStyle="Comma">
      <calculatedColumnFormula>IF(DG3&lt;=8,REPT("|",DG3/MAX(DG$3:DG$26)*75)," ")</calculatedColumnFormula>
    </tableColumn>
    <tableColumn id="79" xr3:uid="{00000000-0010-0000-0000-00004F000000}" name="RESULTS" dataDxfId="954">
      <calculatedColumnFormula>IF(DA3&lt;8,REPT("|",DA3/MAX(DA$3:DA$26)*75)," 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RawData" displayName="RawData" ref="A2:EA33" totalsRowShown="0" headerRowDxfId="953" dataDxfId="951" headerRowBorderDxfId="952" tableBorderDxfId="950" totalsRowBorderDxfId="949">
  <autoFilter ref="A2:EA33" xr:uid="{00000000-0009-0000-0100-000008000000}"/>
  <tableColumns count="131">
    <tableColumn id="1" xr3:uid="{00000000-0010-0000-0100-000001000000}" name="Num" dataDxfId="948"/>
    <tableColumn id="2" xr3:uid="{00000000-0010-0000-0100-000002000000}" name="Horse Name" dataDxfId="947"/>
    <tableColumn id="3" xr3:uid="{00000000-0010-0000-0100-000003000000}" name="Age" dataDxfId="946"/>
    <tableColumn id="128" xr3:uid="{00000000-0010-0000-0100-000080000000}" name="Gender" dataDxfId="945"/>
    <tableColumn id="4" xr3:uid="{00000000-0010-0000-0100-000004000000}" name="Handicap Rating" dataDxfId="944"/>
    <tableColumn id="5" xr3:uid="{00000000-0010-0000-0100-000005000000}" name="Career Runs" dataDxfId="943"/>
    <tableColumn id="6" xr3:uid="{00000000-0010-0000-0100-000006000000}" name="Career Wins" dataDxfId="942"/>
    <tableColumn id="7" xr3:uid="{00000000-0010-0000-0100-000007000000}" name="Career Strike Rate" dataDxfId="941"/>
    <tableColumn id="8" xr3:uid="{00000000-0010-0000-0100-000008000000}" name="Career ROI" dataDxfId="940"/>
    <tableColumn id="9" xr3:uid="{00000000-0010-0000-0100-000009000000}" name="Career Placings" dataDxfId="939"/>
    <tableColumn id="10" xr3:uid="{00000000-0010-0000-0100-00000A000000}" name="Career Place Strike Rate" dataDxfId="938"/>
    <tableColumn id="11" xr3:uid="{00000000-0010-0000-0100-00000B000000}" name="Dry Track Runs" dataDxfId="937"/>
    <tableColumn id="12" xr3:uid="{00000000-0010-0000-0100-00000C000000}" name="Dry Track Wins" dataDxfId="936"/>
    <tableColumn id="13" xr3:uid="{00000000-0010-0000-0100-00000D000000}" name="Dry Track Strike Rate" dataDxfId="935"/>
    <tableColumn id="14" xr3:uid="{00000000-0010-0000-0100-00000E000000}" name="Dry Track ROI" dataDxfId="934"/>
    <tableColumn id="15" xr3:uid="{00000000-0010-0000-0100-00000F000000}" name="Wet Track Runs" dataDxfId="933"/>
    <tableColumn id="16" xr3:uid="{00000000-0010-0000-0100-000010000000}" name="Wet Track Wins" dataDxfId="932"/>
    <tableColumn id="17" xr3:uid="{00000000-0010-0000-0100-000011000000}" name="Wet Track Strike Rate" dataDxfId="931"/>
    <tableColumn id="18" xr3:uid="{00000000-0010-0000-0100-000012000000}" name="Wet Track ROI" dataDxfId="930"/>
    <tableColumn id="19" xr3:uid="{00000000-0010-0000-0100-000013000000}" name="Average Prize Money" dataDxfId="929"/>
    <tableColumn id="20" xr3:uid="{00000000-0010-0000-0100-000014000000}" name="Career Prize Money" dataDxfId="928"/>
    <tableColumn id="21" xr3:uid="{00000000-0010-0000-0100-000015000000}" name="Best Fixed Odds" dataDxfId="927"/>
    <tableColumn id="22" xr3:uid="{00000000-0010-0000-0100-000016000000}" name="BetEasy Odds" dataDxfId="926"/>
    <tableColumn id="23" xr3:uid="{00000000-0010-0000-0100-000017000000}" name="Weight" dataDxfId="925"/>
    <tableColumn id="24" xr3:uid="{00000000-0010-0000-0100-000018000000}" name="Weight Carried" dataDxfId="924"/>
    <tableColumn id="25" xr3:uid="{00000000-0010-0000-0100-000019000000}" name="Barrier" dataDxfId="923"/>
    <tableColumn id="26" xr3:uid="{00000000-0010-0000-0100-00001A000000}" name="Prize Money" dataDxfId="922"/>
    <tableColumn id="27" xr3:uid="{00000000-0010-0000-0100-00001B000000}" name="This Track Runs" dataDxfId="921"/>
    <tableColumn id="28" xr3:uid="{00000000-0010-0000-0100-00001C000000}" name="This Track Wins" dataDxfId="920"/>
    <tableColumn id="29" xr3:uid="{00000000-0010-0000-0100-00001D000000}" name="This Track Strike Rate" dataDxfId="919"/>
    <tableColumn id="30" xr3:uid="{00000000-0010-0000-0100-00001E000000}" name="This Track ROI" dataDxfId="918"/>
    <tableColumn id="31" xr3:uid="{00000000-0010-0000-0100-00001F000000}" name="This Track Places" dataDxfId="917"/>
    <tableColumn id="32" xr3:uid="{00000000-0010-0000-0100-000020000000}" name="This Track Place Strike Rate" dataDxfId="916"/>
    <tableColumn id="33" xr3:uid="{00000000-0010-0000-0100-000021000000}" name="This Distance Runs" dataDxfId="915"/>
    <tableColumn id="34" xr3:uid="{00000000-0010-0000-0100-000022000000}" name="This Distance Wins" dataDxfId="914"/>
    <tableColumn id="35" xr3:uid="{00000000-0010-0000-0100-000023000000}" name="This Distance Strike Rate" dataDxfId="913"/>
    <tableColumn id="36" xr3:uid="{00000000-0010-0000-0100-000024000000}" name="This Distance ROI" dataDxfId="912"/>
    <tableColumn id="37" xr3:uid="{00000000-0010-0000-0100-000025000000}" name="This Distance Places" dataDxfId="911"/>
    <tableColumn id="38" xr3:uid="{00000000-0010-0000-0100-000026000000}" name="This Distance Place Strike Rate" dataDxfId="910"/>
    <tableColumn id="39" xr3:uid="{00000000-0010-0000-0100-000027000000}" name="This Track Distance Runs" dataDxfId="909"/>
    <tableColumn id="40" xr3:uid="{00000000-0010-0000-0100-000028000000}" name="This Track Distance Wins" dataDxfId="908"/>
    <tableColumn id="41" xr3:uid="{00000000-0010-0000-0100-000029000000}" name="This Track Distance Strike Rate" dataDxfId="907"/>
    <tableColumn id="42" xr3:uid="{00000000-0010-0000-0100-00002A000000}" name="This Track Distance ROI" dataDxfId="906"/>
    <tableColumn id="43" xr3:uid="{00000000-0010-0000-0100-00002B000000}" name="This Track Distance Places" dataDxfId="905"/>
    <tableColumn id="44" xr3:uid="{00000000-0010-0000-0100-00002C000000}" name="This Track Distance Place Strike Rate" dataDxfId="904"/>
    <tableColumn id="45" xr3:uid="{00000000-0010-0000-0100-00002D000000}" name="This Condition Runs" dataDxfId="903"/>
    <tableColumn id="46" xr3:uid="{00000000-0010-0000-0100-00002E000000}" name="This Condition Wins" dataDxfId="902"/>
    <tableColumn id="47" xr3:uid="{00000000-0010-0000-0100-00002F000000}" name="This Condition Strike Rate" dataDxfId="901"/>
    <tableColumn id="48" xr3:uid="{00000000-0010-0000-0100-000030000000}" name="This Condition ROI" dataDxfId="900"/>
    <tableColumn id="49" xr3:uid="{00000000-0010-0000-0100-000031000000}" name="This Condition Places" dataDxfId="899"/>
    <tableColumn id="50" xr3:uid="{00000000-0010-0000-0100-000032000000}" name="This Condition Place Strike Rate" dataDxfId="898"/>
    <tableColumn id="51" xr3:uid="{00000000-0010-0000-0100-000033000000}" name="Jockey" dataDxfId="897"/>
    <tableColumn id="52" xr3:uid="{00000000-0010-0000-0100-000034000000}" name="Apprentice" dataDxfId="896"/>
    <tableColumn id="53" xr3:uid="{00000000-0010-0000-0100-000035000000}" name="Jockey Weight Claim" dataDxfId="895"/>
    <tableColumn id="54" xr3:uid="{00000000-0010-0000-0100-000036000000}" name="Jockey Last 100 Horse Earnings" dataDxfId="894"/>
    <tableColumn id="55" xr3:uid="{00000000-0010-0000-0100-000037000000}" name="Jockey Last 100 Avg Horse Earnings" dataDxfId="893"/>
    <tableColumn id="56" xr3:uid="{00000000-0010-0000-0100-000038000000}" name="Jockey Last 100 Starts" dataDxfId="892"/>
    <tableColumn id="57" xr3:uid="{00000000-0010-0000-0100-000039000000}" name="Jockey Last 100 Wins" dataDxfId="891"/>
    <tableColumn id="58" xr3:uid="{00000000-0010-0000-0100-00003A000000}" name="Jockey Last 100 Strike Rate" dataDxfId="890"/>
    <tableColumn id="59" xr3:uid="{00000000-0010-0000-0100-00003B000000}" name="Jockey Last 100 ROI" dataDxfId="889"/>
    <tableColumn id="60" xr3:uid="{00000000-0010-0000-0100-00003C000000}" name="Jockey Last 100 Places" dataDxfId="888"/>
    <tableColumn id="61" xr3:uid="{00000000-0010-0000-0100-00003D000000}" name="Jockey Last 100 Place Strike Rate" dataDxfId="887"/>
    <tableColumn id="62" xr3:uid="{00000000-0010-0000-0100-00003E000000}" name="Jockey 12 Month Horse Earnings" dataDxfId="886"/>
    <tableColumn id="63" xr3:uid="{00000000-0010-0000-0100-00003F000000}" name="Jockey 12 Month Avg Horse Earnings" dataDxfId="885"/>
    <tableColumn id="64" xr3:uid="{00000000-0010-0000-0100-000040000000}" name="Jockey 12 Months Starts" dataDxfId="884"/>
    <tableColumn id="65" xr3:uid="{00000000-0010-0000-0100-000041000000}" name="Jockey 12 Months Wins" dataDxfId="883"/>
    <tableColumn id="66" xr3:uid="{00000000-0010-0000-0100-000042000000}" name="Jockey 12 Months Strike Rate" dataDxfId="882"/>
    <tableColumn id="67" xr3:uid="{00000000-0010-0000-0100-000043000000}" name="Jockey 12 Months ROI" dataDxfId="881"/>
    <tableColumn id="68" xr3:uid="{00000000-0010-0000-0100-000044000000}" name="Jockey 12 Months Places" dataDxfId="880"/>
    <tableColumn id="69" xr3:uid="{00000000-0010-0000-0100-000045000000}" name="Jockey 12 Months Place Strike Rate" dataDxfId="879"/>
    <tableColumn id="70" xr3:uid="{00000000-0010-0000-0100-000046000000}" name="Jockey This Season Horse Earnings" dataDxfId="878"/>
    <tableColumn id="71" xr3:uid="{00000000-0010-0000-0100-000047000000}" name="Jockey This Season Avg Horse Earnings" dataDxfId="877"/>
    <tableColumn id="72" xr3:uid="{00000000-0010-0000-0100-000048000000}" name="Jockey This Season Starts" dataDxfId="876"/>
    <tableColumn id="73" xr3:uid="{00000000-0010-0000-0100-000049000000}" name="Jockey This Season Wins" dataDxfId="875"/>
    <tableColumn id="74" xr3:uid="{00000000-0010-0000-0100-00004A000000}" name="Jockey This Season Strike Rate" dataDxfId="874"/>
    <tableColumn id="75" xr3:uid="{00000000-0010-0000-0100-00004B000000}" name="Jockey This Season ROI" dataDxfId="873"/>
    <tableColumn id="76" xr3:uid="{00000000-0010-0000-0100-00004C000000}" name="Jockey This Season Places" dataDxfId="872"/>
    <tableColumn id="77" xr3:uid="{00000000-0010-0000-0100-00004D000000}" name="Jockey This Season Place Strike Rate" dataDxfId="871"/>
    <tableColumn id="78" xr3:uid="{00000000-0010-0000-0100-00004E000000}" name="Jockey Last Season Horse Earnings" dataDxfId="870"/>
    <tableColumn id="79" xr3:uid="{00000000-0010-0000-0100-00004F000000}" name="Jockey Last Season Avg Horse Earnings" dataDxfId="869"/>
    <tableColumn id="80" xr3:uid="{00000000-0010-0000-0100-000050000000}" name="Jockey Last Season Starts" dataDxfId="868"/>
    <tableColumn id="81" xr3:uid="{00000000-0010-0000-0100-000051000000}" name="Jockey Last Season Wins" dataDxfId="867"/>
    <tableColumn id="82" xr3:uid="{00000000-0010-0000-0100-000052000000}" name="Jockey Last Season Strike Rate" dataDxfId="866"/>
    <tableColumn id="83" xr3:uid="{00000000-0010-0000-0100-000053000000}" name="Jockey Last Season ROI" dataDxfId="865"/>
    <tableColumn id="84" xr3:uid="{00000000-0010-0000-0100-000054000000}" name="Jockey Last Season Places" dataDxfId="864"/>
    <tableColumn id="85" xr3:uid="{00000000-0010-0000-0100-000055000000}" name="Jockey Last Season Place Strike Rate" dataDxfId="863"/>
    <tableColumn id="86" xr3:uid="{00000000-0010-0000-0100-000056000000}" name="Trainer" dataDxfId="862"/>
    <tableColumn id="87" xr3:uid="{00000000-0010-0000-0100-000057000000}" name="Trainer Last 100 Horse Earnings" dataDxfId="861"/>
    <tableColumn id="88" xr3:uid="{00000000-0010-0000-0100-000058000000}" name="Trainer Last 100 Avg Horse Earnings" dataDxfId="860"/>
    <tableColumn id="89" xr3:uid="{00000000-0010-0000-0100-000059000000}" name="Trainer Last 100 Starts" dataDxfId="859"/>
    <tableColumn id="90" xr3:uid="{00000000-0010-0000-0100-00005A000000}" name="Trainer Last 100 Wins" dataDxfId="858"/>
    <tableColumn id="91" xr3:uid="{00000000-0010-0000-0100-00005B000000}" name="Trainer Last 100 Strike Rate" dataDxfId="857"/>
    <tableColumn id="92" xr3:uid="{00000000-0010-0000-0100-00005C000000}" name="Trainer Last 100 ROI" dataDxfId="856"/>
    <tableColumn id="93" xr3:uid="{00000000-0010-0000-0100-00005D000000}" name="Trainer Last 100 Places" dataDxfId="855"/>
    <tableColumn id="94" xr3:uid="{00000000-0010-0000-0100-00005E000000}" name="Trainer Last 100 Place Strike Rate" dataDxfId="854"/>
    <tableColumn id="95" xr3:uid="{00000000-0010-0000-0100-00005F000000}" name="Trainer 12 Month Horse Earnings" dataDxfId="853"/>
    <tableColumn id="96" xr3:uid="{00000000-0010-0000-0100-000060000000}" name="Trainer 12 Month Avg Horse Earnings" dataDxfId="852"/>
    <tableColumn id="97" xr3:uid="{00000000-0010-0000-0100-000061000000}" name="Trainer 12 Months Starts" dataDxfId="851"/>
    <tableColumn id="98" xr3:uid="{00000000-0010-0000-0100-000062000000}" name="Trainer 12 Months Wins" dataDxfId="850"/>
    <tableColumn id="99" xr3:uid="{00000000-0010-0000-0100-000063000000}" name="Trainer 12 Months Strike Rate" dataDxfId="849"/>
    <tableColumn id="100" xr3:uid="{00000000-0010-0000-0100-000064000000}" name="Trainer 12 Months ROI" dataDxfId="848"/>
    <tableColumn id="101" xr3:uid="{00000000-0010-0000-0100-000065000000}" name="Trainer 12 Months Places" dataDxfId="847"/>
    <tableColumn id="102" xr3:uid="{00000000-0010-0000-0100-000066000000}" name="Trainer 12 Months Place Strike Rate" dataDxfId="846"/>
    <tableColumn id="103" xr3:uid="{00000000-0010-0000-0100-000067000000}" name="Trainer This Season Horse Earnings" dataDxfId="845"/>
    <tableColumn id="104" xr3:uid="{00000000-0010-0000-0100-000068000000}" name="Trainer This Season Avg Horse Earnings" dataDxfId="844"/>
    <tableColumn id="105" xr3:uid="{00000000-0010-0000-0100-000069000000}" name="Trainer This Season Starts" dataDxfId="843"/>
    <tableColumn id="106" xr3:uid="{00000000-0010-0000-0100-00006A000000}" name="Trainer This Season Wins" dataDxfId="842"/>
    <tableColumn id="107" xr3:uid="{00000000-0010-0000-0100-00006B000000}" name="Trainer This Season Strike Rate" dataDxfId="841"/>
    <tableColumn id="108" xr3:uid="{00000000-0010-0000-0100-00006C000000}" name="Trainer This Season ROI" dataDxfId="840"/>
    <tableColumn id="109" xr3:uid="{00000000-0010-0000-0100-00006D000000}" name="Trainer This Season Places" dataDxfId="839"/>
    <tableColumn id="110" xr3:uid="{00000000-0010-0000-0100-00006E000000}" name="Trainer This Season Place Strike Rate" dataDxfId="838"/>
    <tableColumn id="111" xr3:uid="{00000000-0010-0000-0100-00006F000000}" name="Trainer Last Season Horse Earnings" dataDxfId="837"/>
    <tableColumn id="112" xr3:uid="{00000000-0010-0000-0100-000070000000}" name="Trainer Last Season Avg Horse Earnings" dataDxfId="836"/>
    <tableColumn id="113" xr3:uid="{00000000-0010-0000-0100-000071000000}" name="Trainer Last Season Starts" dataDxfId="835"/>
    <tableColumn id="114" xr3:uid="{00000000-0010-0000-0100-000072000000}" name="Trainer Last Season Wins" dataDxfId="834"/>
    <tableColumn id="115" xr3:uid="{00000000-0010-0000-0100-000073000000}" name="Trainer Last Season Strike Rate" dataDxfId="833"/>
    <tableColumn id="116" xr3:uid="{00000000-0010-0000-0100-000074000000}" name="Trainer Last Season ROI" dataDxfId="832"/>
    <tableColumn id="117" xr3:uid="{00000000-0010-0000-0100-000075000000}" name="Trainer Last Season Places" dataDxfId="831"/>
    <tableColumn id="118" xr3:uid="{00000000-0010-0000-0100-000076000000}" name="Trainer Last Season Place Strike Rate" dataDxfId="830"/>
    <tableColumn id="119" xr3:uid="{00000000-0010-0000-0100-000077000000}" name="Last Start Finish Position" dataDxfId="829"/>
    <tableColumn id="120" xr3:uid="{00000000-0010-0000-0100-000078000000}" name="Last Start Margin" dataDxfId="828"/>
    <tableColumn id="121" xr3:uid="{00000000-0010-0000-0100-000079000000}" name="Last Start Distance" dataDxfId="827"/>
    <tableColumn id="122" xr3:uid="{00000000-0010-0000-0100-00007A000000}" name="Last Start Distance Change" dataDxfId="826"/>
    <tableColumn id="123" xr3:uid="{00000000-0010-0000-0100-00007B000000}" name="Last Start Prize Money" dataDxfId="825"/>
    <tableColumn id="124" xr3:uid="{00000000-0010-0000-0100-00007C000000}" name="Column1" dataDxfId="824"/>
    <tableColumn id="125" xr3:uid="{00000000-0010-0000-0100-00007D000000}" name="Column2" dataDxfId="823"/>
    <tableColumn id="126" xr3:uid="{00000000-0010-0000-0100-00007E000000}" name="Column3" dataDxfId="822"/>
    <tableColumn id="127" xr3:uid="{00000000-0010-0000-0100-00007F000000}" name="Column4" dataDxfId="821"/>
    <tableColumn id="129" xr3:uid="{00000000-0010-0000-0100-000081000000}" name="Finish Result (Updates after race)2" dataDxfId="820"/>
    <tableColumn id="130" xr3:uid="{00000000-0010-0000-0100-000082000000}" name="Cohesion ROI" dataDxfId="819">
      <calculatedColumnFormula>IFERROR(AVERAGE(DP3,DQ3,DS3)^2," ")</calculatedColumnFormula>
    </tableColumn>
    <tableColumn id="131" xr3:uid="{00000000-0010-0000-0100-000083000000}" name="Cohesion Rank" dataDxfId="818">
      <calculatedColumnFormula>IF(RawData[[#This Row],[Cohesion ROI]]=" "," ",RANK(RawData[[#This Row],[Cohesion ROI]],$DZ$3:$DZ$32,0))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755CE1-74CA-4D83-8926-B7A00B7E7B2A}" name="RawData7" displayName="RawData7" ref="A2:EA33" totalsRowShown="0" headerRowDxfId="817" dataDxfId="815" headerRowBorderDxfId="816" tableBorderDxfId="814" totalsRowBorderDxfId="813">
  <autoFilter ref="A2:EA33" xr:uid="{00000000-0009-0000-0100-000008000000}"/>
  <tableColumns count="131">
    <tableColumn id="1" xr3:uid="{70BC1394-B488-42E8-84FC-01C70BFBB700}" name="Num" dataDxfId="812"/>
    <tableColumn id="2" xr3:uid="{42C8C9FB-C16E-46E1-ADD9-C77272EA15F2}" name="Horse Name" dataDxfId="811"/>
    <tableColumn id="3" xr3:uid="{74BD31BF-9B5F-4887-8F48-315849321AA8}" name="Age" dataDxfId="810"/>
    <tableColumn id="128" xr3:uid="{FE05BE7E-6610-4109-9EAF-5A56859BA495}" name="Gender" dataDxfId="809"/>
    <tableColumn id="4" xr3:uid="{ABB19942-587F-48BB-861E-49479552DEEC}" name="Handicap Rating" dataDxfId="808"/>
    <tableColumn id="5" xr3:uid="{879E14A2-1D36-46BD-A8EF-A445C5976312}" name="Career Runs" dataDxfId="807"/>
    <tableColumn id="6" xr3:uid="{3654F037-88B4-49F3-B166-75389D28C04B}" name="Career Wins" dataDxfId="806"/>
    <tableColumn id="7" xr3:uid="{FEF3E793-C378-4FD8-9053-2CD9426C2B17}" name="Career Strike Rate" dataDxfId="805"/>
    <tableColumn id="8" xr3:uid="{DFCBA9E0-EB97-4F6C-A379-06D571C2B786}" name="Career ROI" dataDxfId="804"/>
    <tableColumn id="9" xr3:uid="{E88CA2C9-9BDF-42A4-9ADE-2D19377879E9}" name="Career Placings" dataDxfId="803"/>
    <tableColumn id="10" xr3:uid="{B9E777C7-BB11-46B7-B3B4-E03C498FB40B}" name="Career Place Strike Rate" dataDxfId="802"/>
    <tableColumn id="11" xr3:uid="{9B54982E-4464-4E12-BA97-E3A324F53D0B}" name="Dry Track Runs" dataDxfId="801"/>
    <tableColumn id="12" xr3:uid="{8AEEB1B9-54F4-456C-95AC-2788268B865A}" name="Dry Track Wins" dataDxfId="800"/>
    <tableColumn id="13" xr3:uid="{04D2BA81-B995-4EBD-B922-F9CE913557F4}" name="Dry Track Strike Rate" dataDxfId="799"/>
    <tableColumn id="14" xr3:uid="{1F6D344F-B5B8-4E02-A76B-CC7363626D26}" name="Dry Track ROI" dataDxfId="798"/>
    <tableColumn id="15" xr3:uid="{3BAB71EF-7847-4DCF-A572-0C794CF863DE}" name="Wet Track Runs" dataDxfId="797"/>
    <tableColumn id="16" xr3:uid="{8223FFF0-FCA9-45D4-B3E7-C3CFBDCD4309}" name="Wet Track Wins" dataDxfId="796"/>
    <tableColumn id="17" xr3:uid="{3F9B2D73-96BB-4133-9647-87FC3A404EF1}" name="Wet Track Strike Rate" dataDxfId="795"/>
    <tableColumn id="18" xr3:uid="{34C5B9A8-E0D8-4AA8-81C6-AD81474D0E2F}" name="Wet Track ROI" dataDxfId="794"/>
    <tableColumn id="19" xr3:uid="{2D6723C4-17A6-4F32-BCDA-39299E4D50B9}" name="Average Prize Money" dataDxfId="793"/>
    <tableColumn id="20" xr3:uid="{39DF0B53-0A8F-4232-A4E7-E261752EFD0A}" name="Career Prize Money" dataDxfId="792"/>
    <tableColumn id="21" xr3:uid="{C35478FF-C002-47BD-9811-A69D7E5583A2}" name="Best Fixed Odds" dataDxfId="791"/>
    <tableColumn id="22" xr3:uid="{CBD06100-CCF5-49A7-B3BA-F5435799D733}" name="BetEasy Odds" dataDxfId="790"/>
    <tableColumn id="23" xr3:uid="{90358CF7-4B4D-45F5-AA00-39BDB290AA8A}" name="Weight" dataDxfId="789"/>
    <tableColumn id="24" xr3:uid="{972DBF67-6112-4F67-A557-7ED9873BE4A5}" name="Weight Carried" dataDxfId="788"/>
    <tableColumn id="25" xr3:uid="{30A744AD-1522-4E99-AD63-1915759A4D8A}" name="Barrier" dataDxfId="787"/>
    <tableColumn id="26" xr3:uid="{8A670027-4643-4055-A903-68A73490D716}" name="Prize Money" dataDxfId="786"/>
    <tableColumn id="27" xr3:uid="{4D062FB4-1CF8-4F37-81AB-1A9FAEAA4D5F}" name="This Track Runs" dataDxfId="785"/>
    <tableColumn id="28" xr3:uid="{49CE8175-4817-4EE1-A7CC-496850C4D88A}" name="This Track Wins" dataDxfId="784"/>
    <tableColumn id="29" xr3:uid="{BB0EB2CA-DB13-490A-B2C3-BC0426F4F6E4}" name="This Track Strike Rate" dataDxfId="783"/>
    <tableColumn id="30" xr3:uid="{BE23360C-54AD-432C-8E40-713A0F462CE8}" name="This Track ROI" dataDxfId="782"/>
    <tableColumn id="31" xr3:uid="{7DA6E12B-1BB1-438A-9D8E-45CA97A8E923}" name="This Track Places" dataDxfId="781"/>
    <tableColumn id="32" xr3:uid="{1410F758-AEBC-478D-816B-014CBD3F72A8}" name="This Track Place Strike Rate" dataDxfId="780"/>
    <tableColumn id="33" xr3:uid="{3F6A9B2A-E9C8-4E72-AFA9-C8ED5A67E61D}" name="This Distance Runs" dataDxfId="779"/>
    <tableColumn id="34" xr3:uid="{3AE9CECA-4C5A-4CCE-AC7A-DCF26009B335}" name="This Distance Wins" dataDxfId="778"/>
    <tableColumn id="35" xr3:uid="{183FDDC2-1F5D-4EB8-9A77-7DE9FB4AB6F3}" name="This Distance Strike Rate" dataDxfId="777"/>
    <tableColumn id="36" xr3:uid="{9ED942B9-D182-403A-9FB2-8F030A5695BD}" name="This Distance ROI" dataDxfId="776"/>
    <tableColumn id="37" xr3:uid="{3C0F0A07-BC27-4749-AAE9-8977EE493DC7}" name="This Distance Places" dataDxfId="775"/>
    <tableColumn id="38" xr3:uid="{1CCAD6FD-B749-4B9C-ACE2-5349AB7BFE9A}" name="This Distance Place Strike Rate" dataDxfId="774"/>
    <tableColumn id="39" xr3:uid="{DA3ED475-5CB7-4036-94A7-A15E169BA4E5}" name="This Track Distance Runs" dataDxfId="773"/>
    <tableColumn id="40" xr3:uid="{2ACA0FDC-5C16-45E6-8892-9844A41ED490}" name="This Track Distance Wins" dataDxfId="772"/>
    <tableColumn id="41" xr3:uid="{8D50EFC5-901D-4F79-A649-7752161546F1}" name="This Track Distance Strike Rate" dataDxfId="771"/>
    <tableColumn id="42" xr3:uid="{EE09FFAC-6627-4489-9AE4-9A9EB9B51547}" name="This Track Distance ROI" dataDxfId="770"/>
    <tableColumn id="43" xr3:uid="{04C8259D-DCC2-44C8-BC8B-C8982ABD54CC}" name="This Track Distance Places" dataDxfId="769"/>
    <tableColumn id="44" xr3:uid="{673E6C4F-B3B6-4B84-B61D-66EB52456B48}" name="This Track Distance Place Strike Rate" dataDxfId="768"/>
    <tableColumn id="45" xr3:uid="{483B4E7C-4ADD-45E1-A75C-C1DF9613D01E}" name="This Condition Runs" dataDxfId="767"/>
    <tableColumn id="46" xr3:uid="{90E6E6BD-2DFB-46B1-A454-16B909BB9CBD}" name="This Condition Wins" dataDxfId="766"/>
    <tableColumn id="47" xr3:uid="{A625D392-F202-4CC2-BF27-23FCFDA3AD32}" name="This Condition Strike Rate" dataDxfId="765"/>
    <tableColumn id="48" xr3:uid="{6063BA44-27BA-4EFB-AA33-11A135052B4A}" name="This Condition ROI" dataDxfId="764"/>
    <tableColumn id="49" xr3:uid="{EA903727-3F33-49E9-AE56-5DD1F6979696}" name="This Condition Places" dataDxfId="763"/>
    <tableColumn id="50" xr3:uid="{5CC67F38-EE78-41B8-A9A7-EE640F3331AD}" name="This Condition Place Strike Rate" dataDxfId="762"/>
    <tableColumn id="51" xr3:uid="{31824423-B330-4086-A824-069CFA8D13C6}" name="Jockey" dataDxfId="761"/>
    <tableColumn id="52" xr3:uid="{3E53410E-9E9D-4D4A-A202-451BA9950C6D}" name="Apprentice" dataDxfId="760"/>
    <tableColumn id="53" xr3:uid="{B6EF7B8C-77E0-4F7B-81E0-01ECF03DF034}" name="Jockey Weight Claim" dataDxfId="759"/>
    <tableColumn id="54" xr3:uid="{C5DDB814-B994-4469-A34B-5FD33CDE1D7D}" name="Jockey Last 100 Horse Earnings" dataDxfId="758"/>
    <tableColumn id="55" xr3:uid="{8A012E14-6B7F-4F04-80AA-B127E05A2C96}" name="Jockey Last 100 Avg Horse Earnings" dataDxfId="757"/>
    <tableColumn id="56" xr3:uid="{4380D36E-1DFE-4513-AF1C-2BC364AB02F5}" name="Jockey Last 100 Starts" dataDxfId="756"/>
    <tableColumn id="57" xr3:uid="{AA3D8913-C307-4827-B3A2-D83FB50A3AE4}" name="Jockey Last 100 Wins" dataDxfId="755"/>
    <tableColumn id="58" xr3:uid="{94421DE1-EAEC-4F69-A58F-FF64A3657979}" name="Jockey Last 100 Strike Rate" dataDxfId="754"/>
    <tableColumn id="59" xr3:uid="{3D67A717-A3B5-460E-9998-621E809C44EC}" name="Jockey Last 100 ROI" dataDxfId="753"/>
    <tableColumn id="60" xr3:uid="{2BC0B910-62BB-4AE8-8490-7608C4B721C9}" name="Jockey Last 100 Places" dataDxfId="752"/>
    <tableColumn id="61" xr3:uid="{A38D6E1F-19CA-4884-83E3-C0155CDEBDAF}" name="Jockey Last 100 Place Strike Rate" dataDxfId="751"/>
    <tableColumn id="62" xr3:uid="{FA8C2B00-E665-4CD4-BD4F-9CDD19EBAA88}" name="Jockey 12 Month Horse Earnings" dataDxfId="750"/>
    <tableColumn id="63" xr3:uid="{1C92D651-A91C-4B84-B2DE-867B38F92860}" name="Jockey 12 Month Avg Horse Earnings" dataDxfId="749"/>
    <tableColumn id="64" xr3:uid="{2879B369-389A-4926-92F5-2DB750A7559D}" name="Jockey 12 Months Starts" dataDxfId="748"/>
    <tableColumn id="65" xr3:uid="{AC408D7C-D0FD-43A9-AC07-260203A13A92}" name="Jockey 12 Months Wins" dataDxfId="747"/>
    <tableColumn id="66" xr3:uid="{388955D6-FACB-4FBD-A81B-0D16B7C33A12}" name="Jockey 12 Months Strike Rate" dataDxfId="746"/>
    <tableColumn id="67" xr3:uid="{2F54F0C1-4513-4D28-A1A3-3FF0CE568A32}" name="Jockey 12 Months ROI" dataDxfId="745"/>
    <tableColumn id="68" xr3:uid="{6B8E6E37-A638-4C5A-8510-A37EA6F15C3F}" name="Jockey 12 Months Places" dataDxfId="744"/>
    <tableColumn id="69" xr3:uid="{5247490D-5D6A-476E-95DE-96AD94E6C469}" name="Jockey 12 Months Place Strike Rate" dataDxfId="743"/>
    <tableColumn id="70" xr3:uid="{99E988A3-238D-4F0D-8A79-F4323A9C6976}" name="Jockey This Season Horse Earnings" dataDxfId="742"/>
    <tableColumn id="71" xr3:uid="{76E80AAF-6CA7-4FE9-A1B1-4CDBB3F4E7F3}" name="Jockey This Season Avg Horse Earnings" dataDxfId="741"/>
    <tableColumn id="72" xr3:uid="{17AEC55F-F817-41A7-8EAA-BC4845E50749}" name="Jockey This Season Starts" dataDxfId="740"/>
    <tableColumn id="73" xr3:uid="{3E3165CC-B60D-4665-9DCB-2451FF5D0125}" name="Jockey This Season Wins" dataDxfId="739"/>
    <tableColumn id="74" xr3:uid="{3260078A-85F5-476F-982B-ED92FFEFC011}" name="Jockey This Season Strike Rate" dataDxfId="738"/>
    <tableColumn id="75" xr3:uid="{22406C46-F265-41FB-A047-B78202860467}" name="Jockey This Season ROI" dataDxfId="737"/>
    <tableColumn id="76" xr3:uid="{508A79AF-CEAF-49DA-AC80-0E80204CEBC8}" name="Jockey This Season Places" dataDxfId="736"/>
    <tableColumn id="77" xr3:uid="{0A8B5F24-C835-4229-AEF6-873E0ED27EA9}" name="Jockey This Season Place Strike Rate" dataDxfId="735"/>
    <tableColumn id="78" xr3:uid="{4EC6C3FB-BA2C-437F-8B53-7C83C688560A}" name="Jockey Last Season Horse Earnings" dataDxfId="734"/>
    <tableColumn id="79" xr3:uid="{D01394AF-35ED-4C67-B8A8-E0F55E399A3A}" name="Jockey Last Season Avg Horse Earnings" dataDxfId="733"/>
    <tableColumn id="80" xr3:uid="{E0976462-A953-4EC3-806C-97DB1467901F}" name="Jockey Last Season Starts" dataDxfId="732"/>
    <tableColumn id="81" xr3:uid="{B9B2F3BA-279F-424A-9F7E-28D40D56B9BE}" name="Jockey Last Season Wins" dataDxfId="731"/>
    <tableColumn id="82" xr3:uid="{91B24E4A-AB80-4539-ADE0-4224F0854C05}" name="Jockey Last Season Strike Rate" dataDxfId="730"/>
    <tableColumn id="83" xr3:uid="{C4E0F6D6-452C-4BFA-A333-D074E8DDC4FD}" name="Jockey Last Season ROI" dataDxfId="729"/>
    <tableColumn id="84" xr3:uid="{C78C3982-922D-4446-8B5B-F349C0CD4B73}" name="Jockey Last Season Places" dataDxfId="728"/>
    <tableColumn id="85" xr3:uid="{709DD9C3-CEA4-4884-8E5C-00D8B3C77017}" name="Jockey Last Season Place Strike Rate" dataDxfId="727"/>
    <tableColumn id="86" xr3:uid="{896FDE81-B626-4E1D-8AAC-FDDE35C06222}" name="Trainer" dataDxfId="726"/>
    <tableColumn id="87" xr3:uid="{45E1DC51-E837-44E1-AF71-A7BB9B5BA87C}" name="Trainer Last 100 Horse Earnings" dataDxfId="725"/>
    <tableColumn id="88" xr3:uid="{2CE72C1D-09BC-4E45-8773-1DBAFBFAAE5F}" name="Trainer Last 100 Avg Horse Earnings" dataDxfId="724"/>
    <tableColumn id="89" xr3:uid="{8A05D0CB-6DB9-4FF6-927C-50A8688090A5}" name="Trainer Last 100 Starts" dataDxfId="723"/>
    <tableColumn id="90" xr3:uid="{4F6D939A-5EE4-4B57-8A45-4ABAAE45EA96}" name="Trainer Last 100 Wins" dataDxfId="722"/>
    <tableColumn id="91" xr3:uid="{CB18AEA3-24CF-4125-AA51-4D1BA2057924}" name="Trainer Last 100 Strike Rate" dataDxfId="721"/>
    <tableColumn id="92" xr3:uid="{F8E53B93-AB2A-47F1-B614-EF241D01EA6A}" name="Trainer Last 100 ROI" dataDxfId="720"/>
    <tableColumn id="93" xr3:uid="{048121E9-4370-4ACD-A31B-0DC549989746}" name="Trainer Last 100 Places" dataDxfId="719"/>
    <tableColumn id="94" xr3:uid="{4EF18E58-CBA5-4104-9339-5617FCB98610}" name="Trainer Last 100 Place Strike Rate" dataDxfId="718"/>
    <tableColumn id="95" xr3:uid="{F9C2ADFE-BCD1-412C-9FF1-2CFC02F90441}" name="Trainer 12 Month Horse Earnings" dataDxfId="717"/>
    <tableColumn id="96" xr3:uid="{D6163C1D-0947-463B-B397-6BDFC344DA68}" name="Trainer 12 Month Avg Horse Earnings" dataDxfId="716"/>
    <tableColumn id="97" xr3:uid="{B07B16B7-BB66-4839-AA3A-619A40D86058}" name="Trainer 12 Months Starts" dataDxfId="715"/>
    <tableColumn id="98" xr3:uid="{D0E87BB2-783B-4C15-A05C-9C2072973DA7}" name="Trainer 12 Months Wins" dataDxfId="714"/>
    <tableColumn id="99" xr3:uid="{FC9A5314-C072-4741-983E-3A934F058A8D}" name="Trainer 12 Months Strike Rate" dataDxfId="713"/>
    <tableColumn id="100" xr3:uid="{F0FA0CE1-E73D-45C2-8B77-977B381E4D66}" name="Trainer 12 Months ROI" dataDxfId="712"/>
    <tableColumn id="101" xr3:uid="{C40AC2C0-0D0E-4387-AC61-F65FAB5BFE97}" name="Trainer 12 Months Places" dataDxfId="711"/>
    <tableColumn id="102" xr3:uid="{68A37A28-83D5-4F3B-92FE-E58B12F41205}" name="Trainer 12 Months Place Strike Rate" dataDxfId="710"/>
    <tableColumn id="103" xr3:uid="{17B38D0D-27F3-47FF-8047-30DDE545B00B}" name="Trainer This Season Horse Earnings" dataDxfId="709"/>
    <tableColumn id="104" xr3:uid="{28F83129-60DD-43D9-8EC4-D7CC75FA94A9}" name="Trainer This Season Avg Horse Earnings" dataDxfId="708"/>
    <tableColumn id="105" xr3:uid="{64EF1F6C-DA67-43F0-B864-ACE11A3835C6}" name="Trainer This Season Starts" dataDxfId="707"/>
    <tableColumn id="106" xr3:uid="{2C18150A-8124-4613-A7BD-E0B1C27767FE}" name="Trainer This Season Wins" dataDxfId="706"/>
    <tableColumn id="107" xr3:uid="{A578FCBB-064C-465F-8E6D-FB52DE4D2BAD}" name="Trainer This Season Strike Rate" dataDxfId="705"/>
    <tableColumn id="108" xr3:uid="{CCCF1899-FB9D-47D7-B121-1AA0292B3527}" name="Trainer This Season ROI" dataDxfId="704"/>
    <tableColumn id="109" xr3:uid="{259FE467-3ECA-4266-8A70-42639A52417C}" name="Trainer This Season Places" dataDxfId="703"/>
    <tableColumn id="110" xr3:uid="{4271D6F5-5E82-4325-BE04-57680A62A1AF}" name="Trainer This Season Place Strike Rate" dataDxfId="702"/>
    <tableColumn id="111" xr3:uid="{C4472033-AF01-4A3A-89BC-1622D7AB03FA}" name="Trainer Last Season Horse Earnings" dataDxfId="701"/>
    <tableColumn id="112" xr3:uid="{8370C978-F558-4CF5-B948-31D186DFBC1E}" name="Trainer Last Season Avg Horse Earnings" dataDxfId="700"/>
    <tableColumn id="113" xr3:uid="{071EE230-355E-4480-985D-8E8E25B52DF8}" name="Trainer Last Season Starts" dataDxfId="699"/>
    <tableColumn id="114" xr3:uid="{2B03CFF5-BA41-45F2-B3C2-E293F90A516C}" name="Trainer Last Season Wins" dataDxfId="698"/>
    <tableColumn id="115" xr3:uid="{3F3D8952-9548-4C7C-B7EA-83E2E11AAB24}" name="Trainer Last Season Strike Rate" dataDxfId="697"/>
    <tableColumn id="116" xr3:uid="{CBC92ECD-C5EB-45A1-9882-3591AA7021BE}" name="Trainer Last Season ROI" dataDxfId="696"/>
    <tableColumn id="117" xr3:uid="{49AD4244-C605-4D52-86DB-2D358D792DD9}" name="Trainer Last Season Places" dataDxfId="695"/>
    <tableColumn id="118" xr3:uid="{1A31EAF3-CCA2-4436-AB99-B470024BB15B}" name="Trainer Last Season Place Strike Rate" dataDxfId="694"/>
    <tableColumn id="119" xr3:uid="{F3BFA43F-B46A-49D9-A268-6D874CEFE014}" name="Last Start Finish Position" dataDxfId="693"/>
    <tableColumn id="120" xr3:uid="{888EA810-6454-4DC3-AD67-F4989C041325}" name="Last Start Margin" dataDxfId="692"/>
    <tableColumn id="121" xr3:uid="{91CA6951-6B2C-4A75-82B4-D6F8EABF2677}" name="Last Start Distance" dataDxfId="691"/>
    <tableColumn id="122" xr3:uid="{14F37698-74D9-4EAE-8482-0A54A3429D5D}" name="Last Start Distance Change" dataDxfId="690"/>
    <tableColumn id="123" xr3:uid="{1D981B21-7C0D-434A-A7C8-CE5A92E42C0E}" name="Last Start Prize Money" dataDxfId="689"/>
    <tableColumn id="124" xr3:uid="{928C31AA-4156-422D-9F59-2BBB7024899C}" name="Column1" dataDxfId="688"/>
    <tableColumn id="125" xr3:uid="{9E5B357F-F9FC-4858-B375-F54CAF0625BA}" name="Column2" dataDxfId="687"/>
    <tableColumn id="126" xr3:uid="{91E5003C-BA53-4D5D-BD96-F3293A227DD7}" name="Column3" dataDxfId="686"/>
    <tableColumn id="127" xr3:uid="{2B6A18E9-3C1D-45A5-B9C1-2737834BE6FC}" name="Column4" dataDxfId="685"/>
    <tableColumn id="129" xr3:uid="{64429F5D-5686-4BBC-A155-10A46FBE2069}" name="Finish Result (Updates after race)2" dataDxfId="684"/>
    <tableColumn id="130" xr3:uid="{2F1EEAD1-A5AF-4DEE-9912-E8FB8578C308}" name="Cohesion ROI" dataDxfId="683">
      <calculatedColumnFormula>IFERROR(AVERAGE(DP3,DQ3,DS3)^2," ")</calculatedColumnFormula>
    </tableColumn>
    <tableColumn id="131" xr3:uid="{0257344B-1813-488D-9B48-F96538D0E06D}" name="Cohesion Rank" dataDxfId="682">
      <calculatedColumnFormula>IF(RawData7[[#This Row],[Cohesion ROI]]=" "," ",RANK(RawData7[[#This Row],[Cohesion ROI]],$DZ$3:$DZ$32,0))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A60154-13FF-4EF3-8EBE-83FF7BAE652D}" name="machina6" displayName="machina6" ref="A2:AO28" totalsRowShown="0" headerRowDxfId="680" dataDxfId="679" tableBorderDxfId="678">
  <autoFilter ref="A2:AO28" xr:uid="{00000000-0009-0000-0100-00000A000000}"/>
  <tableColumns count="41">
    <tableColumn id="1" xr3:uid="{A9F052A5-1F90-4625-8E7F-7DE8B5744239}" name="Num" dataDxfId="677">
      <calculatedColumnFormula>RawData[[#This Row],[Num]]</calculatedColumnFormula>
    </tableColumn>
    <tableColumn id="12" xr3:uid="{8D952D5D-411E-4B43-9931-18766C5A4EB1}" name="Column1" dataDxfId="676"/>
    <tableColumn id="13" xr3:uid="{E5B0A291-8C06-4204-B57B-90450E0FE31D}" name="Column2" dataDxfId="675"/>
    <tableColumn id="9" xr3:uid="{4A522DE3-72E1-40D4-8D52-CDA5471D6C46}" name="Column3" dataDxfId="674"/>
    <tableColumn id="14" xr3:uid="{5045C86E-40F1-4DF4-A2C7-0024EDB22745}" name="Best Fixed Odds" dataDxfId="673">
      <calculatedColumnFormula>IF(INDEX('Raw Data'!$A3:$EA3,MATCH(E$2,RawData[#Headers],))=""," ",IF(INDEX('Raw Data'!$A3:$EA3,MATCH(E$2,RawData[#Headers],))="UPL",3,INDEX('Raw Data'!$A3:$EA3,MATCH(E$2,RawData[#Headers],))))</calculatedColumnFormula>
    </tableColumn>
    <tableColumn id="15" xr3:uid="{0B4CB876-9685-464F-A6BA-711E1A716BF5}" name="Best Fixed Odds2" dataDxfId="672">
      <calculatedColumnFormula>IFERROR(STANDARDIZE(machina6[[#This Row],[Best Fixed Odds]],E$30,E$31)," ")</calculatedColumnFormula>
    </tableColumn>
    <tableColumn id="8" xr3:uid="{658571DB-F0F6-488A-8130-AB25A86579BD}" name="Best Fixed Odds3" dataDxfId="671">
      <calculatedColumnFormula>IFERROR(RANK(F3,F$3:F$27,1)," ")</calculatedColumnFormula>
    </tableColumn>
    <tableColumn id="30" xr3:uid="{A9508251-A7EB-4ACB-8B9B-D1A238DE3B50}" name="This Distance Runs" dataDxfId="670">
      <calculatedColumnFormula>IF(INDEX('Raw Data'!$A3:$EA3,MATCH(H$2,RawData[#Headers],))=""," ",IF(INDEX('Raw Data'!$A3:$EA3,MATCH(H$2,RawData[#Headers],))="UPL",3,INDEX('Raw Data'!$A3:$EA3,MATCH(H$2,RawData[#Headers],))))</calculatedColumnFormula>
    </tableColumn>
    <tableColumn id="31" xr3:uid="{2C559275-15BD-470A-8A7B-6F57FDFD4405}" name="This Distance Runs2" dataDxfId="669">
      <calculatedColumnFormula>IFERROR(STANDARDIZE(machina6[[#This Row],[This Distance Runs]],H$30,H$31)," ")</calculatedColumnFormula>
    </tableColumn>
    <tableColumn id="7" xr3:uid="{8B8E34E1-2550-4DA2-B3E6-38813F656475}" name="This Distance Runs3" dataDxfId="668">
      <calculatedColumnFormula>IFERROR(RANK(I3,I$3:I$27,0)," ")</calculatedColumnFormula>
    </tableColumn>
    <tableColumn id="94" xr3:uid="{F9E7ED0A-8E94-4AEC-B3ED-2F6805646E3B}" name="Jockey Last 100 Horse Earnings" dataDxfId="667">
      <calculatedColumnFormula>IF(INDEX('Raw Data'!$A3:$EA3,MATCH(K$2,RawData[#Headers],))=""," ",IF(INDEX('Raw Data'!$A3:$EA3,MATCH(K$2,RawData[#Headers],))="UPL",3,INDEX('Raw Data'!$A3:$EA3,MATCH(K$2,RawData[#Headers],))))</calculatedColumnFormula>
    </tableColumn>
    <tableColumn id="95" xr3:uid="{B7D454B9-0914-43EE-9033-D35408DDEEC5}" name="Jockey Last 100 Horse Earnings2" dataDxfId="666">
      <calculatedColumnFormula>IFERROR(STANDARDIZE(machina6[[#This Row],[Jockey Last 100 Horse Earnings]],K$30,K$31)," ")</calculatedColumnFormula>
    </tableColumn>
    <tableColumn id="6" xr3:uid="{36D5005C-2F30-409C-9BC5-521BBD16DDCB}" name="Jockey Last 100 Horse Earnings3" dataDxfId="665">
      <calculatedColumnFormula>IFERROR(RANK(L3,L$3:L$27,0)," ")</calculatedColumnFormula>
    </tableColumn>
    <tableColumn id="148" xr3:uid="{B9CB4931-83E2-4DA6-9BEF-3B87EF572E86}" name="Last Start Finish Position" dataDxfId="664">
      <calculatedColumnFormula>IF(INDEX('Raw Data'!$A3:$EA3,MATCH(N$2,RawData[#Headers],))=""," ",IF(INDEX('Raw Data'!$A3:$EA3,MATCH(N$2,RawData[#Headers],))="UPL",1,INDEX('Raw Data'!$A3:$EA3,MATCH(N$2,RawData[#Headers],))))</calculatedColumnFormula>
    </tableColumn>
    <tableColumn id="149" xr3:uid="{DE6BA86F-9C5E-4980-A8C4-9390D842F71B}" name="Last Start Finish Position2" dataDxfId="663">
      <calculatedColumnFormula>IFERROR(STANDARDIZE(machina6[[#This Row],[Last Start Finish Position]],N$30,N$31)," ")</calculatedColumnFormula>
    </tableColumn>
    <tableColumn id="5" xr3:uid="{4F046D10-2546-4520-B3C7-14BB31663C79}" name="Last Start Finish Position3" dataDxfId="662">
      <calculatedColumnFormula>IFERROR(RANK(O3,O$3:O$27,1)," ")</calculatedColumnFormula>
    </tableColumn>
    <tableColumn id="150" xr3:uid="{625AD0C6-3F30-4455-B2BF-E6D80E46976F}" name="Last Start Margin" dataDxfId="661">
      <calculatedColumnFormula>IF(INDEX('Raw Data'!$A3:$EA3,MATCH(Q$2,RawData[#Headers],))=""," ",IF(INDEX('Raw Data'!$A3:$EA3,MATCH(Q$2,RawData[#Headers],))="UPL",3,INDEX('Raw Data'!$A3:$EA3,MATCH(Q$2,RawData[#Headers],))))</calculatedColumnFormula>
    </tableColumn>
    <tableColumn id="151" xr3:uid="{52BD863A-09D0-4884-9335-0EE2941B5B80}" name="Last Start Margin2" dataDxfId="660">
      <calculatedColumnFormula>IFERROR(STANDARDIZE(machina6[[#This Row],[Last Start Margin]],Q$30,Q$31)," ")</calculatedColumnFormula>
    </tableColumn>
    <tableColumn id="4" xr3:uid="{F7875098-86D3-46EC-A85A-ADF310F096EF}" name="Last Start Margin3" dataDxfId="659">
      <calculatedColumnFormula>IFERROR(RANK(R3,R$3:R$27,1)," ")</calculatedColumnFormula>
    </tableColumn>
    <tableColumn id="152" xr3:uid="{BD07D264-2F38-4915-9BAD-1A98E5928830}" name="Last Start Distance Change" dataDxfId="658">
      <calculatedColumnFormula>IF(INDEX('Raw Data'!$A3:$EA3,MATCH(T$2,RawData[#Headers],))=""," ",IF(INDEX('Raw Data'!$A3:$EA3,MATCH(T$2,RawData[#Headers],))="UPL",3,INDEX('Raw Data'!$A3:$EA3,MATCH(T$2,RawData[#Headers],))))</calculatedColumnFormula>
    </tableColumn>
    <tableColumn id="153" xr3:uid="{AF967D30-5E98-429B-BB85-2629928E9352}" name="Last Start Distance Change2" dataDxfId="657">
      <calculatedColumnFormula>IFERROR(STANDARDIZE(machina6[[#This Row],[Last Start Distance Change]],T$30,T$31)," ")</calculatedColumnFormula>
    </tableColumn>
    <tableColumn id="3" xr3:uid="{7A530729-159B-4493-AEF2-AAA8A8B89300}" name="Last Start Distance Change3" dataDxfId="656">
      <calculatedColumnFormula>IFERROR(RANK(U3,U$3:U$27,1)," ")</calculatedColumnFormula>
    </tableColumn>
    <tableColumn id="154" xr3:uid="{D9AF816B-92A4-48EF-AB9C-015EDDBDA8F1}" name="Last Start Prize Money" dataDxfId="655">
      <calculatedColumnFormula>IF(INDEX('Raw Data'!$A3:$EA3,MATCH(W$2,RawData[#Headers],))=""," ",IF(INDEX('Raw Data'!$A3:$EA3,MATCH(W$2,RawData[#Headers],))="UPL",3,INDEX('Raw Data'!$A3:$EA3,MATCH(W$2,RawData[#Headers],))))</calculatedColumnFormula>
    </tableColumn>
    <tableColumn id="155" xr3:uid="{8BD13062-870B-40E8-9C59-C7698DDE700B}" name="Last Start Prize Money2" dataDxfId="654">
      <calculatedColumnFormula>IFERROR(STANDARDIZE(machina6[[#This Row],[Last Start Prize Money]],W$30,W$31)," ")</calculatedColumnFormula>
    </tableColumn>
    <tableColumn id="2" xr3:uid="{92A4B32F-F1BE-43EB-B886-78F3C8ED8E6D}" name="Last Start Prize Money3" dataDxfId="653">
      <calculatedColumnFormula>IFERROR(RANK(X3,X$3:X$27,0)," ")</calculatedColumnFormula>
    </tableColumn>
    <tableColumn id="17" xr3:uid="{18C0A0DA-5C85-4AD0-9C61-1ED24F8D8C3E}" name="This Track Distance Runs" dataDxfId="652">
      <calculatedColumnFormula>IF(INDEX('Raw Data'!$A3:$EA3,MATCH(Z$2,RawData[#Headers],))=""," ",IF(INDEX('Raw Data'!$A3:$EA3,MATCH(Z$2,RawData[#Headers],))="UPL",3,INDEX('Raw Data'!$A3:$EA3,MATCH(Z$2,RawData[#Headers],))))</calculatedColumnFormula>
    </tableColumn>
    <tableColumn id="18" xr3:uid="{67761ECE-1D03-42EA-A082-030E6303CAA0}" name="This Track Distance Runs2" dataDxfId="651">
      <calculatedColumnFormula>IFERROR(STANDARDIZE(Z3,Z$30,Z$31)," ")</calculatedColumnFormula>
    </tableColumn>
    <tableColumn id="19" xr3:uid="{127745E7-FD6E-428F-B530-88BEA800CE2E}" name="This Track Distance Runs3" dataDxfId="650">
      <calculatedColumnFormula>IFERROR(RANK(AA3,AA$3:AA$27,0)," ")</calculatedColumnFormula>
    </tableColumn>
    <tableColumn id="10" xr3:uid="{4CE8E94E-9C38-4FFC-A0AE-D8832E2DC693}" name="This Track Distance Wins" dataDxfId="649">
      <calculatedColumnFormula>IF(INDEX('Raw Data'!$A3:$EA3,MATCH(AC$2,RawData[#Headers],))=""," ",IF(INDEX('Raw Data'!$A3:$EA3,MATCH(AC$2,RawData[#Headers],))="UPL",3,INDEX('Raw Data'!$A3:$EA3,MATCH(AC$2,RawData[#Headers],))))</calculatedColumnFormula>
    </tableColumn>
    <tableColumn id="11" xr3:uid="{402CE597-867E-4290-B976-8DDEAE297299}" name="This Track Distance Wins2" dataDxfId="648">
      <calculatedColumnFormula>IFERROR(STANDARDIZE(AC3,AC$30,AC$31)," ")</calculatedColumnFormula>
    </tableColumn>
    <tableColumn id="16" xr3:uid="{CAA2B35C-A149-4A4B-868F-9DA7C5B92043}" name="This Track Distance Wins3" dataDxfId="647">
      <calculatedColumnFormula>IFERROR(RANK(AD3,AD$3:AD$27,0)," ")</calculatedColumnFormula>
    </tableColumn>
    <tableColumn id="20" xr3:uid="{66055DDC-179B-4E2F-9E85-073D8B909A15}" name="Results" dataDxfId="646">
      <calculatedColumnFormula>IFERROR(VLOOKUP(A3,Results!$A$3:$DY$29,129,FALSE)," ")</calculatedColumnFormula>
    </tableColumn>
    <tableColumn id="21" xr3:uid="{1E21047F-38B7-4C0D-90B2-A27B0C281E56}" name="Results2" dataDxfId="645">
      <calculatedColumnFormula>IFERROR(VLOOKUP(A3,Results!$A$3:$DY$29,129,FALSE)," ")</calculatedColumnFormula>
    </tableColumn>
    <tableColumn id="22" xr3:uid="{1B2D3E30-654D-4A7C-A9E7-80031BBF4213}" name="SUM" dataDxfId="644">
      <calculatedColumnFormula>IF($A3=0," ",SUM(machina6[[#This Row],[PICK 1]:[PICK 3]]))</calculatedColumnFormula>
    </tableColumn>
    <tableColumn id="23" xr3:uid="{A006A446-869E-419D-A170-0336843B7CB9}" name="PICKS" dataDxfId="643">
      <calculatedColumnFormula>IF(machina6[[#This Row],[Num]]=0," ",IFERROR(RANK(AH3,AH$3:AH$27,0)," "))</calculatedColumnFormula>
    </tableColumn>
    <tableColumn id="24" xr3:uid="{53E327C0-B54A-464B-B3A7-E03625BC7DEB}" name="PICK 1" dataDxfId="642">
      <calculatedColumnFormula>IF($A3=0," ",COUNTIF($G3:$AE3,"=1"))</calculatedColumnFormula>
    </tableColumn>
    <tableColumn id="25" xr3:uid="{A27835AB-63B4-4201-92A3-295785D8F2F3}" name="PICK 2" dataDxfId="641">
      <calculatedColumnFormula>IF($A3=0," ",COUNTIF($G3:$AE3,"=2"))</calculatedColumnFormula>
    </tableColumn>
    <tableColumn id="26" xr3:uid="{13A007D2-2DBA-421E-BD5E-99DE14650ACC}" name="PICK 3" dataDxfId="640">
      <calculatedColumnFormula>IF($A3=0," ",COUNTIF($G3:$AE3,"=3"))</calculatedColumnFormula>
    </tableColumn>
    <tableColumn id="27" xr3:uid="{DE031BEC-F32C-4D8F-83E3-4D87B5B5DFCE}" name="PICK 32" dataDxfId="639">
      <calculatedColumnFormula>IF($A3=0," ",IF(machina6[[#This Row],[QUART]]&lt;=$G$34,1," "))</calculatedColumnFormula>
    </tableColumn>
    <tableColumn id="29" xr3:uid="{7280B41F-5CAB-4C9F-A5B9-ED024508F6EB}" name="rank" dataDxfId="638">
      <calculatedColumnFormula>IF($A3=0," ",RANK(machina6[[#This Row],[QUART]],machina6[QUART],1))</calculatedColumnFormula>
    </tableColumn>
    <tableColumn id="28" xr3:uid="{6AA51002-EEFE-4014-A3E9-88FAAE800437}" name="QUART" dataDxfId="637">
      <calculatedColumnFormula>IF($A3=0," ",AI3/$E$34)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machina" displayName="machina" ref="A2:FB28" totalsRowShown="0" headerRowDxfId="635" dataDxfId="634" tableBorderDxfId="633">
  <autoFilter ref="A2:FB28" xr:uid="{00000000-0009-0000-0100-00000A000000}"/>
  <tableColumns count="158">
    <tableColumn id="1" xr3:uid="{00000000-0010-0000-0200-000001000000}" name="Num" dataDxfId="632">
      <calculatedColumnFormula>RawData[[#This Row],[Num]]</calculatedColumnFormula>
    </tableColumn>
    <tableColumn id="2" xr3:uid="{00000000-0010-0000-0200-000002000000}" name="Career Strike Rate" dataDxfId="631">
      <calculatedColumnFormula>IF(INDEX('Raw Data'!$A3:$EA3,MATCH(B$2,RawData[#Headers],))=""," ",INDEX('Raw Data'!$A3:$EA3,MATCH(B$2,RawData[#Headers],)))</calculatedColumnFormula>
    </tableColumn>
    <tableColumn id="3" xr3:uid="{00000000-0010-0000-0200-000003000000}" name="Career Strike Rate2" dataDxfId="630">
      <calculatedColumnFormula>IFERROR(STANDARDIZE(machina[[#This Row],[Career Strike Rate]],B$30,B$31)^2," ")</calculatedColumnFormula>
    </tableColumn>
    <tableColumn id="4" xr3:uid="{00000000-0010-0000-0200-000004000000}" name="Career ROI" dataDxfId="629">
      <calculatedColumnFormula>IF(INDEX('Raw Data'!$A3:$EA3,MATCH(D$2,RawData[#Headers],))=""," ",INDEX('Raw Data'!$A3:$EA3,MATCH(D$2,RawData[#Headers],)))</calculatedColumnFormula>
    </tableColumn>
    <tableColumn id="5" xr3:uid="{00000000-0010-0000-0200-000005000000}" name="Career ROI2" dataDxfId="628">
      <calculatedColumnFormula>IFERROR(STANDARDIZE(machina[[#This Row],[Career ROI]],D$30,D$31)^2," ")</calculatedColumnFormula>
    </tableColumn>
    <tableColumn id="6" xr3:uid="{00000000-0010-0000-0200-000006000000}" name="Career Placings" dataDxfId="627">
      <calculatedColumnFormula>IF(INDEX('Raw Data'!$A3:$EA3,MATCH(F$2,RawData[#Headers],))=""," ",INDEX('Raw Data'!$A3:$EA3,MATCH(F$2,RawData[#Headers],)))</calculatedColumnFormula>
    </tableColumn>
    <tableColumn id="7" xr3:uid="{00000000-0010-0000-0200-000007000000}" name="Career Placings2" dataDxfId="626">
      <calculatedColumnFormula>IF(ISERROR(IF(F3=""," ",#REF!(F3,F$3:F$28,0)))," ",IF(F3=""," ",#REF!(F3,F$3:F$28,0)))</calculatedColumnFormula>
    </tableColumn>
    <tableColumn id="8" xr3:uid="{00000000-0010-0000-0200-000008000000}" name="Career Place Strike Rate" dataDxfId="625">
      <calculatedColumnFormula>IF(INDEX('Raw Data'!$A3:$EA3,MATCH(H$2,RawData[#Headers],))=""," ",INDEX('Raw Data'!$A3:$EA3,MATCH(H$2,RawData[#Headers],)))</calculatedColumnFormula>
    </tableColumn>
    <tableColumn id="9" xr3:uid="{00000000-0010-0000-0200-000009000000}" name="Career Place Strike Rate2" dataDxfId="624">
      <calculatedColumnFormula>IF(ISERROR(IF(H3=""," ",#REF!(H3,H$3:H$28,0)))," ",IF(H3=""," ",#REF!(H3,H$3:H$28,0)))</calculatedColumnFormula>
    </tableColumn>
    <tableColumn id="10" xr3:uid="{00000000-0010-0000-0200-00000A000000}" name="Average Prize Money" dataDxfId="623">
      <calculatedColumnFormula>IF(INDEX('Raw Data'!$A3:$EA3,MATCH(J$2,RawData[#Headers],))=""," ",INDEX('Raw Data'!$A3:$EA3,MATCH(J$2,RawData[#Headers],)))</calculatedColumnFormula>
    </tableColumn>
    <tableColumn id="11" xr3:uid="{00000000-0010-0000-0200-00000B000000}" name="Average Prize Money2" dataDxfId="622">
      <calculatedColumnFormula>IF(ISERROR(IF(J3=""," ",#REF!(J3,J$3:J$28,0)))," ",IF(J3=""," ",#REF!(J3,J$3:J$28,0)))</calculatedColumnFormula>
    </tableColumn>
    <tableColumn id="12" xr3:uid="{00000000-0010-0000-0200-00000C000000}" name="Best Fixed Odds" dataDxfId="621">
      <calculatedColumnFormula>IF(INDEX('Raw Data'!$A3:$EA3,MATCH(L$2,RawData[#Headers],))=""," ",INDEX('Raw Data'!$A3:$EA3,MATCH(L$2,RawData[#Headers],)))</calculatedColumnFormula>
    </tableColumn>
    <tableColumn id="13" xr3:uid="{00000000-0010-0000-0200-00000D000000}" name="Best Fixed Odds2" dataDxfId="620">
      <calculatedColumnFormula>IF(ISERROR(IF(L3=""," ",#REF!(L3,L$3:L$28,1)))," ",IF(L3=""," ",#REF!(L3,L$3:L$28,1)))</calculatedColumnFormula>
    </tableColumn>
    <tableColumn id="14" xr3:uid="{00000000-0010-0000-0200-00000E000000}" name="BetEasy Odds" dataDxfId="619">
      <calculatedColumnFormula>IF(INDEX('Raw Data'!$A3:$EA3,MATCH(N$2,RawData[#Headers],))=""," ",INDEX('Raw Data'!$A3:$EA3,MATCH(N$2,RawData[#Headers],)))</calculatedColumnFormula>
    </tableColumn>
    <tableColumn id="15" xr3:uid="{00000000-0010-0000-0200-00000F000000}" name="Best Fixed Odds3" dataDxfId="618">
      <calculatedColumnFormula>IF(ISERROR(IF(N3=""," ",#REF!(N3,N$3:N$28,1)))," ",IF(N3=""," ",#REF!(N3,N$3:N$28,1)))</calculatedColumnFormula>
    </tableColumn>
    <tableColumn id="16" xr3:uid="{00000000-0010-0000-0200-000010000000}" name="Weight" dataDxfId="617">
      <calculatedColumnFormula>IF(INDEX('Raw Data'!$A3:$EA3,MATCH(P$2,RawData[#Headers],))=""," ",INDEX('Raw Data'!$A3:$EA3,MATCH(P$2,RawData[#Headers],)))</calculatedColumnFormula>
    </tableColumn>
    <tableColumn id="17" xr3:uid="{00000000-0010-0000-0200-000011000000}" name="Weight2" dataDxfId="616">
      <calculatedColumnFormula>IF(ISERROR(IF(P3=""," ",#REF!(P3,P$3:P$28,1)))," ",IF(P3=""," ",#REF!(P3,P$3:P$28,1)))</calculatedColumnFormula>
    </tableColumn>
    <tableColumn id="18" xr3:uid="{00000000-0010-0000-0200-000012000000}" name="This Track Runs" dataDxfId="615">
      <calculatedColumnFormula>IF(INDEX('Raw Data'!$A3:$EA3,MATCH(R$2,RawData[#Headers],))=""," ",INDEX('Raw Data'!$A3:$EA3,MATCH(R$2,RawData[#Headers],)))</calculatedColumnFormula>
    </tableColumn>
    <tableColumn id="19" xr3:uid="{00000000-0010-0000-0200-000013000000}" name="This Track Runs2" dataDxfId="614">
      <calculatedColumnFormula>IF(ISERROR(IF(R3=""," ",#REF!(R3,R$3:R$28,0)))," ",IF(R3=""," ",#REF!(R3,R$3:R$28,0)))</calculatedColumnFormula>
    </tableColumn>
    <tableColumn id="20" xr3:uid="{00000000-0010-0000-0200-000014000000}" name="This Track Wins" dataDxfId="613">
      <calculatedColumnFormula>IF(INDEX('Raw Data'!$A3:$EA3,MATCH(T$2,RawData[#Headers],))=""," ",INDEX('Raw Data'!$A3:$EA3,MATCH(T$2,RawData[#Headers],)))</calculatedColumnFormula>
    </tableColumn>
    <tableColumn id="21" xr3:uid="{00000000-0010-0000-0200-000015000000}" name="This Track Wins2" dataDxfId="612">
      <calculatedColumnFormula>IF(ISERROR(IF(T3=""," ",#REF!(T3,T$3:T$28,0)))," ",IF(T3=""," ",#REF!(T3,T$3:T$28,0)))</calculatedColumnFormula>
    </tableColumn>
    <tableColumn id="22" xr3:uid="{00000000-0010-0000-0200-000016000000}" name="This Track Strike Rate" dataDxfId="611">
      <calculatedColumnFormula>IF(INDEX('Raw Data'!$A3:$EA3,MATCH(V$2,RawData[#Headers],))=""," ",INDEX('Raw Data'!$A3:$EA3,MATCH(V$2,RawData[#Headers],)))</calculatedColumnFormula>
    </tableColumn>
    <tableColumn id="23" xr3:uid="{00000000-0010-0000-0200-000017000000}" name="This Track Strike Rate2" dataDxfId="610">
      <calculatedColumnFormula>IF(ISERROR(IF(V3=""," ",#REF!(V3,V$3:V$28,0)))," ",IF(V3=""," ",#REF!(V3,V$3:V$28,0)))</calculatedColumnFormula>
    </tableColumn>
    <tableColumn id="24" xr3:uid="{00000000-0010-0000-0200-000018000000}" name="This Track ROI" dataDxfId="609">
      <calculatedColumnFormula>IF(INDEX('Raw Data'!$A3:$EA3,MATCH(X$2,RawData[#Headers],))=""," ",INDEX('Raw Data'!$A3:$EA3,MATCH(X$2,RawData[#Headers],)))</calculatedColumnFormula>
    </tableColumn>
    <tableColumn id="25" xr3:uid="{00000000-0010-0000-0200-000019000000}" name="This Track ROI2" dataDxfId="608">
      <calculatedColumnFormula>IF(ISERROR(IF(X3=""," ",#REF!(X3,X$3:X$28,0)))," ",IF(X3=""," ",#REF!(X3,X$3:X$28,0)))</calculatedColumnFormula>
    </tableColumn>
    <tableColumn id="26" xr3:uid="{00000000-0010-0000-0200-00001A000000}" name="This Track Places" dataDxfId="607">
      <calculatedColumnFormula>IF(INDEX('Raw Data'!$A3:$EA3,MATCH(Z$2,RawData[#Headers],))=""," ",INDEX('Raw Data'!$A3:$EA3,MATCH(Z$2,RawData[#Headers],)))</calculatedColumnFormula>
    </tableColumn>
    <tableColumn id="27" xr3:uid="{00000000-0010-0000-0200-00001B000000}" name="This Track Places2" dataDxfId="606">
      <calculatedColumnFormula>IF(ISERROR(IF(Z3=""," ",#REF!(Z3,Z$3:Z$28,0)))," ",IF(Z3=""," ",#REF!(Z3,Z$3:Z$28,0)))</calculatedColumnFormula>
    </tableColumn>
    <tableColumn id="28" xr3:uid="{00000000-0010-0000-0200-00001C000000}" name="This Track Place Strike Rate" dataDxfId="605">
      <calculatedColumnFormula>IF(INDEX('Raw Data'!$A3:$EA3,MATCH(AB$2,RawData[#Headers],))=""," ",INDEX('Raw Data'!$A3:$EA3,MATCH(AB$2,RawData[#Headers],)))</calculatedColumnFormula>
    </tableColumn>
    <tableColumn id="29" xr3:uid="{00000000-0010-0000-0200-00001D000000}" name="This Track Place Strike Rate2" dataDxfId="604">
      <calculatedColumnFormula>IF(ISERROR(IF(AB3=""," ",#REF!(AB3,AB$3:AB$28,0)))," ",IF(AB3=""," ",#REF!(AB3,AB$3:AB$28,0)))</calculatedColumnFormula>
    </tableColumn>
    <tableColumn id="30" xr3:uid="{00000000-0010-0000-0200-00001E000000}" name="This Distance Runs" dataDxfId="603">
      <calculatedColumnFormula>IF(INDEX('Raw Data'!$A3:$EA3,MATCH(AD$2,RawData[#Headers],))=""," ",INDEX('Raw Data'!$A3:$EA3,MATCH(AD$2,RawData[#Headers],)))</calculatedColumnFormula>
    </tableColumn>
    <tableColumn id="31" xr3:uid="{00000000-0010-0000-0200-00001F000000}" name="This Distance Runs2" dataDxfId="602">
      <calculatedColumnFormula>IF(ISERROR(IF(AD3=""," ",#REF!(AD3,AD$3:AD$28,0)))," ",IF(AD3=""," ",#REF!(AD3,AD$3:AD$28,0)))</calculatedColumnFormula>
    </tableColumn>
    <tableColumn id="32" xr3:uid="{00000000-0010-0000-0200-000020000000}" name="This Distance Wins" dataDxfId="601">
      <calculatedColumnFormula>IF(INDEX('Raw Data'!$A3:$EA3,MATCH(AF$2,RawData[#Headers],))=""," ",INDEX('Raw Data'!$A3:$EA3,MATCH(AF$2,RawData[#Headers],)))</calculatedColumnFormula>
    </tableColumn>
    <tableColumn id="33" xr3:uid="{00000000-0010-0000-0200-000021000000}" name="This Distance Wins2" dataDxfId="600">
      <calculatedColumnFormula>IF(ISERROR(IF(AF3=""," ",#REF!(AF3,AF$3:AF$28,0)))," ",IF(AF3=""," ",#REF!(AF3,AF$3:AF$28,0)))</calculatedColumnFormula>
    </tableColumn>
    <tableColumn id="34" xr3:uid="{00000000-0010-0000-0200-000022000000}" name="This Distance Strike Rate" dataDxfId="599">
      <calculatedColumnFormula>IF(INDEX('Raw Data'!$A3:$EA3,MATCH(AH$2,RawData[#Headers],))=""," ",INDEX('Raw Data'!$A3:$EA3,MATCH(AH$2,RawData[#Headers],)))</calculatedColumnFormula>
    </tableColumn>
    <tableColumn id="35" xr3:uid="{00000000-0010-0000-0200-000023000000}" name="This Distance Strike Rate2" dataDxfId="598">
      <calculatedColumnFormula>IF(ISERROR(IF(AH3=""," ",#REF!(AH3,AH$3:AH$28,0)))," ",IF(AH3=""," ",#REF!(AH3,AH$3:AH$28,0)))</calculatedColumnFormula>
    </tableColumn>
    <tableColumn id="36" xr3:uid="{00000000-0010-0000-0200-000024000000}" name="This Distance ROI" dataDxfId="597">
      <calculatedColumnFormula>IF(INDEX('Raw Data'!$A3:$EA3,MATCH(AJ$2,RawData[#Headers],))=""," ",INDEX('Raw Data'!$A3:$EA3,MATCH(AJ$2,RawData[#Headers],)))</calculatedColumnFormula>
    </tableColumn>
    <tableColumn id="37" xr3:uid="{00000000-0010-0000-0200-000025000000}" name="This Distance ROI2" dataDxfId="596">
      <calculatedColumnFormula>IF(ISERROR(IF(AJ3=""," ",#REF!(AJ3,AJ$3:AJ$28,0)))," ",IF(AJ3=""," ",#REF!(AJ3,AJ$3:AJ$28,0)))</calculatedColumnFormula>
    </tableColumn>
    <tableColumn id="38" xr3:uid="{00000000-0010-0000-0200-000026000000}" name="This Distance Places" dataDxfId="595">
      <calculatedColumnFormula>IF(INDEX('Raw Data'!$A3:$EA3,MATCH(AL$2,RawData[#Headers],))=""," ",INDEX('Raw Data'!$A3:$EA3,MATCH(AL$2,RawData[#Headers],)))</calculatedColumnFormula>
    </tableColumn>
    <tableColumn id="39" xr3:uid="{00000000-0010-0000-0200-000027000000}" name="This Distance Places2" dataDxfId="594">
      <calculatedColumnFormula>IF(ISERROR(IF(AL3=""," ",#REF!(AL3,AL$3:AL$28,0)))," ",IF(AL3=""," ",#REF!(AL3,AL$3:AL$28,0)))</calculatedColumnFormula>
    </tableColumn>
    <tableColumn id="40" xr3:uid="{00000000-0010-0000-0200-000028000000}" name="This Distance Place Strike Rate" dataDxfId="593">
      <calculatedColumnFormula>IF(INDEX('Raw Data'!$A3:$EA3,MATCH(AN$2,RawData[#Headers],))=""," ",INDEX('Raw Data'!$A3:$EA3,MATCH(AN$2,RawData[#Headers],)))</calculatedColumnFormula>
    </tableColumn>
    <tableColumn id="41" xr3:uid="{00000000-0010-0000-0200-000029000000}" name="This Distance Place Strike Rate2" dataDxfId="592">
      <calculatedColumnFormula>IF(ISERROR(IF(AN3=""," ",#REF!(AN3,AN$3:AN$28,0)))," ",IF(AN3=""," ",#REF!(AN3,AN$3:AN$28,0)))</calculatedColumnFormula>
    </tableColumn>
    <tableColumn id="42" xr3:uid="{00000000-0010-0000-0200-00002A000000}" name="This Track Distance Runs" dataDxfId="591">
      <calculatedColumnFormula>IF(INDEX('Raw Data'!$A3:$EA3,MATCH(AP$2,RawData[#Headers],))=""," ",INDEX('Raw Data'!$A3:$EA3,MATCH(AP$2,RawData[#Headers],)))</calculatedColumnFormula>
    </tableColumn>
    <tableColumn id="43" xr3:uid="{00000000-0010-0000-0200-00002B000000}" name="This Track Distance Runs2" dataDxfId="590">
      <calculatedColumnFormula>IF(ISERROR(IF(AP3=""," ",#REF!(AP3,AP$3:AP$28,0)))," ",IF(AP3=""," ",#REF!(AP3,AP$3:AP$28,0)))</calculatedColumnFormula>
    </tableColumn>
    <tableColumn id="44" xr3:uid="{00000000-0010-0000-0200-00002C000000}" name="This Track Distance Wins" dataDxfId="589">
      <calculatedColumnFormula>IF(INDEX('Raw Data'!$A3:$EA3,MATCH(AR$2,RawData[#Headers],))=""," ",INDEX('Raw Data'!$A3:$EA3,MATCH(AR$2,RawData[#Headers],)))</calculatedColumnFormula>
    </tableColumn>
    <tableColumn id="45" xr3:uid="{00000000-0010-0000-0200-00002D000000}" name="This Track Distance Wins2" dataDxfId="588">
      <calculatedColumnFormula>IF(ISERROR(IF(AR3=""," ",#REF!(AR3,AR$3:AR$28,0)))," ",IF(AR3=""," ",#REF!(AR3,AR$3:AR$28,0)))</calculatedColumnFormula>
    </tableColumn>
    <tableColumn id="46" xr3:uid="{00000000-0010-0000-0200-00002E000000}" name="This Track Distance Strike Rate" dataDxfId="587">
      <calculatedColumnFormula>IF(INDEX('Raw Data'!$A3:$EA3,MATCH(AT$2,RawData[#Headers],))=""," ",INDEX('Raw Data'!$A3:$EA3,MATCH(AT$2,RawData[#Headers],)))</calculatedColumnFormula>
    </tableColumn>
    <tableColumn id="47" xr3:uid="{00000000-0010-0000-0200-00002F000000}" name="This Track Distance Strike Rate2" dataDxfId="586">
      <calculatedColumnFormula>IF(ISERROR(IF(AT3=""," ",#REF!(AT3,AT$3:AT$28,0)))," ",IF(AT3=""," ",#REF!(AT3,AT$3:AT$28,0)))</calculatedColumnFormula>
    </tableColumn>
    <tableColumn id="48" xr3:uid="{00000000-0010-0000-0200-000030000000}" name="This Track Distance ROI" dataDxfId="585">
      <calculatedColumnFormula>IF(INDEX('Raw Data'!$A3:$EA3,MATCH(AV$2,RawData[#Headers],))=""," ",INDEX('Raw Data'!$A3:$EA3,MATCH(AV$2,RawData[#Headers],)))</calculatedColumnFormula>
    </tableColumn>
    <tableColumn id="49" xr3:uid="{00000000-0010-0000-0200-000031000000}" name="This Track Distance ROI2" dataDxfId="584">
      <calculatedColumnFormula>IF(ISERROR(IF(AV3=""," ",#REF!(AV3,AV$3:AV$28,0)))," ",IF(AV3=""," ",#REF!(AV3,AV$3:AV$28,0)))</calculatedColumnFormula>
    </tableColumn>
    <tableColumn id="50" xr3:uid="{00000000-0010-0000-0200-000032000000}" name="This Track Distance Places" dataDxfId="583">
      <calculatedColumnFormula>IF(INDEX('Raw Data'!$A3:$EA3,MATCH(AX$2,RawData[#Headers],))=""," ",INDEX('Raw Data'!$A3:$EA3,MATCH(AX$2,RawData[#Headers],)))</calculatedColumnFormula>
    </tableColumn>
    <tableColumn id="51" xr3:uid="{00000000-0010-0000-0200-000033000000}" name="This Track Distance Places2" dataDxfId="582">
      <calculatedColumnFormula>IF(ISERROR(IF(AX3=""," ",#REF!(AX3,AX$3:AX$28,0)))," ",IF(AX3=""," ",#REF!(AX3,AX$3:AX$28,0)))</calculatedColumnFormula>
    </tableColumn>
    <tableColumn id="52" xr3:uid="{00000000-0010-0000-0200-000034000000}" name="This Track Distance Place Strike Rate" dataDxfId="581">
      <calculatedColumnFormula>IF(INDEX('Raw Data'!$A3:$EA3,MATCH(AZ$2,RawData[#Headers],))=""," ",INDEX('Raw Data'!$A3:$EA3,MATCH(AZ$2,RawData[#Headers],)))</calculatedColumnFormula>
    </tableColumn>
    <tableColumn id="53" xr3:uid="{00000000-0010-0000-0200-000035000000}" name="This Track Distance Place Strike Rate2" dataDxfId="580">
      <calculatedColumnFormula>IF(ISERROR(IF(AZ3=""," ",#REF!(AZ3,AZ$3:AZ$28,0)))," ",IF(AZ3=""," ",#REF!(AZ3,AZ$3:AZ$28,0)))</calculatedColumnFormula>
    </tableColumn>
    <tableColumn id="54" xr3:uid="{00000000-0010-0000-0200-000036000000}" name="This Condition Runs" dataDxfId="579">
      <calculatedColumnFormula>IF(INDEX('Raw Data'!$A3:$EA3,MATCH(BB$2,RawData[#Headers],))=""," ",INDEX('Raw Data'!$A3:$EA3,MATCH(BB$2,RawData[#Headers],)))</calculatedColumnFormula>
    </tableColumn>
    <tableColumn id="55" xr3:uid="{00000000-0010-0000-0200-000037000000}" name="This Condition Runs2" dataDxfId="578">
      <calculatedColumnFormula>IF(ISERROR(IF(BB3=""," ",#REF!(BB3,BB$3:BB$28,0)))," ",IF(BB3=""," ",#REF!(BB3,BB$3:BB$28,0)))</calculatedColumnFormula>
    </tableColumn>
    <tableColumn id="56" xr3:uid="{00000000-0010-0000-0200-000038000000}" name="This Condition Wins" dataDxfId="577">
      <calculatedColumnFormula>IF(INDEX('Raw Data'!$A3:$EA3,MATCH(BD$2,RawData[#Headers],))=""," ",INDEX('Raw Data'!$A3:$EA3,MATCH(BD$2,RawData[#Headers],)))</calculatedColumnFormula>
    </tableColumn>
    <tableColumn id="57" xr3:uid="{00000000-0010-0000-0200-000039000000}" name="This Condition Wins2" dataDxfId="576">
      <calculatedColumnFormula>IF(ISERROR(IF(BD3=""," ",#REF!(BD3,BD$3:BD$28,0)))," ",IF(BD3=""," ",#REF!(BD3,BD$3:BD$28,0)))</calculatedColumnFormula>
    </tableColumn>
    <tableColumn id="58" xr3:uid="{00000000-0010-0000-0200-00003A000000}" name="This Condition Strike Rate" dataDxfId="575">
      <calculatedColumnFormula>IF(INDEX('Raw Data'!$A3:$EA3,MATCH(BF$2,RawData[#Headers],))=""," ",INDEX('Raw Data'!$A3:$EA3,MATCH(BF$2,RawData[#Headers],)))</calculatedColumnFormula>
    </tableColumn>
    <tableColumn id="59" xr3:uid="{00000000-0010-0000-0200-00003B000000}" name="This Condition Strike Rate2" dataDxfId="574">
      <calculatedColumnFormula>IF(ISERROR(IF(BF3=""," ",#REF!(BF3,BF$3:BF$28,0)))," ",IF(BF3=""," ",#REF!(BF3,BF$3:BF$28,0)))</calculatedColumnFormula>
    </tableColumn>
    <tableColumn id="60" xr3:uid="{00000000-0010-0000-0200-00003C000000}" name="This Condition ROI" dataDxfId="573">
      <calculatedColumnFormula>IF(INDEX('Raw Data'!$A3:$EA3,MATCH(BH$2,RawData[#Headers],))=""," ",INDEX('Raw Data'!$A3:$EA3,MATCH(BH$2,RawData[#Headers],)))</calculatedColumnFormula>
    </tableColumn>
    <tableColumn id="61" xr3:uid="{00000000-0010-0000-0200-00003D000000}" name="This Condition ROI2" dataDxfId="572">
      <calculatedColumnFormula>IF(ISERROR(IF(BH3=""," ",#REF!(BH3,BH$3:BH$28,0)))," ",IF(BH3=""," ",#REF!(BH3,BH$3:BH$28,0)))</calculatedColumnFormula>
    </tableColumn>
    <tableColumn id="62" xr3:uid="{00000000-0010-0000-0200-00003E000000}" name="This Condition Places" dataDxfId="571">
      <calculatedColumnFormula>IF(INDEX('Raw Data'!$A3:$EA3,MATCH(BJ$2,RawData[#Headers],))=""," ",INDEX('Raw Data'!$A3:$EA3,MATCH(BJ$2,RawData[#Headers],)))</calculatedColumnFormula>
    </tableColumn>
    <tableColumn id="63" xr3:uid="{00000000-0010-0000-0200-00003F000000}" name="This Condition Places2" dataDxfId="570">
      <calculatedColumnFormula>IF(ISERROR(IF(BJ3=""," ",#REF!(BJ3,BJ$3:BJ$28,0)))," ",IF(BJ3=""," ",#REF!(BJ3,BJ$3:BJ$28,0)))</calculatedColumnFormula>
    </tableColumn>
    <tableColumn id="64" xr3:uid="{00000000-0010-0000-0200-000040000000}" name="This Condition Place Strike Rate" dataDxfId="569">
      <calculatedColumnFormula>IF(INDEX('Raw Data'!$A3:$EA3,MATCH(BL$2,RawData[#Headers],))=""," ",INDEX('Raw Data'!$A3:$EA3,MATCH(BL$2,RawData[#Headers],)))</calculatedColumnFormula>
    </tableColumn>
    <tableColumn id="65" xr3:uid="{00000000-0010-0000-0200-000041000000}" name="This Condition Place Strike Rate2" dataDxfId="568">
      <calculatedColumnFormula>IF(ISERROR(IF(BL3=""," ",#REF!(BL3,BL$3:BL$28,0)))," ",IF(BL3=""," ",#REF!(BL3,BL$3:BL$28,0)))</calculatedColumnFormula>
    </tableColumn>
    <tableColumn id="66" xr3:uid="{00000000-0010-0000-0200-000042000000}" name="Jockey Last 100 Avg Horse Earnings" dataDxfId="567">
      <calculatedColumnFormula>IF(INDEX('Raw Data'!$A3:$EA3,MATCH(BN$2,RawData[#Headers],))=""," ",INDEX('Raw Data'!$A3:$EA3,MATCH(BN$2,RawData[#Headers],)))</calculatedColumnFormula>
    </tableColumn>
    <tableColumn id="67" xr3:uid="{00000000-0010-0000-0200-000043000000}" name="Jockey Last 100 Avg Horse Earnings2" dataDxfId="566">
      <calculatedColumnFormula>IF(ISERROR(IF(BN3=""," ",#REF!(BN3,BN$3:BN$28,0)))," ",IF(BN3=""," ",#REF!(BN3,BN$3:BN$28,0)))</calculatedColumnFormula>
    </tableColumn>
    <tableColumn id="68" xr3:uid="{00000000-0010-0000-0200-000044000000}" name="Jockey Last 100 Starts" dataDxfId="565">
      <calculatedColumnFormula>IF(INDEX('Raw Data'!$A3:$EA3,MATCH(BP$2,RawData[#Headers],))=""," ",INDEX('Raw Data'!$A3:$EA3,MATCH(BP$2,RawData[#Headers],)))</calculatedColumnFormula>
    </tableColumn>
    <tableColumn id="69" xr3:uid="{00000000-0010-0000-0200-000045000000}" name="Jockey Last 100 Starts2" dataDxfId="564">
      <calculatedColumnFormula>IF(ISERROR(IF(BP3=""," ",#REF!(BP3,BP$3:BP$28,0)))," ",IF(BP3=""," ",#REF!(BP3,BP$3:BP$28,0)))</calculatedColumnFormula>
    </tableColumn>
    <tableColumn id="70" xr3:uid="{00000000-0010-0000-0200-000046000000}" name="Jockey Last 100 Wins" dataDxfId="563">
      <calculatedColumnFormula>IF(INDEX('Raw Data'!$A3:$EA3,MATCH(BR$2,RawData[#Headers],))=""," ",INDEX('Raw Data'!$A3:$EA3,MATCH(BR$2,RawData[#Headers],)))</calculatedColumnFormula>
    </tableColumn>
    <tableColumn id="71" xr3:uid="{00000000-0010-0000-0200-000047000000}" name="Jockey Last 100 Wins2" dataDxfId="562">
      <calculatedColumnFormula>IF(ISERROR(IF(BR3=""," ",#REF!(BR3,BR$3:BR$28,0)))," ",IF(BR3=""," ",#REF!(BR3,BR$3:BR$28,0)))</calculatedColumnFormula>
    </tableColumn>
    <tableColumn id="72" xr3:uid="{00000000-0010-0000-0200-000048000000}" name="Jockey Last 100 Strike Rate" dataDxfId="561">
      <calculatedColumnFormula>IF(INDEX('Raw Data'!$A3:$EA3,MATCH(BT$2,RawData[#Headers],))=""," ",INDEX('Raw Data'!$A3:$EA3,MATCH(BT$2,RawData[#Headers],)))</calculatedColumnFormula>
    </tableColumn>
    <tableColumn id="73" xr3:uid="{00000000-0010-0000-0200-000049000000}" name="Jockey Last 100 Strike Rate2" dataDxfId="560">
      <calculatedColumnFormula>IF(ISERROR(IF(BT3=""," ",#REF!(BT3,BT$3:BT$28,0)))," ",IF(BT3=""," ",#REF!(BT3,BT$3:BT$28,0)))</calculatedColumnFormula>
    </tableColumn>
    <tableColumn id="74" xr3:uid="{00000000-0010-0000-0200-00004A000000}" name="Jockey Last 100 ROI" dataDxfId="559">
      <calculatedColumnFormula>IF(INDEX('Raw Data'!$A3:$EA3,MATCH(BV$2,RawData[#Headers],))=""," ",INDEX('Raw Data'!$A3:$EA3,MATCH(BV$2,RawData[#Headers],)))</calculatedColumnFormula>
    </tableColumn>
    <tableColumn id="75" xr3:uid="{00000000-0010-0000-0200-00004B000000}" name="Jockey Last 100 ROI2" dataDxfId="558">
      <calculatedColumnFormula>IF(ISERROR(IF(BV3=""," ",#REF!(BV3,BV$3:BV$28,0)))," ",IF(BV3=""," ",#REF!(BV3,BV$3:BV$28,0)))</calculatedColumnFormula>
    </tableColumn>
    <tableColumn id="76" xr3:uid="{00000000-0010-0000-0200-00004C000000}" name="Jockey Last 100 Places" dataDxfId="557">
      <calculatedColumnFormula>IF(INDEX('Raw Data'!$A3:$EA3,MATCH(BX$2,RawData[#Headers],))=""," ",INDEX('Raw Data'!$A3:$EA3,MATCH(BX$2,RawData[#Headers],)))</calculatedColumnFormula>
    </tableColumn>
    <tableColumn id="77" xr3:uid="{00000000-0010-0000-0200-00004D000000}" name="Jockey Last 100 Places2" dataDxfId="556">
      <calculatedColumnFormula>IF(ISERROR(IF(BX3=""," ",#REF!(BX3,BX$3:BX$28,0)))," ",IF(BX3=""," ",#REF!(BX3,BX$3:BX$28,0)))</calculatedColumnFormula>
    </tableColumn>
    <tableColumn id="78" xr3:uid="{00000000-0010-0000-0200-00004E000000}" name="Jockey Last 100 Place Strike Rate" dataDxfId="555">
      <calculatedColumnFormula>IF(INDEX('Raw Data'!$A3:$EA3,MATCH(BZ$2,RawData[#Headers],))=""," ",INDEX('Raw Data'!$A3:$EA3,MATCH(BZ$2,RawData[#Headers],)))</calculatedColumnFormula>
    </tableColumn>
    <tableColumn id="79" xr3:uid="{00000000-0010-0000-0200-00004F000000}" name="Jockey Last 100 Place Strike Rate2" dataDxfId="554">
      <calculatedColumnFormula>IF(ISERROR(IF(BZ3=""," ",#REF!(BZ3,BZ$3:BZ$28,0)))," ",IF(BZ3=""," ",#REF!(BZ3,BZ$3:BZ$28,0)))</calculatedColumnFormula>
    </tableColumn>
    <tableColumn id="80" xr3:uid="{00000000-0010-0000-0200-000050000000}" name="Jockey 12 Month Avg Horse Earnings" dataDxfId="553">
      <calculatedColumnFormula>IF(INDEX('Raw Data'!$A3:$EA3,MATCH(CB$2,RawData[#Headers],))=""," ",INDEX('Raw Data'!$A3:$EA3,MATCH(CB$2,RawData[#Headers],)))</calculatedColumnFormula>
    </tableColumn>
    <tableColumn id="81" xr3:uid="{00000000-0010-0000-0200-000051000000}" name="Jockey 12 Month Avg Horse Earnings2" dataDxfId="552">
      <calculatedColumnFormula>IF(ISERROR(IF(CB3=""," ",#REF!(CB3,CB$3:CB$28,0)))," ",IF(CB3=""," ",#REF!(CB3,CB$3:CB$28,0)))</calculatedColumnFormula>
    </tableColumn>
    <tableColumn id="82" xr3:uid="{00000000-0010-0000-0200-000052000000}" name="Jockey 12 Months Starts" dataDxfId="551">
      <calculatedColumnFormula>IF(INDEX('Raw Data'!$A3:$EA3,MATCH(CD$2,RawData[#Headers],))=""," ",INDEX('Raw Data'!$A3:$EA3,MATCH(CD$2,RawData[#Headers],)))</calculatedColumnFormula>
    </tableColumn>
    <tableColumn id="83" xr3:uid="{00000000-0010-0000-0200-000053000000}" name="Jockey 12 Months Starts2" dataDxfId="550">
      <calculatedColumnFormula>IF(ISERROR(IF(CD3=""," ",#REF!(CD3,CD$3:CD$28,0)))," ",IF(CD3=""," ",#REF!(CD3,CD$3:CD$28,0)))</calculatedColumnFormula>
    </tableColumn>
    <tableColumn id="84" xr3:uid="{00000000-0010-0000-0200-000054000000}" name="Jockey 12 Months Wins" dataDxfId="549">
      <calculatedColumnFormula>IF(INDEX('Raw Data'!$A3:$EA3,MATCH(CF$2,RawData[#Headers],))=""," ",INDEX('Raw Data'!$A3:$EA3,MATCH(CF$2,RawData[#Headers],)))</calculatedColumnFormula>
    </tableColumn>
    <tableColumn id="85" xr3:uid="{00000000-0010-0000-0200-000055000000}" name="Jockey 12 Months Wins2" dataDxfId="548">
      <calculatedColumnFormula>IF(ISERROR(IF(CF3=""," ",#REF!(CF3,CF$3:CF$28,0)))," ",IF(CF3=""," ",#REF!(CF3,CF$3:CF$28,0)))</calculatedColumnFormula>
    </tableColumn>
    <tableColumn id="86" xr3:uid="{00000000-0010-0000-0200-000056000000}" name="Jockey 12 Months Strike Rate" dataDxfId="547">
      <calculatedColumnFormula>IF(INDEX('Raw Data'!$A3:$EA3,MATCH(CH$2,RawData[#Headers],))=""," ",INDEX('Raw Data'!$A3:$EA3,MATCH(CH$2,RawData[#Headers],)))</calculatedColumnFormula>
    </tableColumn>
    <tableColumn id="87" xr3:uid="{00000000-0010-0000-0200-000057000000}" name="Jockey 12 Months Strike Rate2" dataDxfId="546">
      <calculatedColumnFormula>IF(ISERROR(IF(CH3=""," ",#REF!(CH3,CH$3:CH$28,0)))," ",IF(CH3=""," ",#REF!(CH3,CH$3:CH$28,0)))</calculatedColumnFormula>
    </tableColumn>
    <tableColumn id="88" xr3:uid="{00000000-0010-0000-0200-000058000000}" name="Jockey 12 Months ROI" dataDxfId="545">
      <calculatedColumnFormula>IF(INDEX('Raw Data'!$A3:$EA3,MATCH(CJ$2,RawData[#Headers],))=""," ",INDEX('Raw Data'!$A3:$EA3,MATCH(CJ$2,RawData[#Headers],)))</calculatedColumnFormula>
    </tableColumn>
    <tableColumn id="89" xr3:uid="{00000000-0010-0000-0200-000059000000}" name="Jockey 12 Months ROI2" dataDxfId="544">
      <calculatedColumnFormula>IF(ISERROR(IF(CJ3=""," ",#REF!(CJ3,CJ$3:CJ$28,0)))," ",IF(CJ3=""," ",#REF!(CJ3,CJ$3:CJ$28,0)))</calculatedColumnFormula>
    </tableColumn>
    <tableColumn id="90" xr3:uid="{00000000-0010-0000-0200-00005A000000}" name="Jockey 12 Months Places" dataDxfId="543">
      <calculatedColumnFormula>IF(INDEX('Raw Data'!$A3:$EA3,MATCH(CL$2,RawData[#Headers],))=""," ",INDEX('Raw Data'!$A3:$EA3,MATCH(CL$2,RawData[#Headers],)))</calculatedColumnFormula>
    </tableColumn>
    <tableColumn id="91" xr3:uid="{00000000-0010-0000-0200-00005B000000}" name="Jockey 12 Months Places2" dataDxfId="542">
      <calculatedColumnFormula>IF(ISERROR(IF(CL3=""," ",#REF!(CL3,CL$3:CL$28,0)))," ",IF(CL3=""," ",#REF!(CL3,CL$3:CL$28,0)))</calculatedColumnFormula>
    </tableColumn>
    <tableColumn id="92" xr3:uid="{00000000-0010-0000-0200-00005C000000}" name="Jockey 12 Months Place Strike Rate" dataDxfId="541">
      <calculatedColumnFormula>IF(INDEX('Raw Data'!$A3:$EA3,MATCH(CN$2,RawData[#Headers],))=""," ",INDEX('Raw Data'!$A3:$EA3,MATCH(CN$2,RawData[#Headers],)))</calculatedColumnFormula>
    </tableColumn>
    <tableColumn id="93" xr3:uid="{00000000-0010-0000-0200-00005D000000}" name="Jockey 12 Months Place Strike Rate2" dataDxfId="540">
      <calculatedColumnFormula>IF(ISERROR(IF(CN3=""," ",#REF!(CN3,CN$3:CN$28,0)))," ",IF(CN3=""," ",#REF!(CN3,CN$3:CN$28,0)))</calculatedColumnFormula>
    </tableColumn>
    <tableColumn id="94" xr3:uid="{00000000-0010-0000-0200-00005E000000}" name="Jockey This Season Avg Horse Earnings" dataDxfId="539">
      <calculatedColumnFormula>IF(INDEX('Raw Data'!$A3:$EA3,MATCH(CP$2,RawData[#Headers],))=""," ",INDEX('Raw Data'!$A3:$EA3,MATCH(CP$2,RawData[#Headers],)))</calculatedColumnFormula>
    </tableColumn>
    <tableColumn id="95" xr3:uid="{00000000-0010-0000-0200-00005F000000}" name="Jockey This Season Avg Horse Earnings2" dataDxfId="538">
      <calculatedColumnFormula>IF(ISERROR(IF(CP3=""," ",#REF!(CP3,CP$3:CP$28,0)))," ",IF(CP3=""," ",#REF!(CP3,CP$3:CP$28,0)))</calculatedColumnFormula>
    </tableColumn>
    <tableColumn id="96" xr3:uid="{00000000-0010-0000-0200-000060000000}" name="Jockey This Season Starts" dataDxfId="537">
      <calculatedColumnFormula>IF(INDEX('Raw Data'!$A3:$EA3,MATCH(CR$2,RawData[#Headers],))=""," ",INDEX('Raw Data'!$A3:$EA3,MATCH(CR$2,RawData[#Headers],)))</calculatedColumnFormula>
    </tableColumn>
    <tableColumn id="97" xr3:uid="{00000000-0010-0000-0200-000061000000}" name="Jockey This Season Starts2" dataDxfId="536">
      <calculatedColumnFormula>IF(ISERROR(IF(CR3=""," ",#REF!(CR3,CR$3:CR$28,0)))," ",IF(CR3=""," ",#REF!(CR3,CR$3:CR$28,0)))</calculatedColumnFormula>
    </tableColumn>
    <tableColumn id="98" xr3:uid="{00000000-0010-0000-0200-000062000000}" name="Jockey This Season Wins" dataDxfId="535">
      <calculatedColumnFormula>IF(INDEX('Raw Data'!$A3:$EA3,MATCH(CT$2,RawData[#Headers],))=""," ",INDEX('Raw Data'!$A3:$EA3,MATCH(CT$2,RawData[#Headers],)))</calculatedColumnFormula>
    </tableColumn>
    <tableColumn id="99" xr3:uid="{00000000-0010-0000-0200-000063000000}" name="Jockey This Season Wins2" dataDxfId="534">
      <calculatedColumnFormula>IF(ISERROR(IF(CT3=""," ",#REF!(CT3,CT$3:CT$28,0)))," ",IF(CT3=""," ",#REF!(CT3,CT$3:CT$28,0)))</calculatedColumnFormula>
    </tableColumn>
    <tableColumn id="100" xr3:uid="{00000000-0010-0000-0200-000064000000}" name="Jockey This Season Strike Rate" dataDxfId="533">
      <calculatedColumnFormula>IF(INDEX('Raw Data'!$A3:$EA3,MATCH(CV$2,RawData[#Headers],))=""," ",INDEX('Raw Data'!$A3:$EA3,MATCH(CV$2,RawData[#Headers],)))</calculatedColumnFormula>
    </tableColumn>
    <tableColumn id="101" xr3:uid="{00000000-0010-0000-0200-000065000000}" name="Jockey This Season Strike Rate2" dataDxfId="532">
      <calculatedColumnFormula>IF(ISERROR(IF(CV3=""," ",#REF!(CV3,CV$3:CV$28,0)))," ",IF(CV3=""," ",#REF!(CV3,CV$3:CV$28,0)))</calculatedColumnFormula>
    </tableColumn>
    <tableColumn id="102" xr3:uid="{00000000-0010-0000-0200-000066000000}" name="Jockey This Season ROI" dataDxfId="531">
      <calculatedColumnFormula>IF(INDEX('Raw Data'!$A3:$EA3,MATCH(CX$2,RawData[#Headers],))=""," ",INDEX('Raw Data'!$A3:$EA3,MATCH(CX$2,RawData[#Headers],)))</calculatedColumnFormula>
    </tableColumn>
    <tableColumn id="103" xr3:uid="{00000000-0010-0000-0200-000067000000}" name="Jockey This Season ROI2" dataDxfId="530">
      <calculatedColumnFormula>IF(ISERROR(IF(CX3=""," ",#REF!(CX3,CX$3:CX$28,0)))," ",IF(CX3=""," ",#REF!(CX3,CX$3:CX$28,0)))</calculatedColumnFormula>
    </tableColumn>
    <tableColumn id="104" xr3:uid="{00000000-0010-0000-0200-000068000000}" name="Jockey This Season Places" dataDxfId="529">
      <calculatedColumnFormula>IF(INDEX('Raw Data'!$A3:$EA3,MATCH(CZ$2,RawData[#Headers],))=""," ",INDEX('Raw Data'!$A3:$EA3,MATCH(CZ$2,RawData[#Headers],)))</calculatedColumnFormula>
    </tableColumn>
    <tableColumn id="105" xr3:uid="{00000000-0010-0000-0200-000069000000}" name="Jockey This Season Places2" dataDxfId="528">
      <calculatedColumnFormula>IF(ISERROR(IF(CZ3=""," ",#REF!(CZ3,CZ$3:CZ$28,0)))," ",IF(CZ3=""," ",#REF!(CZ3,CZ$3:CZ$28,0)))</calculatedColumnFormula>
    </tableColumn>
    <tableColumn id="106" xr3:uid="{00000000-0010-0000-0200-00006A000000}" name="Jockey This Season Place Strike Rate" dataDxfId="527">
      <calculatedColumnFormula>IF(INDEX('Raw Data'!$A3:$EA3,MATCH(DB$2,RawData[#Headers],))=""," ",INDEX('Raw Data'!$A3:$EA3,MATCH(DB$2,RawData[#Headers],)))</calculatedColumnFormula>
    </tableColumn>
    <tableColumn id="107" xr3:uid="{00000000-0010-0000-0200-00006B000000}" name="Jockey This Season Place Strike Rate2" dataDxfId="526">
      <calculatedColumnFormula>IF(ISERROR(IF(DB3=""," ",#REF!(DB3,DB$3:DB$28,0)))," ",IF(DB3=""," ",#REF!(DB3,DB$3:DB$28,0)))</calculatedColumnFormula>
    </tableColumn>
    <tableColumn id="108" xr3:uid="{00000000-0010-0000-0200-00006C000000}" name="Trainer Last 100 Avg Horse Earnings" dataDxfId="525">
      <calculatedColumnFormula>IF(INDEX('Raw Data'!$A3:$EA3,MATCH(DD$2,RawData[#Headers],))=""," ",INDEX('Raw Data'!$A3:$EA3,MATCH(DD$2,RawData[#Headers],)))</calculatedColumnFormula>
    </tableColumn>
    <tableColumn id="109" xr3:uid="{00000000-0010-0000-0200-00006D000000}" name="Trainer Last 100 Avg Horse Earnings2" dataDxfId="524">
      <calculatedColumnFormula>IF(ISERROR(IF(DD3=""," ",#REF!(DD3,DD$3:DD$28,0)))," ",IF(DD3=""," ",#REF!(DD3,DD$3:DD$28,0)))</calculatedColumnFormula>
    </tableColumn>
    <tableColumn id="110" xr3:uid="{00000000-0010-0000-0200-00006E000000}" name="Trainer Last 100 Wins" dataDxfId="523">
      <calculatedColumnFormula>IF(INDEX('Raw Data'!$A3:$EA3,MATCH(DF$2,RawData[#Headers],))=""," ",INDEX('Raw Data'!$A3:$EA3,MATCH(DF$2,RawData[#Headers],)))</calculatedColumnFormula>
    </tableColumn>
    <tableColumn id="111" xr3:uid="{00000000-0010-0000-0200-00006F000000}" name="Trainer Last 100 Wins2" dataDxfId="522">
      <calculatedColumnFormula>IF(ISERROR(IF(DF3=""," ",#REF!(DF3,DF$3:DF$28,0)))," ",IF(DF3=""," ",#REF!(DF3,DF$3:DF$28,0)))</calculatedColumnFormula>
    </tableColumn>
    <tableColumn id="112" xr3:uid="{00000000-0010-0000-0200-000070000000}" name="Trainer Last 100 Strike Rate" dataDxfId="521">
      <calculatedColumnFormula>IF(INDEX('Raw Data'!$A3:$EA3,MATCH(DH$2,RawData[#Headers],))=""," ",INDEX('Raw Data'!$A3:$EA3,MATCH(DH$2,RawData[#Headers],)))</calculatedColumnFormula>
    </tableColumn>
    <tableColumn id="113" xr3:uid="{00000000-0010-0000-0200-000071000000}" name="Trainer Last 100 Strike Rate2" dataDxfId="520">
      <calculatedColumnFormula>IF(ISERROR(IF(DH3=""," ",#REF!(DH3,DH$3:DH$28,0)))," ",IF(DH3=""," ",#REF!(DH3,DH$3:DH$28,0)))</calculatedColumnFormula>
    </tableColumn>
    <tableColumn id="114" xr3:uid="{00000000-0010-0000-0200-000072000000}" name="Trainer Last 100 ROI" dataDxfId="519">
      <calculatedColumnFormula>IF(INDEX('Raw Data'!$A3:$EA3,MATCH(DJ$2,RawData[#Headers],))=""," ",INDEX('Raw Data'!$A3:$EA3,MATCH(DJ$2,RawData[#Headers],)))</calculatedColumnFormula>
    </tableColumn>
    <tableColumn id="115" xr3:uid="{00000000-0010-0000-0200-000073000000}" name="Trainer Last 100 ROI2" dataDxfId="518">
      <calculatedColumnFormula>IF(ISERROR(IF(DJ3=""," ",#REF!(DJ3,DJ$3:DJ$28,0)))," ",IF(DJ3=""," ",#REF!(DJ3,DJ$3:DJ$28,0)))</calculatedColumnFormula>
    </tableColumn>
    <tableColumn id="116" xr3:uid="{00000000-0010-0000-0200-000074000000}" name="Trainer Last 100 Places" dataDxfId="517">
      <calculatedColumnFormula>IF(INDEX('Raw Data'!$A3:$EA3,MATCH(DL$2,RawData[#Headers],))=""," ",INDEX('Raw Data'!$A3:$EA3,MATCH(DL$2,RawData[#Headers],)))</calculatedColumnFormula>
    </tableColumn>
    <tableColumn id="117" xr3:uid="{00000000-0010-0000-0200-000075000000}" name="Trainer Last 100 Places2" dataDxfId="516">
      <calculatedColumnFormula>IF(ISERROR(IF(DL3=""," ",#REF!(DL3,DL$3:DL$28,0)))," ",IF(DL3=""," ",#REF!(DL3,DL$3:DL$28,0)))</calculatedColumnFormula>
    </tableColumn>
    <tableColumn id="118" xr3:uid="{00000000-0010-0000-0200-000076000000}" name="Trainer Last 100 Place Strike Rate" dataDxfId="515">
      <calculatedColumnFormula>IF(INDEX('Raw Data'!$A3:$EA3,MATCH(DN$2,RawData[#Headers],))=""," ",INDEX('Raw Data'!$A3:$EA3,MATCH(DN$2,RawData[#Headers],)))</calculatedColumnFormula>
    </tableColumn>
    <tableColumn id="119" xr3:uid="{00000000-0010-0000-0200-000077000000}" name="Trainer Last 100 Place Strike Rate2" dataDxfId="514">
      <calculatedColumnFormula>IF(ISERROR(IF(DN3=""," ",#REF!(DN3,DN$3:DN$28,0)))," ",IF(DN3=""," ",#REF!(DN3,DN$3:DN$28,0)))</calculatedColumnFormula>
    </tableColumn>
    <tableColumn id="120" xr3:uid="{00000000-0010-0000-0200-000078000000}" name="Trainer 12 Month Avg Horse Earnings" dataDxfId="513">
      <calculatedColumnFormula>IF(INDEX('Raw Data'!$A3:$EA3,MATCH(DP$2,RawData[#Headers],))=""," ",INDEX('Raw Data'!$A3:$EA3,MATCH(DP$2,RawData[#Headers],)))</calculatedColumnFormula>
    </tableColumn>
    <tableColumn id="121" xr3:uid="{00000000-0010-0000-0200-000079000000}" name="Trainer 12 Month Avg Horse Earnings2" dataDxfId="512">
      <calculatedColumnFormula>IF(ISERROR(IF(DP3=""," ",#REF!(DP3,DP$3:DP$28,0)))," ",IF(DP3=""," ",#REF!(DP3,DP$3:DP$28,0)))</calculatedColumnFormula>
    </tableColumn>
    <tableColumn id="122" xr3:uid="{00000000-0010-0000-0200-00007A000000}" name="Trainer 12 Months Starts" dataDxfId="511">
      <calculatedColumnFormula>IF(INDEX('Raw Data'!$A3:$EA3,MATCH(DR$2,RawData[#Headers],))=""," ",INDEX('Raw Data'!$A3:$EA3,MATCH(DR$2,RawData[#Headers],)))</calculatedColumnFormula>
    </tableColumn>
    <tableColumn id="123" xr3:uid="{00000000-0010-0000-0200-00007B000000}" name="Trainer 12 Months Starts2" dataDxfId="510">
      <calculatedColumnFormula>IF(ISERROR(IF(DR3=""," ",#REF!(DR3,DR$3:DR$28,0)))," ",IF(DR3=""," ",#REF!(DR3,DR$3:DR$28,0)))</calculatedColumnFormula>
    </tableColumn>
    <tableColumn id="124" xr3:uid="{00000000-0010-0000-0200-00007C000000}" name="Trainer 12 Months Wins" dataDxfId="509">
      <calculatedColumnFormula>IF(INDEX('Raw Data'!$A3:$EA3,MATCH(DT$2,RawData[#Headers],))=""," ",INDEX('Raw Data'!$A3:$EA3,MATCH(DT$2,RawData[#Headers],)))</calculatedColumnFormula>
    </tableColumn>
    <tableColumn id="125" xr3:uid="{00000000-0010-0000-0200-00007D000000}" name="Trainer 12 Months Wins2" dataDxfId="508">
      <calculatedColumnFormula>IF(ISERROR(IF(DT3=""," ",#REF!(DT3,DT$3:DT$28,0)))," ",IF(DT3=""," ",#REF!(DT3,DT$3:DT$28,0)))</calculatedColumnFormula>
    </tableColumn>
    <tableColumn id="126" xr3:uid="{00000000-0010-0000-0200-00007E000000}" name="Trainer 12 Months Strike Rate" dataDxfId="507">
      <calculatedColumnFormula>IF(INDEX('Raw Data'!$A3:$EA3,MATCH(DV$2,RawData[#Headers],))=""," ",INDEX('Raw Data'!$A3:$EA3,MATCH(DV$2,RawData[#Headers],)))</calculatedColumnFormula>
    </tableColumn>
    <tableColumn id="127" xr3:uid="{00000000-0010-0000-0200-00007F000000}" name="Trainer 12 Months Strike Rate2" dataDxfId="506">
      <calculatedColumnFormula>IF(ISERROR(IF(DV3=""," ",#REF!(DV3,DV$3:DV$28,0)))," ",IF(DV3=""," ",#REF!(DV3,DV$3:DV$28,0)))</calculatedColumnFormula>
    </tableColumn>
    <tableColumn id="128" xr3:uid="{00000000-0010-0000-0200-000080000000}" name="Trainer 12 Months ROI" dataDxfId="505">
      <calculatedColumnFormula>IF(INDEX('Raw Data'!$A3:$EA3,MATCH(DX$2,RawData[#Headers],))=""," ",INDEX('Raw Data'!$A3:$EA3,MATCH(DX$2,RawData[#Headers],)))</calculatedColumnFormula>
    </tableColumn>
    <tableColumn id="129" xr3:uid="{00000000-0010-0000-0200-000081000000}" name="Trainer 12 Months ROI2" dataDxfId="504">
      <calculatedColumnFormula>IF(ISERROR(IF(DX3=""," ",#REF!(DX3,DX$3:DX$28,0)))," ",IF(DX3=""," ",#REF!(DX3,DX$3:DX$28,0)))</calculatedColumnFormula>
    </tableColumn>
    <tableColumn id="130" xr3:uid="{00000000-0010-0000-0200-000082000000}" name="Trainer 12 Months Places" dataDxfId="503">
      <calculatedColumnFormula>IF(INDEX('Raw Data'!$A3:$EA3,MATCH(DZ$2,RawData[#Headers],))=""," ",INDEX('Raw Data'!$A3:$EA3,MATCH(DZ$2,RawData[#Headers],)))</calculatedColumnFormula>
    </tableColumn>
    <tableColumn id="131" xr3:uid="{00000000-0010-0000-0200-000083000000}" name="Trainer 12 Months Places2" dataDxfId="502">
      <calculatedColumnFormula>IF(ISERROR(IF(DZ3=""," ",#REF!(DZ3,DZ$3:DZ$28,0)))," ",IF(DZ3=""," ",#REF!(DZ3,DZ$3:DZ$28,0)))</calculatedColumnFormula>
    </tableColumn>
    <tableColumn id="132" xr3:uid="{00000000-0010-0000-0200-000084000000}" name="Trainer 12 Months Place Strike Rate" dataDxfId="501">
      <calculatedColumnFormula>IF(INDEX('Raw Data'!$A3:$EA3,MATCH(EB$2,RawData[#Headers],))=""," ",INDEX('Raw Data'!$A3:$EA3,MATCH(EB$2,RawData[#Headers],)))</calculatedColumnFormula>
    </tableColumn>
    <tableColumn id="133" xr3:uid="{00000000-0010-0000-0200-000085000000}" name="Trainer 12 Months Place Strike Rate2" dataDxfId="500">
      <calculatedColumnFormula>IF(ISERROR(IF(EB3=""," ",#REF!(EB3,EB$3:EB$28,0)))," ",IF(EB3=""," ",#REF!(EB3,EB$3:EB$28,0)))</calculatedColumnFormula>
    </tableColumn>
    <tableColumn id="134" xr3:uid="{00000000-0010-0000-0200-000086000000}" name="Trainer This Season Avg Horse Earnings" dataDxfId="499">
      <calculatedColumnFormula>IF(INDEX('Raw Data'!$A3:$EA3,MATCH(ED$2,RawData[#Headers],))=""," ",INDEX('Raw Data'!$A3:$EA3,MATCH(ED$2,RawData[#Headers],)))</calculatedColumnFormula>
    </tableColumn>
    <tableColumn id="135" xr3:uid="{00000000-0010-0000-0200-000087000000}" name="Trainer This Season Avg Horse Earnings2" dataDxfId="498">
      <calculatedColumnFormula>IF(ISERROR(IF(ED3=""," ",#REF!(ED3,ED$3:ED$28,0)))," ",IF(ED3=""," ",#REF!(ED3,ED$3:ED$28,0)))</calculatedColumnFormula>
    </tableColumn>
    <tableColumn id="136" xr3:uid="{00000000-0010-0000-0200-000088000000}" name="Trainer This Season Starts" dataDxfId="497">
      <calculatedColumnFormula>IF(INDEX('Raw Data'!$A3:$EA3,MATCH(EF$2,RawData[#Headers],))=""," ",INDEX('Raw Data'!$A3:$EA3,MATCH(EF$2,RawData[#Headers],)))</calculatedColumnFormula>
    </tableColumn>
    <tableColumn id="137" xr3:uid="{00000000-0010-0000-0200-000089000000}" name="Trainer This Season Starts2" dataDxfId="496">
      <calculatedColumnFormula>IF(ISERROR(IF(EF3=""," ",#REF!(EF3,EF$3:EF$28,0)))," ",IF(EF3=""," ",#REF!(EF3,EF$3:EF$28,0)))</calculatedColumnFormula>
    </tableColumn>
    <tableColumn id="138" xr3:uid="{00000000-0010-0000-0200-00008A000000}" name="Trainer This Season Wins" dataDxfId="495">
      <calculatedColumnFormula>IF(INDEX('Raw Data'!$A3:$EA3,MATCH(EH$2,RawData[#Headers],))=""," ",INDEX('Raw Data'!$A3:$EA3,MATCH(EH$2,RawData[#Headers],)))</calculatedColumnFormula>
    </tableColumn>
    <tableColumn id="139" xr3:uid="{00000000-0010-0000-0200-00008B000000}" name="Trainer This Season Wins2" dataDxfId="494">
      <calculatedColumnFormula>IF(ISERROR(IF(EH3=""," ",#REF!(EH3,EH$3:EH$28,0)))," ",IF(EH3=""," ",#REF!(EH3,EH$3:EH$28,0)))</calculatedColumnFormula>
    </tableColumn>
    <tableColumn id="140" xr3:uid="{00000000-0010-0000-0200-00008C000000}" name="Trainer This Season Strike Rate" dataDxfId="493">
      <calculatedColumnFormula>IF(INDEX('Raw Data'!$A3:$EA3,MATCH(EJ$2,RawData[#Headers],))=""," ",INDEX('Raw Data'!$A3:$EA3,MATCH(EJ$2,RawData[#Headers],)))</calculatedColumnFormula>
    </tableColumn>
    <tableColumn id="141" xr3:uid="{00000000-0010-0000-0200-00008D000000}" name="Trainer This Season Strike Rate2" dataDxfId="492">
      <calculatedColumnFormula>IF(ISERROR(IF(EJ3=""," ",#REF!(EJ3,EJ$3:EJ$28,0)))," ",IF(EJ3=""," ",#REF!(EJ3,EJ$3:EJ$28,0)))</calculatedColumnFormula>
    </tableColumn>
    <tableColumn id="142" xr3:uid="{00000000-0010-0000-0200-00008E000000}" name="Trainer This Season ROI" dataDxfId="491">
      <calculatedColumnFormula>IF(INDEX('Raw Data'!$A3:$EA3,MATCH(EL$2,RawData[#Headers],))=""," ",INDEX('Raw Data'!$A3:$EA3,MATCH(EL$2,RawData[#Headers],)))</calculatedColumnFormula>
    </tableColumn>
    <tableColumn id="143" xr3:uid="{00000000-0010-0000-0200-00008F000000}" name="Trainer This Season ROI2" dataDxfId="490">
      <calculatedColumnFormula>IF(ISERROR(IF(EL3=""," ",#REF!(EL3,EL$3:EL$28,0)))," ",IF(EL3=""," ",#REF!(EL3,EL$3:EL$28,0)))</calculatedColumnFormula>
    </tableColumn>
    <tableColumn id="144" xr3:uid="{00000000-0010-0000-0200-000090000000}" name="Trainer This Season Places" dataDxfId="489">
      <calculatedColumnFormula>IF(INDEX('Raw Data'!$A3:$EA3,MATCH(EN$2,RawData[#Headers],))=""," ",INDEX('Raw Data'!$A3:$EA3,MATCH(EN$2,RawData[#Headers],)))</calculatedColumnFormula>
    </tableColumn>
    <tableColumn id="145" xr3:uid="{00000000-0010-0000-0200-000091000000}" name="Trainer This Season Places2" dataDxfId="488">
      <calculatedColumnFormula>IF(ISERROR(IF(EN3=""," ",#REF!(EN3,EN$3:EN$28,0)))," ",IF(EN3=""," ",#REF!(EN3,EN$3:EN$28,0)))</calculatedColumnFormula>
    </tableColumn>
    <tableColumn id="146" xr3:uid="{00000000-0010-0000-0200-000092000000}" name="Trainer This Season Place Strike Rate" dataDxfId="487">
      <calculatedColumnFormula>IF(INDEX('Raw Data'!$A3:$EA3,MATCH(EP$2,RawData[#Headers],))=""," ",INDEX('Raw Data'!$A3:$EA3,MATCH(EP$2,RawData[#Headers],)))</calculatedColumnFormula>
    </tableColumn>
    <tableColumn id="147" xr3:uid="{00000000-0010-0000-0200-000093000000}" name="Trainer This Season Place Strike Rate2" dataDxfId="486">
      <calculatedColumnFormula>IF(ISERROR(IF(EP3=""," ",#REF!(EP3,EP$3:EP$28,0)))," ",IF(EP3=""," ",#REF!(EP3,EP$3:EP$28,0)))</calculatedColumnFormula>
    </tableColumn>
    <tableColumn id="148" xr3:uid="{00000000-0010-0000-0200-000094000000}" name="Last Start Finish Position" dataDxfId="485">
      <calculatedColumnFormula>IF(INDEX('Raw Data'!$A3:$EA3,MATCH(ER$2,RawData[#Headers],))=""," ",INDEX('Raw Data'!$A3:$EA3,MATCH(ER$2,RawData[#Headers],)))</calculatedColumnFormula>
    </tableColumn>
    <tableColumn id="149" xr3:uid="{00000000-0010-0000-0200-000095000000}" name="Last Start Finish Position2" dataDxfId="484">
      <calculatedColumnFormula>IF(ISERROR(IF(ER3=""," ",RANK(ER3,ER$3:ER$28,1)))," ",IF(ER3=""," ",RANK(ER3,ER$3:ER$28,1)))</calculatedColumnFormula>
    </tableColumn>
    <tableColumn id="150" xr3:uid="{00000000-0010-0000-0200-000096000000}" name="Last Start Margin" dataDxfId="483">
      <calculatedColumnFormula>IF(INDEX('Raw Data'!$A3:$EA3,MATCH(ET$2,RawData[#Headers],))=""," ",INDEX('Raw Data'!$A3:$EA3,MATCH(ET$2,RawData[#Headers],)))</calculatedColumnFormula>
    </tableColumn>
    <tableColumn id="151" xr3:uid="{00000000-0010-0000-0200-000097000000}" name="Last Start Margin2" dataDxfId="482">
      <calculatedColumnFormula>IF(ISERROR(IF(ET3=""," ",RANK(ET3,ET$3:ET$28,1)))," ",IF(ET3=""," ",RANK(ET3,ET$3:ET$28,1)))</calculatedColumnFormula>
    </tableColumn>
    <tableColumn id="152" xr3:uid="{00000000-0010-0000-0200-000098000000}" name="Last Start Distance Change" dataDxfId="481">
      <calculatedColumnFormula>IF(INDEX('Raw Data'!$A3:$EA3,MATCH(EV$2,RawData[#Headers],))=""," ",INDEX('Raw Data'!$A3:$EA3,MATCH(EV$2,RawData[#Headers],)))</calculatedColumnFormula>
    </tableColumn>
    <tableColumn id="153" xr3:uid="{00000000-0010-0000-0200-000099000000}" name="Last Start Distance Change2" dataDxfId="480">
      <calculatedColumnFormula>IF(ISERROR(IF(EV3=""," ",RANK(EV3,EV$3:EV$28,1)))," ",IF(EV3=""," ",RANK(EV3,EV$3:EV$28,1)))</calculatedColumnFormula>
    </tableColumn>
    <tableColumn id="154" xr3:uid="{00000000-0010-0000-0200-00009A000000}" name="Last Start Prize Money" dataDxfId="479">
      <calculatedColumnFormula>IF(INDEX('Raw Data'!$A3:$EA3,MATCH(EX$2,RawData[#Headers],))=""," ",INDEX('Raw Data'!$A3:$EA3,MATCH(EX$2,RawData[#Headers],)))</calculatedColumnFormula>
    </tableColumn>
    <tableColumn id="155" xr3:uid="{00000000-0010-0000-0200-00009B000000}" name="Last Start Prize Money2" dataDxfId="478">
      <calculatedColumnFormula>IF(ISERROR(IF(EX3=""," ",#REF!(EX3,EX$3:EX$28,0)))," ",IF(EX3=""," ",#REF!(EX3,EX$3:EX$28,0)))</calculatedColumnFormula>
    </tableColumn>
    <tableColumn id="157" xr3:uid="{00000000-0010-0000-0200-00009D000000}" name="Cohesion ROI" dataDxfId="477">
      <calculatedColumnFormula>IF(INDEX('Raw Data'!$A3:$EA3,MATCH(EZ$2,RawData[#Headers],))=""," ",INDEX('Raw Data'!$A3:$EA3,MATCH(EZ$2,RawData[#Headers],)))</calculatedColumnFormula>
    </tableColumn>
    <tableColumn id="158" xr3:uid="{00000000-0010-0000-0200-00009E000000}" name="Cohesion ROI2" dataDxfId="476">
      <calculatedColumnFormula>IF(ISERROR(IF(EZ3=""," ",RANK(EZ3,EZ$3:EZ$28,0)))," ",IF(EZ3=""," ",RANK(EZ3,EZ$3:EZ$28,0)))</calculatedColumnFormula>
    </tableColumn>
    <tableColumn id="156" xr3:uid="{00000000-0010-0000-0200-00009C000000}" name="Finish Result (Updates after race)2" dataDxfId="475">
      <calculatedColumnFormula>IF(INDEX('Raw Data'!$A3:$EA3,MATCH(FB$2,RawData[#Headers],))=""," ",INDEX('Raw Data'!$A3:$EA3,MATCH(FB$2,RawData[#Headers],)))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cluster" displayName="cluster" ref="A19:CB45" totalsRowShown="0" headerRowDxfId="444" dataDxfId="443" tableBorderDxfId="442">
  <autoFilter ref="A19:CB45" xr:uid="{00000000-0009-0000-0100-00000B000000}"/>
  <tableColumns count="80">
    <tableColumn id="1" xr3:uid="{00000000-0010-0000-0300-000001000000}" name="Num" dataDxfId="441">
      <calculatedColumnFormula>'Raw Data'!A3</calculatedColumnFormula>
    </tableColumn>
    <tableColumn id="2" xr3:uid="{00000000-0010-0000-0300-000002000000}" name="Career Strike Rate" dataDxfId="440">
      <calculatedColumnFormula>IF(INDEX(machina!$A3:$FB3,MATCH(B$19&amp;$C$17,machina[#Headers],))=""," ",INDEX(machina!$A3:$FB3,MATCH(B$19&amp;$C$17,machina[#Headers],)))</calculatedColumnFormula>
    </tableColumn>
    <tableColumn id="4" xr3:uid="{00000000-0010-0000-0300-000004000000}" name="Career ROI" dataDxfId="439">
      <calculatedColumnFormula>IF(INDEX(machina!$A3:$FB3,MATCH(C$19&amp;$C$17,machina[#Headers],))=""," ",INDEX(machina!$A3:$FB3,MATCH(C$19&amp;$C$17,machina[#Headers],)))</calculatedColumnFormula>
    </tableColumn>
    <tableColumn id="6" xr3:uid="{00000000-0010-0000-0300-000006000000}" name="Career Placings" dataDxfId="438">
      <calculatedColumnFormula>IF(INDEX(machina!$A3:$FB3,MATCH(D$19&amp;$C$17,machina[#Headers],))=""," ",INDEX(machina!$A3:$FB3,MATCH(D$19&amp;$C$17,machina[#Headers],)))</calculatedColumnFormula>
    </tableColumn>
    <tableColumn id="8" xr3:uid="{00000000-0010-0000-0300-000008000000}" name="Career Place Strike Rate" dataDxfId="437">
      <calculatedColumnFormula>IF(INDEX(machina!$A3:$FB3,MATCH(E$19&amp;$C$17,machina[#Headers],))=""," ",INDEX(machina!$A3:$FB3,MATCH(E$19&amp;$C$17,machina[#Headers],)))</calculatedColumnFormula>
    </tableColumn>
    <tableColumn id="10" xr3:uid="{00000000-0010-0000-0300-00000A000000}" name="Average Prize Money" dataDxfId="436">
      <calculatedColumnFormula>IF(INDEX(machina!$A3:$FB3,MATCH(F$19&amp;$C$17,machina[#Headers],))=""," ",INDEX(machina!$A3:$FB3,MATCH(F$19&amp;$C$17,machina[#Headers],)))</calculatedColumnFormula>
    </tableColumn>
    <tableColumn id="12" xr3:uid="{00000000-0010-0000-0300-00000C000000}" name="Best Fixed Odds" dataDxfId="435">
      <calculatedColumnFormula>IF(INDEX(machina!$A3:$FB3,MATCH(G$19&amp;$C$17,machina[#Headers],))=""," ",INDEX(machina!$A3:$FB3,MATCH(G$19&amp;$C$17,machina[#Headers],)))</calculatedColumnFormula>
    </tableColumn>
    <tableColumn id="14" xr3:uid="{00000000-0010-0000-0300-00000E000000}" name="BetEasy Odds" dataDxfId="434">
      <calculatedColumnFormula>IF(INDEX(machina!$A3:$FB3,MATCH(H$19&amp;$C$17,machina[#Headers],))=""," ",INDEX(machina!$A3:$FB3,MATCH(H$19&amp;$C$17,machina[#Headers],)))</calculatedColumnFormula>
    </tableColumn>
    <tableColumn id="16" xr3:uid="{00000000-0010-0000-0300-000010000000}" name="Weight" dataDxfId="433">
      <calculatedColumnFormula>IF(INDEX(machina!$A3:$FB3,MATCH(I$19&amp;$C$17,machina[#Headers],))=""," ",INDEX(machina!$A3:$FB3,MATCH(I$19&amp;$C$17,machina[#Headers],)))</calculatedColumnFormula>
    </tableColumn>
    <tableColumn id="18" xr3:uid="{00000000-0010-0000-0300-000012000000}" name="This Track Runs" dataDxfId="432">
      <calculatedColumnFormula>IF(INDEX(machina!$A3:$FB3,MATCH(J$19&amp;$C$17,machina[#Headers],))=""," ",INDEX(machina!$A3:$FB3,MATCH(J$19&amp;$C$17,machina[#Headers],)))</calculatedColumnFormula>
    </tableColumn>
    <tableColumn id="20" xr3:uid="{00000000-0010-0000-0300-000014000000}" name="This Track Wins" dataDxfId="431">
      <calculatedColumnFormula>IF(INDEX(machina!$A3:$FB3,MATCH(K$19&amp;$C$17,machina[#Headers],))=""," ",INDEX(machina!$A3:$FB3,MATCH(K$19&amp;$C$17,machina[#Headers],)))</calculatedColumnFormula>
    </tableColumn>
    <tableColumn id="22" xr3:uid="{00000000-0010-0000-0300-000016000000}" name="This Track Strike Rate" dataDxfId="430">
      <calculatedColumnFormula>IF(INDEX(machina!$A3:$FB3,MATCH(L$19&amp;$C$17,machina[#Headers],))=""," ",INDEX(machina!$A3:$FB3,MATCH(L$19&amp;$C$17,machina[#Headers],)))</calculatedColumnFormula>
    </tableColumn>
    <tableColumn id="24" xr3:uid="{00000000-0010-0000-0300-000018000000}" name="This Track ROI" dataDxfId="429">
      <calculatedColumnFormula>IF(INDEX(machina!$A3:$FB3,MATCH(M$19&amp;$C$17,machina[#Headers],))=""," ",INDEX(machina!$A3:$FB3,MATCH(M$19&amp;$C$17,machina[#Headers],)))</calculatedColumnFormula>
    </tableColumn>
    <tableColumn id="26" xr3:uid="{00000000-0010-0000-0300-00001A000000}" name="This Track Places" dataDxfId="428">
      <calculatedColumnFormula>IF(INDEX(machina!$A3:$FB3,MATCH(N$19&amp;$C$17,machina[#Headers],))=""," ",INDEX(machina!$A3:$FB3,MATCH(N$19&amp;$C$17,machina[#Headers],)))</calculatedColumnFormula>
    </tableColumn>
    <tableColumn id="28" xr3:uid="{00000000-0010-0000-0300-00001C000000}" name="This Track Place Strike Rate" dataDxfId="427">
      <calculatedColumnFormula>IF(INDEX(machina!$A3:$FB3,MATCH(O$19&amp;$C$17,machina[#Headers],))=""," ",INDEX(machina!$A3:$FB3,MATCH(O$19&amp;$C$17,machina[#Headers],)))</calculatedColumnFormula>
    </tableColumn>
    <tableColumn id="30" xr3:uid="{00000000-0010-0000-0300-00001E000000}" name="This Distance Runs" dataDxfId="426">
      <calculatedColumnFormula>IF(INDEX(machina!$A3:$FB3,MATCH(P$19&amp;$C$17,machina[#Headers],))=""," ",INDEX(machina!$A3:$FB3,MATCH(P$19&amp;$C$17,machina[#Headers],)))</calculatedColumnFormula>
    </tableColumn>
    <tableColumn id="32" xr3:uid="{00000000-0010-0000-0300-000020000000}" name="This Distance Wins" dataDxfId="425">
      <calculatedColumnFormula>IF(INDEX(machina!$A3:$FB3,MATCH(Q$19&amp;$C$17,machina[#Headers],))=""," ",INDEX(machina!$A3:$FB3,MATCH(Q$19&amp;$C$17,machina[#Headers],)))</calculatedColumnFormula>
    </tableColumn>
    <tableColumn id="34" xr3:uid="{00000000-0010-0000-0300-000022000000}" name="This Distance Strike Rate" dataDxfId="424">
      <calculatedColumnFormula>IF(INDEX(machina!$A3:$FB3,MATCH(R$19&amp;$C$17,machina[#Headers],))=""," ",INDEX(machina!$A3:$FB3,MATCH(R$19&amp;$C$17,machina[#Headers],)))</calculatedColumnFormula>
    </tableColumn>
    <tableColumn id="36" xr3:uid="{00000000-0010-0000-0300-000024000000}" name="This Distance ROI" dataDxfId="423">
      <calculatedColumnFormula>IF(INDEX(machina!$A3:$FB3,MATCH(S$19&amp;$C$17,machina[#Headers],))=""," ",INDEX(machina!$A3:$FB3,MATCH(S$19&amp;$C$17,machina[#Headers],)))</calculatedColumnFormula>
    </tableColumn>
    <tableColumn id="38" xr3:uid="{00000000-0010-0000-0300-000026000000}" name="This Distance Places" dataDxfId="422">
      <calculatedColumnFormula>IF(INDEX(machina!$A3:$FB3,MATCH(T$19&amp;$C$17,machina[#Headers],))=""," ",INDEX(machina!$A3:$FB3,MATCH(T$19&amp;$C$17,machina[#Headers],)))</calculatedColumnFormula>
    </tableColumn>
    <tableColumn id="40" xr3:uid="{00000000-0010-0000-0300-000028000000}" name="This Distance Place Strike Rate" dataDxfId="421">
      <calculatedColumnFormula>IF(INDEX(machina!$A3:$FB3,MATCH(U$19&amp;$C$17,machina[#Headers],))=""," ",INDEX(machina!$A3:$FB3,MATCH(U$19&amp;$C$17,machina[#Headers],)))</calculatedColumnFormula>
    </tableColumn>
    <tableColumn id="42" xr3:uid="{00000000-0010-0000-0300-00002A000000}" name="This Track Distance Runs" dataDxfId="420">
      <calculatedColumnFormula>IF(INDEX(machina!$A3:$FB3,MATCH(V$19&amp;$C$17,machina[#Headers],))=""," ",INDEX(machina!$A3:$FB3,MATCH(V$19&amp;$C$17,machina[#Headers],)))</calculatedColumnFormula>
    </tableColumn>
    <tableColumn id="44" xr3:uid="{00000000-0010-0000-0300-00002C000000}" name="This Track Distance Wins" dataDxfId="419">
      <calculatedColumnFormula>IF(INDEX(machina!$A3:$FB3,MATCH(W$19&amp;$C$17,machina[#Headers],))=""," ",INDEX(machina!$A3:$FB3,MATCH(W$19&amp;$C$17,machina[#Headers],)))</calculatedColumnFormula>
    </tableColumn>
    <tableColumn id="46" xr3:uid="{00000000-0010-0000-0300-00002E000000}" name="This Track Distance Strike Rate" dataDxfId="418">
      <calculatedColumnFormula>IF(INDEX(machina!$A3:$FB3,MATCH(X$19&amp;$C$17,machina[#Headers],))=""," ",INDEX(machina!$A3:$FB3,MATCH(X$19&amp;$C$17,machina[#Headers],)))</calculatedColumnFormula>
    </tableColumn>
    <tableColumn id="48" xr3:uid="{00000000-0010-0000-0300-000030000000}" name="This Track Distance ROI" dataDxfId="417">
      <calculatedColumnFormula>IF(INDEX(machina!$A3:$FB3,MATCH(Y$19&amp;$C$17,machina[#Headers],))=""," ",INDEX(machina!$A3:$FB3,MATCH(Y$19&amp;$C$17,machina[#Headers],)))</calculatedColumnFormula>
    </tableColumn>
    <tableColumn id="50" xr3:uid="{00000000-0010-0000-0300-000032000000}" name="This Track Distance Places" dataDxfId="416">
      <calculatedColumnFormula>IF(INDEX(machina!$A3:$FB3,MATCH(Z$19&amp;$C$17,machina[#Headers],))=""," ",INDEX(machina!$A3:$FB3,MATCH(Z$19&amp;$C$17,machina[#Headers],)))</calculatedColumnFormula>
    </tableColumn>
    <tableColumn id="52" xr3:uid="{00000000-0010-0000-0300-000034000000}" name="This Track Distance Place Strike Rate" dataDxfId="415">
      <calculatedColumnFormula>IF(INDEX(machina!$A3:$FB3,MATCH(AA$19&amp;$C$17,machina[#Headers],))=""," ",INDEX(machina!$A3:$FB3,MATCH(AA$19&amp;$C$17,machina[#Headers],)))</calculatedColumnFormula>
    </tableColumn>
    <tableColumn id="54" xr3:uid="{00000000-0010-0000-0300-000036000000}" name="This Condition Runs" dataDxfId="414">
      <calculatedColumnFormula>IF(INDEX(machina!$A3:$FB3,MATCH(AB$19&amp;$C$17,machina[#Headers],))=""," ",INDEX(machina!$A3:$FB3,MATCH(AB$19&amp;$C$17,machina[#Headers],)))</calculatedColumnFormula>
    </tableColumn>
    <tableColumn id="56" xr3:uid="{00000000-0010-0000-0300-000038000000}" name="This Condition Wins" dataDxfId="413">
      <calculatedColumnFormula>IF(INDEX(machina!$A3:$FB3,MATCH(AC$19&amp;$C$17,machina[#Headers],))=""," ",INDEX(machina!$A3:$FB3,MATCH(AC$19&amp;$C$17,machina[#Headers],)))</calculatedColumnFormula>
    </tableColumn>
    <tableColumn id="58" xr3:uid="{00000000-0010-0000-0300-00003A000000}" name="This Condition Strike Rate" dataDxfId="412">
      <calculatedColumnFormula>IF(INDEX(machina!$A3:$FB3,MATCH(AD$19&amp;$C$17,machina[#Headers],))=""," ",INDEX(machina!$A3:$FB3,MATCH(AD$19&amp;$C$17,machina[#Headers],)))</calculatedColumnFormula>
    </tableColumn>
    <tableColumn id="60" xr3:uid="{00000000-0010-0000-0300-00003C000000}" name="This Condition ROI" dataDxfId="411">
      <calculatedColumnFormula>IF(INDEX(machina!$A3:$FB3,MATCH(AE$19&amp;$C$17,machina[#Headers],))=""," ",INDEX(machina!$A3:$FB3,MATCH(AE$19&amp;$C$17,machina[#Headers],)))</calculatedColumnFormula>
    </tableColumn>
    <tableColumn id="62" xr3:uid="{00000000-0010-0000-0300-00003E000000}" name="This Condition Places" dataDxfId="410">
      <calculatedColumnFormula>IF(INDEX(machina!$A3:$FB3,MATCH(AF$19&amp;$C$17,machina[#Headers],))=""," ",INDEX(machina!$A3:$FB3,MATCH(AF$19&amp;$C$17,machina[#Headers],)))</calculatedColumnFormula>
    </tableColumn>
    <tableColumn id="64" xr3:uid="{00000000-0010-0000-0300-000040000000}" name="This Condition Place Strike Rate" dataDxfId="409">
      <calculatedColumnFormula>IF(INDEX(machina!$A3:$FB3,MATCH(AG$19&amp;$C$17,machina[#Headers],))=""," ",INDEX(machina!$A3:$FB3,MATCH(AG$19&amp;$C$17,machina[#Headers],)))</calculatedColumnFormula>
    </tableColumn>
    <tableColumn id="66" xr3:uid="{00000000-0010-0000-0300-000042000000}" name="Jockey Last 100 Avg Horse Earnings" dataDxfId="408">
      <calculatedColumnFormula>IF(INDEX(machina!$A3:$FB3,MATCH(AH$19&amp;$C$17,machina[#Headers],))=""," ",INDEX(machina!$A3:$FB3,MATCH(AH$19&amp;$C$17,machina[#Headers],)))</calculatedColumnFormula>
    </tableColumn>
    <tableColumn id="68" xr3:uid="{00000000-0010-0000-0300-000044000000}" name="Jockey Last 100 Starts" dataDxfId="407">
      <calculatedColumnFormula>IF(INDEX(machina!$A3:$FB3,MATCH(AI$19&amp;$C$17,machina[#Headers],))=""," ",INDEX(machina!$A3:$FB3,MATCH(AI$19&amp;$C$17,machina[#Headers],)))</calculatedColumnFormula>
    </tableColumn>
    <tableColumn id="70" xr3:uid="{00000000-0010-0000-0300-000046000000}" name="Jockey Last 100 Wins" dataDxfId="406">
      <calculatedColumnFormula>IF(INDEX(machina!$A3:$FB3,MATCH(AJ$19&amp;$C$17,machina[#Headers],))=""," ",INDEX(machina!$A3:$FB3,MATCH(AJ$19&amp;$C$17,machina[#Headers],)))</calculatedColumnFormula>
    </tableColumn>
    <tableColumn id="72" xr3:uid="{00000000-0010-0000-0300-000048000000}" name="Jockey Last 100 Strike Rate" dataDxfId="405">
      <calculatedColumnFormula>IF(INDEX(machina!$A3:$FB3,MATCH(AK$19&amp;$C$17,machina[#Headers],))=""," ",INDEX(machina!$A3:$FB3,MATCH(AK$19&amp;$C$17,machina[#Headers],)))</calculatedColumnFormula>
    </tableColumn>
    <tableColumn id="74" xr3:uid="{00000000-0010-0000-0300-00004A000000}" name="Jockey Last 100 ROI" dataDxfId="404">
      <calculatedColumnFormula>IF(INDEX(machina!$A3:$FB3,MATCH(AL$19&amp;$C$17,machina[#Headers],))=""," ",INDEX(machina!$A3:$FB3,MATCH(AL$19&amp;$C$17,machina[#Headers],)))</calculatedColumnFormula>
    </tableColumn>
    <tableColumn id="76" xr3:uid="{00000000-0010-0000-0300-00004C000000}" name="Jockey Last 100 Places" dataDxfId="403">
      <calculatedColumnFormula>IF(INDEX(machina!$A3:$FB3,MATCH(AM$19&amp;$C$17,machina[#Headers],))=""," ",INDEX(machina!$A3:$FB3,MATCH(AM$19&amp;$C$17,machina[#Headers],)))</calculatedColumnFormula>
    </tableColumn>
    <tableColumn id="78" xr3:uid="{00000000-0010-0000-0300-00004E000000}" name="Jockey Last 100 Place Strike Rate" dataDxfId="402">
      <calculatedColumnFormula>IF(INDEX(machina!$A3:$FB3,MATCH(AN$19&amp;$C$17,machina[#Headers],))=""," ",INDEX(machina!$A3:$FB3,MATCH(AN$19&amp;$C$17,machina[#Headers],)))</calculatedColumnFormula>
    </tableColumn>
    <tableColumn id="80" xr3:uid="{00000000-0010-0000-0300-000050000000}" name="Jockey 12 Month Avg Horse Earnings" dataDxfId="401">
      <calculatedColumnFormula>IF(INDEX(machina!$A3:$FB3,MATCH(AO$19&amp;$C$17,machina[#Headers],))=""," ",INDEX(machina!$A3:$FB3,MATCH(AO$19&amp;$C$17,machina[#Headers],)))</calculatedColumnFormula>
    </tableColumn>
    <tableColumn id="82" xr3:uid="{00000000-0010-0000-0300-000052000000}" name="Jockey 12 Months Starts" dataDxfId="400">
      <calculatedColumnFormula>IF(INDEX(machina!$A3:$FB3,MATCH(AP$19&amp;$C$17,machina[#Headers],))=""," ",INDEX(machina!$A3:$FB3,MATCH(AP$19&amp;$C$17,machina[#Headers],)))</calculatedColumnFormula>
    </tableColumn>
    <tableColumn id="84" xr3:uid="{00000000-0010-0000-0300-000054000000}" name="Jockey 12 Months Wins" dataDxfId="399">
      <calculatedColumnFormula>IF(INDEX(machina!$A3:$FB3,MATCH(AQ$19&amp;$C$17,machina[#Headers],))=""," ",INDEX(machina!$A3:$FB3,MATCH(AQ$19&amp;$C$17,machina[#Headers],)))</calculatedColumnFormula>
    </tableColumn>
    <tableColumn id="86" xr3:uid="{00000000-0010-0000-0300-000056000000}" name="Jockey 12 Months Strike Rate" dataDxfId="398">
      <calculatedColumnFormula>IF(INDEX(machina!$A3:$FB3,MATCH(AR$19&amp;$C$17,machina[#Headers],))=""," ",INDEX(machina!$A3:$FB3,MATCH(AR$19&amp;$C$17,machina[#Headers],)))</calculatedColumnFormula>
    </tableColumn>
    <tableColumn id="88" xr3:uid="{00000000-0010-0000-0300-000058000000}" name="Jockey 12 Months ROI" dataDxfId="397">
      <calculatedColumnFormula>IF(INDEX(machina!$A3:$FB3,MATCH(AS$19&amp;$C$17,machina[#Headers],))=""," ",INDEX(machina!$A3:$FB3,MATCH(AS$19&amp;$C$17,machina[#Headers],)))</calculatedColumnFormula>
    </tableColumn>
    <tableColumn id="90" xr3:uid="{00000000-0010-0000-0300-00005A000000}" name="Jockey 12 Months Places" dataDxfId="396">
      <calculatedColumnFormula>IF(INDEX(machina!$A3:$FB3,MATCH(AT$19&amp;$C$17,machina[#Headers],))=""," ",INDEX(machina!$A3:$FB3,MATCH(AT$19&amp;$C$17,machina[#Headers],)))</calculatedColumnFormula>
    </tableColumn>
    <tableColumn id="92" xr3:uid="{00000000-0010-0000-0300-00005C000000}" name="Jockey 12 Months Place Strike Rate" dataDxfId="395">
      <calculatedColumnFormula>IF(INDEX(machina!$A3:$FB3,MATCH(AU$19&amp;$C$17,machina[#Headers],))=""," ",INDEX(machina!$A3:$FB3,MATCH(AU$19&amp;$C$17,machina[#Headers],)))</calculatedColumnFormula>
    </tableColumn>
    <tableColumn id="94" xr3:uid="{00000000-0010-0000-0300-00005E000000}" name="Jockey This Season Avg Horse Earnings" dataDxfId="394">
      <calculatedColumnFormula>IF(INDEX(machina!$A3:$FB3,MATCH(AV$19&amp;$C$17,machina[#Headers],))=""," ",INDEX(machina!$A3:$FB3,MATCH(AV$19&amp;$C$17,machina[#Headers],)))</calculatedColumnFormula>
    </tableColumn>
    <tableColumn id="96" xr3:uid="{00000000-0010-0000-0300-000060000000}" name="Jockey This Season Starts" dataDxfId="393">
      <calculatedColumnFormula>IF(INDEX(machina!$A3:$FB3,MATCH(AW$19&amp;$C$17,machina[#Headers],))=""," ",INDEX(machina!$A3:$FB3,MATCH(AW$19&amp;$C$17,machina[#Headers],)))</calculatedColumnFormula>
    </tableColumn>
    <tableColumn id="98" xr3:uid="{00000000-0010-0000-0300-000062000000}" name="Jockey This Season Wins" dataDxfId="392">
      <calculatedColumnFormula>IF(INDEX(machina!$A3:$FB3,MATCH(AX$19&amp;$C$17,machina[#Headers],))=""," ",INDEX(machina!$A3:$FB3,MATCH(AX$19&amp;$C$17,machina[#Headers],)))</calculatedColumnFormula>
    </tableColumn>
    <tableColumn id="100" xr3:uid="{00000000-0010-0000-0300-000064000000}" name="Jockey This Season Strike Rate" dataDxfId="391">
      <calculatedColumnFormula>IF(INDEX(machina!$A3:$FB3,MATCH(AY$19&amp;$C$17,machina[#Headers],))=""," ",INDEX(machina!$A3:$FB3,MATCH(AY$19&amp;$C$17,machina[#Headers],)))</calculatedColumnFormula>
    </tableColumn>
    <tableColumn id="102" xr3:uid="{00000000-0010-0000-0300-000066000000}" name="Jockey This Season ROI" dataDxfId="390">
      <calculatedColumnFormula>IF(INDEX(machina!$A3:$FB3,MATCH(AZ$19&amp;$C$17,machina[#Headers],))=""," ",INDEX(machina!$A3:$FB3,MATCH(AZ$19&amp;$C$17,machina[#Headers],)))</calculatedColumnFormula>
    </tableColumn>
    <tableColumn id="104" xr3:uid="{00000000-0010-0000-0300-000068000000}" name="Jockey This Season Places" dataDxfId="389">
      <calculatedColumnFormula>IF(INDEX(machina!$A3:$FB3,MATCH(BA$19&amp;$C$17,machina[#Headers],))=""," ",INDEX(machina!$A3:$FB3,MATCH(BA$19&amp;$C$17,machina[#Headers],)))</calculatedColumnFormula>
    </tableColumn>
    <tableColumn id="106" xr3:uid="{00000000-0010-0000-0300-00006A000000}" name="Jockey This Season Place Strike Rate" dataDxfId="388">
      <calculatedColumnFormula>IF(INDEX(machina!$A3:$FB3,MATCH(BB$19&amp;$C$17,machina[#Headers],))=""," ",INDEX(machina!$A3:$FB3,MATCH(BB$19&amp;$C$17,machina[#Headers],)))</calculatedColumnFormula>
    </tableColumn>
    <tableColumn id="108" xr3:uid="{00000000-0010-0000-0300-00006C000000}" name="Trainer Last 100 Avg Horse Earnings" dataDxfId="387">
      <calculatedColumnFormula>IF(INDEX(machina!$A3:$FB3,MATCH(BC$19&amp;$C$17,machina[#Headers],))=""," ",INDEX(machina!$A3:$FB3,MATCH(BC$19&amp;$C$17,machina[#Headers],)))</calculatedColumnFormula>
    </tableColumn>
    <tableColumn id="110" xr3:uid="{00000000-0010-0000-0300-00006E000000}" name="Trainer Last 100 Wins" dataDxfId="386">
      <calculatedColumnFormula>IF(INDEX(machina!$A3:$FB3,MATCH(BD$19&amp;$C$17,machina[#Headers],))=""," ",INDEX(machina!$A3:$FB3,MATCH(BD$19&amp;$C$17,machina[#Headers],)))</calculatedColumnFormula>
    </tableColumn>
    <tableColumn id="112" xr3:uid="{00000000-0010-0000-0300-000070000000}" name="Trainer Last 100 Strike Rate" dataDxfId="385">
      <calculatedColumnFormula>IF(INDEX(machina!$A3:$FB3,MATCH(BE$19&amp;$C$17,machina[#Headers],))=""," ",INDEX(machina!$A3:$FB3,MATCH(BE$19&amp;$C$17,machina[#Headers],)))</calculatedColumnFormula>
    </tableColumn>
    <tableColumn id="114" xr3:uid="{00000000-0010-0000-0300-000072000000}" name="Trainer Last 100 ROI" dataDxfId="384">
      <calculatedColumnFormula>IF(INDEX(machina!$A3:$FB3,MATCH(BF$19&amp;$C$17,machina[#Headers],))=""," ",INDEX(machina!$A3:$FB3,MATCH(BF$19&amp;$C$17,machina[#Headers],)))</calculatedColumnFormula>
    </tableColumn>
    <tableColumn id="116" xr3:uid="{00000000-0010-0000-0300-000074000000}" name="Trainer Last 100 Places" dataDxfId="383">
      <calculatedColumnFormula>IF(INDEX(machina!$A3:$FB3,MATCH(BG$19&amp;$C$17,machina[#Headers],))=""," ",INDEX(machina!$A3:$FB3,MATCH(BG$19&amp;$C$17,machina[#Headers],)))</calculatedColumnFormula>
    </tableColumn>
    <tableColumn id="118" xr3:uid="{00000000-0010-0000-0300-000076000000}" name="Trainer Last 100 Place Strike Rate" dataDxfId="382">
      <calculatedColumnFormula>IF(INDEX(machina!$A3:$FB3,MATCH(BH$19&amp;$C$17,machina[#Headers],))=""," ",INDEX(machina!$A3:$FB3,MATCH(BH$19&amp;$C$17,machina[#Headers],)))</calculatedColumnFormula>
    </tableColumn>
    <tableColumn id="120" xr3:uid="{00000000-0010-0000-0300-000078000000}" name="Trainer 12 Month Avg Horse Earnings" dataDxfId="381">
      <calculatedColumnFormula>IF(INDEX(machina!$A3:$FB3,MATCH(BI$19&amp;$C$17,machina[#Headers],))=""," ",INDEX(machina!$A3:$FB3,MATCH(BI$19&amp;$C$17,machina[#Headers],)))</calculatedColumnFormula>
    </tableColumn>
    <tableColumn id="122" xr3:uid="{00000000-0010-0000-0300-00007A000000}" name="Trainer 12 Months Starts" dataDxfId="380">
      <calculatedColumnFormula>IF(INDEX(machina!$A3:$FB3,MATCH(BJ$19&amp;$C$17,machina[#Headers],))=""," ",INDEX(machina!$A3:$FB3,MATCH(BJ$19&amp;$C$17,machina[#Headers],)))</calculatedColumnFormula>
    </tableColumn>
    <tableColumn id="124" xr3:uid="{00000000-0010-0000-0300-00007C000000}" name="Trainer 12 Months Wins" dataDxfId="379">
      <calculatedColumnFormula>IF(INDEX(machina!$A3:$FB3,MATCH(BK$19&amp;$C$17,machina[#Headers],))=""," ",INDEX(machina!$A3:$FB3,MATCH(BK$19&amp;$C$17,machina[#Headers],)))</calculatedColumnFormula>
    </tableColumn>
    <tableColumn id="126" xr3:uid="{00000000-0010-0000-0300-00007E000000}" name="Trainer 12 Months Strike Rate" dataDxfId="378">
      <calculatedColumnFormula>IF(INDEX(machina!$A3:$FB3,MATCH(BL$19&amp;$C$17,machina[#Headers],))=""," ",INDEX(machina!$A3:$FB3,MATCH(BL$19&amp;$C$17,machina[#Headers],)))</calculatedColumnFormula>
    </tableColumn>
    <tableColumn id="128" xr3:uid="{00000000-0010-0000-0300-000080000000}" name="Trainer 12 Months ROI" dataDxfId="377">
      <calculatedColumnFormula>IF(INDEX(machina!$A3:$FB3,MATCH(BM$19&amp;$C$17,machina[#Headers],))=""," ",INDEX(machina!$A3:$FB3,MATCH(BM$19&amp;$C$17,machina[#Headers],)))</calculatedColumnFormula>
    </tableColumn>
    <tableColumn id="130" xr3:uid="{00000000-0010-0000-0300-000082000000}" name="Trainer 12 Months Places" dataDxfId="376">
      <calculatedColumnFormula>IF(INDEX(machina!$A3:$FB3,MATCH(BN$19&amp;$C$17,machina[#Headers],))=""," ",INDEX(machina!$A3:$FB3,MATCH(BN$19&amp;$C$17,machina[#Headers],)))</calculatedColumnFormula>
    </tableColumn>
    <tableColumn id="132" xr3:uid="{00000000-0010-0000-0300-000084000000}" name="Trainer 12 Months Place Strike Rate" dataDxfId="375">
      <calculatedColumnFormula>IF(INDEX(machina!$A3:$FB3,MATCH(BO$19&amp;$C$17,machina[#Headers],))=""," ",INDEX(machina!$A3:$FB3,MATCH(BO$19&amp;$C$17,machina[#Headers],)))</calculatedColumnFormula>
    </tableColumn>
    <tableColumn id="134" xr3:uid="{00000000-0010-0000-0300-000086000000}" name="Trainer This Season Avg Horse Earnings" dataDxfId="374">
      <calculatedColumnFormula>IF(INDEX(machina!$A3:$FB3,MATCH(BP$19&amp;$C$17,machina[#Headers],))=""," ",INDEX(machina!$A3:$FB3,MATCH(BP$19&amp;$C$17,machina[#Headers],)))</calculatedColumnFormula>
    </tableColumn>
    <tableColumn id="136" xr3:uid="{00000000-0010-0000-0300-000088000000}" name="Trainer This Season Starts" dataDxfId="373">
      <calculatedColumnFormula>IF(INDEX(machina!$A3:$FB3,MATCH(BQ$19&amp;$C$17,machina[#Headers],))=""," ",INDEX(machina!$A3:$FB3,MATCH(BQ$19&amp;$C$17,machina[#Headers],)))</calculatedColumnFormula>
    </tableColumn>
    <tableColumn id="138" xr3:uid="{00000000-0010-0000-0300-00008A000000}" name="Trainer This Season Wins" dataDxfId="372">
      <calculatedColumnFormula>IF(INDEX(machina!$A3:$FB3,MATCH(BR$19&amp;$C$17,machina[#Headers],))=""," ",INDEX(machina!$A3:$FB3,MATCH(BR$19&amp;$C$17,machina[#Headers],)))</calculatedColumnFormula>
    </tableColumn>
    <tableColumn id="140" xr3:uid="{00000000-0010-0000-0300-00008C000000}" name="Trainer This Season Strike Rate" dataDxfId="371">
      <calculatedColumnFormula>IF(INDEX(machina!$A3:$FB3,MATCH(BS$19&amp;$C$17,machina[#Headers],))=""," ",INDEX(machina!$A3:$FB3,MATCH(BS$19&amp;$C$17,machina[#Headers],)))</calculatedColumnFormula>
    </tableColumn>
    <tableColumn id="142" xr3:uid="{00000000-0010-0000-0300-00008E000000}" name="Trainer This Season ROI" dataDxfId="370">
      <calculatedColumnFormula>IF(INDEX(machina!$A3:$FB3,MATCH(BT$19&amp;$C$17,machina[#Headers],))=""," ",INDEX(machina!$A3:$FB3,MATCH(BT$19&amp;$C$17,machina[#Headers],)))</calculatedColumnFormula>
    </tableColumn>
    <tableColumn id="144" xr3:uid="{00000000-0010-0000-0300-000090000000}" name="Trainer This Season Places" dataDxfId="369">
      <calculatedColumnFormula>IF(INDEX(machina!$A3:$FB3,MATCH(BU$19&amp;$C$17,machina[#Headers],))=""," ",INDEX(machina!$A3:$FB3,MATCH(BU$19&amp;$C$17,machina[#Headers],)))</calculatedColumnFormula>
    </tableColumn>
    <tableColumn id="146" xr3:uid="{00000000-0010-0000-0300-000092000000}" name="Trainer This Season Place Strike Rate" dataDxfId="368">
      <calculatedColumnFormula>IF(INDEX(machina!$A3:$FB3,MATCH(BV$19&amp;$C$17,machina[#Headers],))=""," ",INDEX(machina!$A3:$FB3,MATCH(BV$19&amp;$C$17,machina[#Headers],)))</calculatedColumnFormula>
    </tableColumn>
    <tableColumn id="148" xr3:uid="{00000000-0010-0000-0300-000094000000}" name="Last Start Finish Position" dataDxfId="367">
      <calculatedColumnFormula>IF(INDEX(machina!$A3:$FB3,MATCH(BW$19&amp;$C$17,machina[#Headers],))=""," ",INDEX(machina!$A3:$FB3,MATCH(BW$19&amp;$C$17,machina[#Headers],)))</calculatedColumnFormula>
    </tableColumn>
    <tableColumn id="150" xr3:uid="{00000000-0010-0000-0300-000096000000}" name="Last Start Margin" dataDxfId="366">
      <calculatedColumnFormula>IF(INDEX(machina!$A3:$FB3,MATCH(BX$19&amp;$C$17,machina[#Headers],))=""," ",INDEX(machina!$A3:$FB3,MATCH(BX$19&amp;$C$17,machina[#Headers],)))</calculatedColumnFormula>
    </tableColumn>
    <tableColumn id="152" xr3:uid="{00000000-0010-0000-0300-000098000000}" name="Last Start Distance Change" dataDxfId="365">
      <calculatedColumnFormula>IF(INDEX(machina!$A3:$FB3,MATCH(BY$19&amp;$C$17,machina[#Headers],))=""," ",INDEX(machina!$A3:$FB3,MATCH(BY$19&amp;$C$17,machina[#Headers],)))</calculatedColumnFormula>
    </tableColumn>
    <tableColumn id="154" xr3:uid="{00000000-0010-0000-0300-00009A000000}" name="Last Start Prize Money" dataDxfId="364">
      <calculatedColumnFormula>IF(INDEX(machina!$A3:$FB3,MATCH(BZ$19&amp;$C$17,machina[#Headers],))=""," ",INDEX(machina!$A3:$FB3,MATCH(BZ$19&amp;$C$17,machina[#Headers],)))</calculatedColumnFormula>
    </tableColumn>
    <tableColumn id="156" xr3:uid="{00000000-0010-0000-0300-00009C000000}" name="Cohesion ROI" dataDxfId="363">
      <calculatedColumnFormula>IF(INDEX(machina!$A3:$FB3,MATCH(CA$19&amp;$C$17,machina[#Headers],))=""," ",INDEX(machina!$A3:$FB3,MATCH(CA$19&amp;$C$17,machina[#Headers],)))</calculatedColumnFormula>
    </tableColumn>
    <tableColumn id="3" xr3:uid="{00000000-0010-0000-0300-000003000000}" name="Finish Result (Updates after race)2" dataDxfId="362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zscores" displayName="zscores" ref="A49:CB75" totalsRowShown="0" headerRowDxfId="361" dataDxfId="360" tableBorderDxfId="359">
  <autoFilter ref="A49:CB75" xr:uid="{00000000-0009-0000-0100-00000C000000}"/>
  <tableColumns count="80">
    <tableColumn id="1" xr3:uid="{00000000-0010-0000-0400-000001000000}" name="Num" dataDxfId="358">
      <calculatedColumnFormula>'Raw Data'!A3</calculatedColumnFormula>
    </tableColumn>
    <tableColumn id="2" xr3:uid="{00000000-0010-0000-0400-000002000000}" name="Career Strike Rate" dataDxfId="357">
      <calculatedColumnFormula>IF(ISERROR(STANDARDIZE(B20,B$3,B$4))," ",STANDARDIZE(B20,B$3,B$4))</calculatedColumnFormula>
    </tableColumn>
    <tableColumn id="4" xr3:uid="{00000000-0010-0000-0400-000004000000}" name="Career ROI" dataDxfId="356">
      <calculatedColumnFormula>IF(ISERROR(STANDARDIZE(C20,C$3,C$4))," ",STANDARDIZE(C20,C$3,C$4))</calculatedColumnFormula>
    </tableColumn>
    <tableColumn id="6" xr3:uid="{00000000-0010-0000-0400-000006000000}" name="Career Placings" dataDxfId="355">
      <calculatedColumnFormula>IF(ISERROR(STANDARDIZE(D20,D$3,D$4))," ",STANDARDIZE(D20,D$3,D$4))</calculatedColumnFormula>
    </tableColumn>
    <tableColumn id="8" xr3:uid="{00000000-0010-0000-0400-000008000000}" name="Career Place Strike Rate" dataDxfId="354">
      <calculatedColumnFormula>IF(ISERROR(STANDARDIZE(E20,E$3,E$4))," ",STANDARDIZE(E20,E$3,E$4))</calculatedColumnFormula>
    </tableColumn>
    <tableColumn id="10" xr3:uid="{00000000-0010-0000-0400-00000A000000}" name="Average Prize Money" dataDxfId="353">
      <calculatedColumnFormula>IF(ISERROR(STANDARDIZE(F20,F$3,F$4))," ",STANDARDIZE(F20,F$3,F$4))</calculatedColumnFormula>
    </tableColumn>
    <tableColumn id="12" xr3:uid="{00000000-0010-0000-0400-00000C000000}" name="Best Fixed Odds" dataDxfId="352">
      <calculatedColumnFormula>IF(ISERROR(STANDARDIZE(G20,G$3,G$4))," ",STANDARDIZE(G20,G$3,G$4))</calculatedColumnFormula>
    </tableColumn>
    <tableColumn id="14" xr3:uid="{00000000-0010-0000-0400-00000E000000}" name="William Hill Odds" dataDxfId="351">
      <calculatedColumnFormula>IF(ISERROR(STANDARDIZE(H20,H$3,H$4))," ",STANDARDIZE(H20,H$3,H$4))</calculatedColumnFormula>
    </tableColumn>
    <tableColumn id="16" xr3:uid="{00000000-0010-0000-0400-000010000000}" name="Weight" dataDxfId="350">
      <calculatedColumnFormula>IF(ISERROR(STANDARDIZE(I20,I$3,I$4))," ",STANDARDIZE(I20,I$3,I$4))</calculatedColumnFormula>
    </tableColumn>
    <tableColumn id="18" xr3:uid="{00000000-0010-0000-0400-000012000000}" name="This Track Runs" dataDxfId="349">
      <calculatedColumnFormula>IF(ISERROR(STANDARDIZE(J20,J$3,J$4))," ",STANDARDIZE(J20,J$3,J$4))</calculatedColumnFormula>
    </tableColumn>
    <tableColumn id="20" xr3:uid="{00000000-0010-0000-0400-000014000000}" name="This Track Wins" dataDxfId="348">
      <calculatedColumnFormula>IF(ISERROR(STANDARDIZE(K20,K$3,K$4))," ",STANDARDIZE(K20,K$3,K$4))</calculatedColumnFormula>
    </tableColumn>
    <tableColumn id="22" xr3:uid="{00000000-0010-0000-0400-000016000000}" name="This Track Strike Rate" dataDxfId="347">
      <calculatedColumnFormula>IF(ISERROR(STANDARDIZE(L20,L$3,L$4))," ",STANDARDIZE(L20,L$3,L$4))</calculatedColumnFormula>
    </tableColumn>
    <tableColumn id="24" xr3:uid="{00000000-0010-0000-0400-000018000000}" name="This Track ROI" dataDxfId="346">
      <calculatedColumnFormula>IF(ISERROR(STANDARDIZE(M20,M$3,M$4))," ",STANDARDIZE(M20,M$3,M$4))</calculatedColumnFormula>
    </tableColumn>
    <tableColumn id="26" xr3:uid="{00000000-0010-0000-0400-00001A000000}" name="This Track Places" dataDxfId="345">
      <calculatedColumnFormula>IF(ISERROR(STANDARDIZE(N20,N$3,N$4))," ",STANDARDIZE(N20,N$3,N$4))</calculatedColumnFormula>
    </tableColumn>
    <tableColumn id="28" xr3:uid="{00000000-0010-0000-0400-00001C000000}" name="This Track Place Strike Rate" dataDxfId="344">
      <calculatedColumnFormula>IF(ISERROR(STANDARDIZE(O20,O$3,O$4))," ",STANDARDIZE(O20,O$3,O$4))</calculatedColumnFormula>
    </tableColumn>
    <tableColumn id="30" xr3:uid="{00000000-0010-0000-0400-00001E000000}" name="This Distance Runs" dataDxfId="343">
      <calculatedColumnFormula>IF(ISERROR(STANDARDIZE(P20,P$3,P$4))," ",STANDARDIZE(P20,P$3,P$4))</calculatedColumnFormula>
    </tableColumn>
    <tableColumn id="32" xr3:uid="{00000000-0010-0000-0400-000020000000}" name="This Distance Wins" dataDxfId="342">
      <calculatedColumnFormula>IF(ISERROR(STANDARDIZE(Q20,Q$3,Q$4))," ",STANDARDIZE(Q20,Q$3,Q$4))</calculatedColumnFormula>
    </tableColumn>
    <tableColumn id="34" xr3:uid="{00000000-0010-0000-0400-000022000000}" name="This Distance Strike Rate" dataDxfId="341">
      <calculatedColumnFormula>IF(ISERROR(STANDARDIZE(R20,R$3,R$4))," ",STANDARDIZE(R20,R$3,R$4))</calculatedColumnFormula>
    </tableColumn>
    <tableColumn id="36" xr3:uid="{00000000-0010-0000-0400-000024000000}" name="This Distance ROI" dataDxfId="340">
      <calculatedColumnFormula>IF(ISERROR(STANDARDIZE(S20,S$3,S$4))," ",STANDARDIZE(S20,S$3,S$4))</calculatedColumnFormula>
    </tableColumn>
    <tableColumn id="38" xr3:uid="{00000000-0010-0000-0400-000026000000}" name="This Distance Places" dataDxfId="339">
      <calculatedColumnFormula>IF(ISERROR(STANDARDIZE(T20,T$3,T$4))," ",STANDARDIZE(T20,T$3,T$4))</calculatedColumnFormula>
    </tableColumn>
    <tableColumn id="40" xr3:uid="{00000000-0010-0000-0400-000028000000}" name="This Distance Place Strike Rate" dataDxfId="338">
      <calculatedColumnFormula>IF(ISERROR(STANDARDIZE(U20,U$3,U$4))," ",STANDARDIZE(U20,U$3,U$4))</calculatedColumnFormula>
    </tableColumn>
    <tableColumn id="42" xr3:uid="{00000000-0010-0000-0400-00002A000000}" name="This Track Distance Runs" dataDxfId="337">
      <calculatedColumnFormula>IF(ISERROR(STANDARDIZE(V20,V$3,V$4))," ",STANDARDIZE(V20,V$3,V$4))</calculatedColumnFormula>
    </tableColumn>
    <tableColumn id="44" xr3:uid="{00000000-0010-0000-0400-00002C000000}" name="This Track Distance Wins" dataDxfId="336">
      <calculatedColumnFormula>IF(ISERROR(STANDARDIZE(W20,W$3,W$4))," ",STANDARDIZE(W20,W$3,W$4))</calculatedColumnFormula>
    </tableColumn>
    <tableColumn id="46" xr3:uid="{00000000-0010-0000-0400-00002E000000}" name="This Track Distance Strike Rate" dataDxfId="335">
      <calculatedColumnFormula>IF(ISERROR(STANDARDIZE(X20,X$3,X$4))," ",STANDARDIZE(X20,X$3,X$4))</calculatedColumnFormula>
    </tableColumn>
    <tableColumn id="48" xr3:uid="{00000000-0010-0000-0400-000030000000}" name="This Track Distance ROI" dataDxfId="334">
      <calculatedColumnFormula>IF(ISERROR(STANDARDIZE(Y20,Y$3,Y$4))," ",STANDARDIZE(Y20,Y$3,Y$4))</calculatedColumnFormula>
    </tableColumn>
    <tableColumn id="50" xr3:uid="{00000000-0010-0000-0400-000032000000}" name="This Track Distance Places" dataDxfId="333">
      <calculatedColumnFormula>IF(ISERROR(STANDARDIZE(Z20,Z$3,Z$4))," ",STANDARDIZE(Z20,Z$3,Z$4))</calculatedColumnFormula>
    </tableColumn>
    <tableColumn id="52" xr3:uid="{00000000-0010-0000-0400-000034000000}" name="This Track Distance Place Strike Rate" dataDxfId="332">
      <calculatedColumnFormula>IF(ISERROR(STANDARDIZE(AA20,AA$3,AA$4))," ",STANDARDIZE(AA20,AA$3,AA$4))</calculatedColumnFormula>
    </tableColumn>
    <tableColumn id="54" xr3:uid="{00000000-0010-0000-0400-000036000000}" name="This Condition Runs" dataDxfId="331">
      <calculatedColumnFormula>IF(ISERROR(STANDARDIZE(AB20,AB$3,AB$4))," ",STANDARDIZE(AB20,AB$3,AB$4))</calculatedColumnFormula>
    </tableColumn>
    <tableColumn id="56" xr3:uid="{00000000-0010-0000-0400-000038000000}" name="This Condition Wins" dataDxfId="330">
      <calculatedColumnFormula>IF(ISERROR(STANDARDIZE(AC20,AC$3,AC$4))," ",STANDARDIZE(AC20,AC$3,AC$4))</calculatedColumnFormula>
    </tableColumn>
    <tableColumn id="58" xr3:uid="{00000000-0010-0000-0400-00003A000000}" name="This Condition Strike Rate" dataDxfId="329">
      <calculatedColumnFormula>IF(ISERROR(STANDARDIZE(AD20,AD$3,AD$4))," ",STANDARDIZE(AD20,AD$3,AD$4))</calculatedColumnFormula>
    </tableColumn>
    <tableColumn id="60" xr3:uid="{00000000-0010-0000-0400-00003C000000}" name="This Condition ROI" dataDxfId="328">
      <calculatedColumnFormula>IF(ISERROR(STANDARDIZE(AE20,AE$3,AE$4))," ",STANDARDIZE(AE20,AE$3,AE$4))</calculatedColumnFormula>
    </tableColumn>
    <tableColumn id="62" xr3:uid="{00000000-0010-0000-0400-00003E000000}" name="This Condition Places" dataDxfId="327">
      <calculatedColumnFormula>IF(ISERROR(STANDARDIZE(AF20,AF$3,AF$4))," ",STANDARDIZE(AF20,AF$3,AF$4))</calculatedColumnFormula>
    </tableColumn>
    <tableColumn id="64" xr3:uid="{00000000-0010-0000-0400-000040000000}" name="This Condition Place Strike Rate" dataDxfId="326">
      <calculatedColumnFormula>IF(ISERROR(STANDARDIZE(AG20,AG$3,AG$4))," ",STANDARDIZE(AG20,AG$3,AG$4))</calculatedColumnFormula>
    </tableColumn>
    <tableColumn id="66" xr3:uid="{00000000-0010-0000-0400-000042000000}" name="Jockey Last 100 Avg Horse Earnings" dataDxfId="325">
      <calculatedColumnFormula>IF(ISERROR(STANDARDIZE(AH20,AH$3,AH$4))," ",STANDARDIZE(AH20,AH$3,AH$4))</calculatedColumnFormula>
    </tableColumn>
    <tableColumn id="68" xr3:uid="{00000000-0010-0000-0400-000044000000}" name="Jockey Last 100 Starts" dataDxfId="324">
      <calculatedColumnFormula>IF(ISERROR(STANDARDIZE(AI20,AI$3,AI$4))," ",STANDARDIZE(AI20,AI$3,AI$4))</calculatedColumnFormula>
    </tableColumn>
    <tableColumn id="70" xr3:uid="{00000000-0010-0000-0400-000046000000}" name="Jockey Last 100 Wins" dataDxfId="323">
      <calculatedColumnFormula>IF(ISERROR(STANDARDIZE(AJ20,AJ$3,AJ$4))," ",STANDARDIZE(AJ20,AJ$3,AJ$4))</calculatedColumnFormula>
    </tableColumn>
    <tableColumn id="72" xr3:uid="{00000000-0010-0000-0400-000048000000}" name="Jockey Last 100 Strike Rate" dataDxfId="322">
      <calculatedColumnFormula>IF(ISERROR(STANDARDIZE(AK20,AK$3,AK$4))," ",STANDARDIZE(AK20,AK$3,AK$4))</calculatedColumnFormula>
    </tableColumn>
    <tableColumn id="74" xr3:uid="{00000000-0010-0000-0400-00004A000000}" name="Jockey Last 100 ROI" dataDxfId="321">
      <calculatedColumnFormula>IF(ISERROR(STANDARDIZE(AL20,AL$3,AL$4))," ",STANDARDIZE(AL20,AL$3,AL$4))</calculatedColumnFormula>
    </tableColumn>
    <tableColumn id="76" xr3:uid="{00000000-0010-0000-0400-00004C000000}" name="Jockey Last 100 Places" dataDxfId="320">
      <calculatedColumnFormula>IF(ISERROR(STANDARDIZE(AM20,AM$3,AM$4))," ",STANDARDIZE(AM20,AM$3,AM$4))</calculatedColumnFormula>
    </tableColumn>
    <tableColumn id="78" xr3:uid="{00000000-0010-0000-0400-00004E000000}" name="Jockey Last 100 Place Strike Rate" dataDxfId="319">
      <calculatedColumnFormula>IF(ISERROR(STANDARDIZE(AN20,AN$3,AN$4))," ",STANDARDIZE(AN20,AN$3,AN$4))</calculatedColumnFormula>
    </tableColumn>
    <tableColumn id="80" xr3:uid="{00000000-0010-0000-0400-000050000000}" name="Jockey 12 Month Avg Horse Earnings" dataDxfId="318">
      <calculatedColumnFormula>IF(ISERROR(STANDARDIZE(AO20,AO$3,AO$4))," ",STANDARDIZE(AO20,AO$3,AO$4))</calculatedColumnFormula>
    </tableColumn>
    <tableColumn id="82" xr3:uid="{00000000-0010-0000-0400-000052000000}" name="Jockey 12 Months Starts" dataDxfId="317">
      <calculatedColumnFormula>IF(ISERROR(STANDARDIZE(AP20,AP$3,AP$4))," ",STANDARDIZE(AP20,AP$3,AP$4))</calculatedColumnFormula>
    </tableColumn>
    <tableColumn id="84" xr3:uid="{00000000-0010-0000-0400-000054000000}" name="Jockey 12 Months Wins" dataDxfId="316">
      <calculatedColumnFormula>IF(ISERROR(STANDARDIZE(AQ20,AQ$3,AQ$4))," ",STANDARDIZE(AQ20,AQ$3,AQ$4))</calculatedColumnFormula>
    </tableColumn>
    <tableColumn id="86" xr3:uid="{00000000-0010-0000-0400-000056000000}" name="Jockey 12 Months Strike Rate" dataDxfId="315">
      <calculatedColumnFormula>IF(ISERROR(STANDARDIZE(AR20,AR$3,AR$4))," ",STANDARDIZE(AR20,AR$3,AR$4))</calculatedColumnFormula>
    </tableColumn>
    <tableColumn id="88" xr3:uid="{00000000-0010-0000-0400-000058000000}" name="Jockey 12 Months ROI" dataDxfId="314">
      <calculatedColumnFormula>IF(ISERROR(STANDARDIZE(AS20,AS$3,AS$4))," ",STANDARDIZE(AS20,AS$3,AS$4))</calculatedColumnFormula>
    </tableColumn>
    <tableColumn id="90" xr3:uid="{00000000-0010-0000-0400-00005A000000}" name="Jockey 12 Months Places" dataDxfId="313">
      <calculatedColumnFormula>IF(ISERROR(STANDARDIZE(AT20,AT$3,AT$4))," ",STANDARDIZE(AT20,AT$3,AT$4))</calculatedColumnFormula>
    </tableColumn>
    <tableColumn id="92" xr3:uid="{00000000-0010-0000-0400-00005C000000}" name="Jockey 12 Months Place Strike Rate" dataDxfId="312">
      <calculatedColumnFormula>IF(ISERROR(STANDARDIZE(AU20,AU$3,AU$4))," ",STANDARDIZE(AU20,AU$3,AU$4))</calculatedColumnFormula>
    </tableColumn>
    <tableColumn id="94" xr3:uid="{00000000-0010-0000-0400-00005E000000}" name="Jockey This Season Avg Horse Earnings" dataDxfId="311">
      <calculatedColumnFormula>IF(ISERROR(STANDARDIZE(AV20,AV$3,AV$4))," ",STANDARDIZE(AV20,AV$3,AV$4))</calculatedColumnFormula>
    </tableColumn>
    <tableColumn id="96" xr3:uid="{00000000-0010-0000-0400-000060000000}" name="Jockey This Season Starts" dataDxfId="310">
      <calculatedColumnFormula>IF(ISERROR(STANDARDIZE(AW20,AW$3,AW$4))," ",STANDARDIZE(AW20,AW$3,AW$4))</calculatedColumnFormula>
    </tableColumn>
    <tableColumn id="98" xr3:uid="{00000000-0010-0000-0400-000062000000}" name="Jockey This Season Wins" dataDxfId="309">
      <calculatedColumnFormula>IF(ISERROR(STANDARDIZE(AX20,AX$3,AX$4))," ",STANDARDIZE(AX20,AX$3,AX$4))</calculatedColumnFormula>
    </tableColumn>
    <tableColumn id="100" xr3:uid="{00000000-0010-0000-0400-000064000000}" name="Jockey This Season Strike Rate" dataDxfId="308">
      <calculatedColumnFormula>IF(ISERROR(STANDARDIZE(AY20,AY$3,AY$4))," ",STANDARDIZE(AY20,AY$3,AY$4))</calculatedColumnFormula>
    </tableColumn>
    <tableColumn id="102" xr3:uid="{00000000-0010-0000-0400-000066000000}" name="Jockey This Season ROI" dataDxfId="307">
      <calculatedColumnFormula>IF(ISERROR(STANDARDIZE(AZ20,AZ$3,AZ$4))," ",STANDARDIZE(AZ20,AZ$3,AZ$4))</calculatedColumnFormula>
    </tableColumn>
    <tableColumn id="104" xr3:uid="{00000000-0010-0000-0400-000068000000}" name="Jockey This Season Places" dataDxfId="306">
      <calculatedColumnFormula>IF(ISERROR(STANDARDIZE(BA20,BA$3,BA$4))," ",STANDARDIZE(BA20,BA$3,BA$4))</calculatedColumnFormula>
    </tableColumn>
    <tableColumn id="106" xr3:uid="{00000000-0010-0000-0400-00006A000000}" name="Jockey This Season Place Strike Rate" dataDxfId="305">
      <calculatedColumnFormula>IF(ISERROR(STANDARDIZE(BB20,BB$3,BB$4))," ",STANDARDIZE(BB20,BB$3,BB$4))</calculatedColumnFormula>
    </tableColumn>
    <tableColumn id="108" xr3:uid="{00000000-0010-0000-0400-00006C000000}" name="Trainer Last 100 Avg Horse Earnings" dataDxfId="304">
      <calculatedColumnFormula>IF(ISERROR(STANDARDIZE(BC20,BC$3,BC$4))," ",STANDARDIZE(BC20,BC$3,BC$4))</calculatedColumnFormula>
    </tableColumn>
    <tableColumn id="110" xr3:uid="{00000000-0010-0000-0400-00006E000000}" name="Trainer Last 100 Wins" dataDxfId="303">
      <calculatedColumnFormula>IF(ISERROR(STANDARDIZE(BD20,BD$3,BD$4))," ",STANDARDIZE(BD20,BD$3,BD$4))</calculatedColumnFormula>
    </tableColumn>
    <tableColumn id="112" xr3:uid="{00000000-0010-0000-0400-000070000000}" name="Trainer Last 100 Strike Rate" dataDxfId="302">
      <calculatedColumnFormula>IF(ISERROR(STANDARDIZE(BE20,BE$3,BE$4))," ",STANDARDIZE(BE20,BE$3,BE$4))</calculatedColumnFormula>
    </tableColumn>
    <tableColumn id="114" xr3:uid="{00000000-0010-0000-0400-000072000000}" name="Trainer Last 100 ROI" dataDxfId="301">
      <calculatedColumnFormula>IF(ISERROR(STANDARDIZE(BF20,BF$3,BF$4))," ",STANDARDIZE(BF20,BF$3,BF$4))</calculatedColumnFormula>
    </tableColumn>
    <tableColumn id="116" xr3:uid="{00000000-0010-0000-0400-000074000000}" name="Trainer Last 100 Places" dataDxfId="300">
      <calculatedColumnFormula>IF(ISERROR(STANDARDIZE(BG20,BG$3,BG$4))," ",STANDARDIZE(BG20,BG$3,BG$4))</calculatedColumnFormula>
    </tableColumn>
    <tableColumn id="118" xr3:uid="{00000000-0010-0000-0400-000076000000}" name="Trainer Last 100 Place Strike Rate" dataDxfId="299">
      <calculatedColumnFormula>IF(ISERROR(STANDARDIZE(BH20,BH$3,BH$4))," ",STANDARDIZE(BH20,BH$3,BH$4))</calculatedColumnFormula>
    </tableColumn>
    <tableColumn id="120" xr3:uid="{00000000-0010-0000-0400-000078000000}" name="Trainer 12 Month Avg Horse Earnings" dataDxfId="298">
      <calculatedColumnFormula>IF(ISERROR(STANDARDIZE(BI20,BI$3,BI$4))," ",STANDARDIZE(BI20,BI$3,BI$4))</calculatedColumnFormula>
    </tableColumn>
    <tableColumn id="122" xr3:uid="{00000000-0010-0000-0400-00007A000000}" name="Trainer 12 Months Starts" dataDxfId="297">
      <calculatedColumnFormula>IF(ISERROR(STANDARDIZE(BJ20,BJ$3,BJ$4))," ",STANDARDIZE(BJ20,BJ$3,BJ$4))</calculatedColumnFormula>
    </tableColumn>
    <tableColumn id="124" xr3:uid="{00000000-0010-0000-0400-00007C000000}" name="Trainer 12 Months Wins" dataDxfId="296">
      <calculatedColumnFormula>IF(ISERROR(STANDARDIZE(BK20,BK$3,BK$4))," ",STANDARDIZE(BK20,BK$3,BK$4))</calculatedColumnFormula>
    </tableColumn>
    <tableColumn id="126" xr3:uid="{00000000-0010-0000-0400-00007E000000}" name="Trainer 12 Months Strike Rate" dataDxfId="295">
      <calculatedColumnFormula>IF(ISERROR(STANDARDIZE(BL20,BL$3,BL$4))," ",STANDARDIZE(BL20,BL$3,BL$4))</calculatedColumnFormula>
    </tableColumn>
    <tableColumn id="128" xr3:uid="{00000000-0010-0000-0400-000080000000}" name="Trainer 12 Months ROI" dataDxfId="294">
      <calculatedColumnFormula>IF(ISERROR(STANDARDIZE(BM20,BM$3,BM$4))," ",STANDARDIZE(BM20,BM$3,BM$4))</calculatedColumnFormula>
    </tableColumn>
    <tableColumn id="130" xr3:uid="{00000000-0010-0000-0400-000082000000}" name="Trainer 12 Months Places" dataDxfId="293">
      <calculatedColumnFormula>IF(ISERROR(STANDARDIZE(BN20,BN$3,BN$4))," ",STANDARDIZE(BN20,BN$3,BN$4))</calculatedColumnFormula>
    </tableColumn>
    <tableColumn id="132" xr3:uid="{00000000-0010-0000-0400-000084000000}" name="Trainer 12 Months Place Strike Rate" dataDxfId="292">
      <calculatedColumnFormula>IF(ISERROR(STANDARDIZE(BO20,BO$3,BO$4))," ",STANDARDIZE(BO20,BO$3,BO$4))</calculatedColumnFormula>
    </tableColumn>
    <tableColumn id="134" xr3:uid="{00000000-0010-0000-0400-000086000000}" name="Trainer This Season Avg Horse Earnings" dataDxfId="291">
      <calculatedColumnFormula>IF(ISERROR(STANDARDIZE(BP20,BP$3,BP$4))," ",STANDARDIZE(BP20,BP$3,BP$4))</calculatedColumnFormula>
    </tableColumn>
    <tableColumn id="136" xr3:uid="{00000000-0010-0000-0400-000088000000}" name="Trainer This Season Starts" dataDxfId="290">
      <calculatedColumnFormula>IF(ISERROR(STANDARDIZE(BQ20,BQ$3,BQ$4))," ",STANDARDIZE(BQ20,BQ$3,BQ$4))</calculatedColumnFormula>
    </tableColumn>
    <tableColumn id="138" xr3:uid="{00000000-0010-0000-0400-00008A000000}" name="Trainer This Season Wins" dataDxfId="289">
      <calculatedColumnFormula>IF(ISERROR(STANDARDIZE(BR20,BR$3,BR$4))," ",STANDARDIZE(BR20,BR$3,BR$4))</calculatedColumnFormula>
    </tableColumn>
    <tableColumn id="140" xr3:uid="{00000000-0010-0000-0400-00008C000000}" name="Trainer This Season Strike Rate" dataDxfId="288">
      <calculatedColumnFormula>IF(ISERROR(STANDARDIZE(BS20,BS$3,BS$4))," ",STANDARDIZE(BS20,BS$3,BS$4))</calculatedColumnFormula>
    </tableColumn>
    <tableColumn id="142" xr3:uid="{00000000-0010-0000-0400-00008E000000}" name="Trainer This Season ROI" dataDxfId="287">
      <calculatedColumnFormula>IF(ISERROR(STANDARDIZE(BT20,BT$3,BT$4))," ",STANDARDIZE(BT20,BT$3,BT$4))</calculatedColumnFormula>
    </tableColumn>
    <tableColumn id="144" xr3:uid="{00000000-0010-0000-0400-000090000000}" name="Trainer This Season Places" dataDxfId="286">
      <calculatedColumnFormula>IF(ISERROR(STANDARDIZE(BU20,BU$3,BU$4))," ",STANDARDIZE(BU20,BU$3,BU$4))</calculatedColumnFormula>
    </tableColumn>
    <tableColumn id="146" xr3:uid="{00000000-0010-0000-0400-000092000000}" name="Trainer This Season Place Strike Rate" dataDxfId="285">
      <calculatedColumnFormula>IF(ISERROR(STANDARDIZE(BV20,BV$3,BV$4))," ",STANDARDIZE(BV20,BV$3,BV$4))</calculatedColumnFormula>
    </tableColumn>
    <tableColumn id="148" xr3:uid="{00000000-0010-0000-0400-000094000000}" name="Last Start Finish Position" dataDxfId="284">
      <calculatedColumnFormula>IF(ISERROR(STANDARDIZE(BW20,BW$3,BW$4))," ",STANDARDIZE(BW20,BW$3,BW$4))</calculatedColumnFormula>
    </tableColumn>
    <tableColumn id="150" xr3:uid="{00000000-0010-0000-0400-000096000000}" name="Last Start Margin" dataDxfId="283">
      <calculatedColumnFormula>IF(ISERROR(STANDARDIZE(BX20,BX$3,BX$4))," ",STANDARDIZE(BX20,BX$3,BX$4))</calculatedColumnFormula>
    </tableColumn>
    <tableColumn id="152" xr3:uid="{00000000-0010-0000-0400-000098000000}" name="Last Start Distance Change" dataDxfId="282">
      <calculatedColumnFormula>IF(ISERROR(STANDARDIZE(BY20,BY$3,BY$4))," ",STANDARDIZE(BY20,BY$3,BY$4))</calculatedColumnFormula>
    </tableColumn>
    <tableColumn id="154" xr3:uid="{00000000-0010-0000-0400-00009A000000}" name="Last Start Prize Money" dataDxfId="281">
      <calculatedColumnFormula>IF(ISERROR(STANDARDIZE(BZ20,BZ$3,BZ$4))," ",STANDARDIZE(BZ20,BZ$3,BZ$4))</calculatedColumnFormula>
    </tableColumn>
    <tableColumn id="156" xr3:uid="{00000000-0010-0000-0400-00009C000000}" name="Cohesion ROI" dataDxfId="280">
      <calculatedColumnFormula>IF(ISERROR(STANDARDIZE(CA20,CA$3,CA$4))," ",STANDARDIZE(CA20,CA$3,CA$4))</calculatedColumnFormula>
    </tableColumn>
    <tableColumn id="3" xr3:uid="{00000000-0010-0000-0400-000003000000}" name="Finish Result (Updates after race)2" dataDxfId="279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meanTable" displayName="meanTable" ref="A2:CA4" totalsRowShown="0" headerRowDxfId="278" dataDxfId="277">
  <autoFilter ref="A2:CA4" xr:uid="{00000000-0009-0000-0100-00000D000000}"/>
  <tableColumns count="79">
    <tableColumn id="1" xr3:uid="{00000000-0010-0000-0500-000001000000}" name="Num" dataDxfId="276"/>
    <tableColumn id="2" xr3:uid="{00000000-0010-0000-0500-000002000000}" name="Career Strike Rate" dataDxfId="275"/>
    <tableColumn id="3" xr3:uid="{00000000-0010-0000-0500-000003000000}" name="Career ROI" dataDxfId="274"/>
    <tableColumn id="4" xr3:uid="{00000000-0010-0000-0500-000004000000}" name="Career Placings" dataDxfId="273"/>
    <tableColumn id="5" xr3:uid="{00000000-0010-0000-0500-000005000000}" name="Career Place Strike Rate" dataDxfId="272"/>
    <tableColumn id="6" xr3:uid="{00000000-0010-0000-0500-000006000000}" name="Average Prize Money" dataDxfId="271"/>
    <tableColumn id="7" xr3:uid="{00000000-0010-0000-0500-000007000000}" name="Best Fixed Odds" dataDxfId="270"/>
    <tableColumn id="8" xr3:uid="{00000000-0010-0000-0500-000008000000}" name="BetEasy Odds" dataDxfId="269"/>
    <tableColumn id="9" xr3:uid="{00000000-0010-0000-0500-000009000000}" name="Weight" dataDxfId="268"/>
    <tableColumn id="10" xr3:uid="{00000000-0010-0000-0500-00000A000000}" name="This Track Runs" dataDxfId="267"/>
    <tableColumn id="11" xr3:uid="{00000000-0010-0000-0500-00000B000000}" name="This Track Wins" dataDxfId="266"/>
    <tableColumn id="12" xr3:uid="{00000000-0010-0000-0500-00000C000000}" name="This Track Strike Rate" dataDxfId="265"/>
    <tableColumn id="13" xr3:uid="{00000000-0010-0000-0500-00000D000000}" name="This Track ROI" dataDxfId="264"/>
    <tableColumn id="14" xr3:uid="{00000000-0010-0000-0500-00000E000000}" name="This Track Places" dataDxfId="263"/>
    <tableColumn id="15" xr3:uid="{00000000-0010-0000-0500-00000F000000}" name="This Track Place Strike Rate" dataDxfId="262"/>
    <tableColumn id="16" xr3:uid="{00000000-0010-0000-0500-000010000000}" name="This Distance Runs" dataDxfId="261"/>
    <tableColumn id="17" xr3:uid="{00000000-0010-0000-0500-000011000000}" name="This Distance Wins" dataDxfId="260"/>
    <tableColumn id="18" xr3:uid="{00000000-0010-0000-0500-000012000000}" name="This Distance Strike Rate" dataDxfId="259"/>
    <tableColumn id="19" xr3:uid="{00000000-0010-0000-0500-000013000000}" name="This Distance ROI" dataDxfId="258"/>
    <tableColumn id="20" xr3:uid="{00000000-0010-0000-0500-000014000000}" name="This Distance Places" dataDxfId="257"/>
    <tableColumn id="21" xr3:uid="{00000000-0010-0000-0500-000015000000}" name="This Distance Place Strike Rate" dataDxfId="256"/>
    <tableColumn id="22" xr3:uid="{00000000-0010-0000-0500-000016000000}" name="This Track Distance Runs" dataDxfId="255"/>
    <tableColumn id="23" xr3:uid="{00000000-0010-0000-0500-000017000000}" name="This Track Distance Wins" dataDxfId="254"/>
    <tableColumn id="24" xr3:uid="{00000000-0010-0000-0500-000018000000}" name="This Track Distance Strike Rate" dataDxfId="253"/>
    <tableColumn id="25" xr3:uid="{00000000-0010-0000-0500-000019000000}" name="This Track Distance ROI" dataDxfId="252"/>
    <tableColumn id="26" xr3:uid="{00000000-0010-0000-0500-00001A000000}" name="This Track Distance Places" dataDxfId="251"/>
    <tableColumn id="27" xr3:uid="{00000000-0010-0000-0500-00001B000000}" name="This Track Distance Place Strike Rate" dataDxfId="250"/>
    <tableColumn id="28" xr3:uid="{00000000-0010-0000-0500-00001C000000}" name="This Condition Runs" dataDxfId="249"/>
    <tableColumn id="29" xr3:uid="{00000000-0010-0000-0500-00001D000000}" name="This Condition Wins" dataDxfId="248"/>
    <tableColumn id="30" xr3:uid="{00000000-0010-0000-0500-00001E000000}" name="This Condition Strike Rate" dataDxfId="247"/>
    <tableColumn id="31" xr3:uid="{00000000-0010-0000-0500-00001F000000}" name="This Condition ROI" dataDxfId="246"/>
    <tableColumn id="32" xr3:uid="{00000000-0010-0000-0500-000020000000}" name="This Condition Places" dataDxfId="245"/>
    <tableColumn id="33" xr3:uid="{00000000-0010-0000-0500-000021000000}" name="This Condition Place Strike Rate" dataDxfId="244"/>
    <tableColumn id="34" xr3:uid="{00000000-0010-0000-0500-000022000000}" name="Jockey Last 100 Avg Horse Earnings" dataDxfId="243"/>
    <tableColumn id="35" xr3:uid="{00000000-0010-0000-0500-000023000000}" name="Jockey Last 100 Starts" dataDxfId="242"/>
    <tableColumn id="36" xr3:uid="{00000000-0010-0000-0500-000024000000}" name="Jockey Last 100 Wins" dataDxfId="241"/>
    <tableColumn id="37" xr3:uid="{00000000-0010-0000-0500-000025000000}" name="Jockey Last 100 Strike Rate" dataDxfId="240"/>
    <tableColumn id="38" xr3:uid="{00000000-0010-0000-0500-000026000000}" name="Jockey Last 100 ROI" dataDxfId="239"/>
    <tableColumn id="39" xr3:uid="{00000000-0010-0000-0500-000027000000}" name="Jockey Last 100 Places" dataDxfId="238"/>
    <tableColumn id="40" xr3:uid="{00000000-0010-0000-0500-000028000000}" name="Jockey Last 100 Place Strike Rate" dataDxfId="237"/>
    <tableColumn id="41" xr3:uid="{00000000-0010-0000-0500-000029000000}" name="Jockey 12 Month Avg Horse Earnings" dataDxfId="236"/>
    <tableColumn id="42" xr3:uid="{00000000-0010-0000-0500-00002A000000}" name="Jockey 12 Months Starts" dataDxfId="235"/>
    <tableColumn id="43" xr3:uid="{00000000-0010-0000-0500-00002B000000}" name="Jockey 12 Months Wins" dataDxfId="234"/>
    <tableColumn id="44" xr3:uid="{00000000-0010-0000-0500-00002C000000}" name="Jockey 12 Months Strike Rate" dataDxfId="233"/>
    <tableColumn id="45" xr3:uid="{00000000-0010-0000-0500-00002D000000}" name="Jockey 12 Months ROI" dataDxfId="232"/>
    <tableColumn id="46" xr3:uid="{00000000-0010-0000-0500-00002E000000}" name="Jockey 12 Months Places" dataDxfId="231"/>
    <tableColumn id="47" xr3:uid="{00000000-0010-0000-0500-00002F000000}" name="Jockey 12 Months Place Strike Rate" dataDxfId="230"/>
    <tableColumn id="48" xr3:uid="{00000000-0010-0000-0500-000030000000}" name="Jockey This Season Avg Horse Earnings" dataDxfId="229"/>
    <tableColumn id="49" xr3:uid="{00000000-0010-0000-0500-000031000000}" name="Jockey This Season Starts" dataDxfId="228"/>
    <tableColumn id="50" xr3:uid="{00000000-0010-0000-0500-000032000000}" name="Jockey This Season Wins" dataDxfId="227"/>
    <tableColumn id="51" xr3:uid="{00000000-0010-0000-0500-000033000000}" name="Jockey This Season Strike Rate" dataDxfId="226"/>
    <tableColumn id="52" xr3:uid="{00000000-0010-0000-0500-000034000000}" name="Jockey This Season ROI" dataDxfId="225"/>
    <tableColumn id="53" xr3:uid="{00000000-0010-0000-0500-000035000000}" name="Jockey This Season Places" dataDxfId="224"/>
    <tableColumn id="54" xr3:uid="{00000000-0010-0000-0500-000036000000}" name="Jockey This Season Place Strike Rate" dataDxfId="223"/>
    <tableColumn id="55" xr3:uid="{00000000-0010-0000-0500-000037000000}" name="Trainer Last 100 Avg Horse Earnings" dataDxfId="222"/>
    <tableColumn id="56" xr3:uid="{00000000-0010-0000-0500-000038000000}" name="Trainer Last 100 Wins" dataDxfId="221"/>
    <tableColumn id="57" xr3:uid="{00000000-0010-0000-0500-000039000000}" name="Trainer Last 100 Strike Rate" dataDxfId="220"/>
    <tableColumn id="58" xr3:uid="{00000000-0010-0000-0500-00003A000000}" name="Trainer Last 100 ROI" dataDxfId="219"/>
    <tableColumn id="59" xr3:uid="{00000000-0010-0000-0500-00003B000000}" name="Trainer Last 100 Places" dataDxfId="218"/>
    <tableColumn id="60" xr3:uid="{00000000-0010-0000-0500-00003C000000}" name="Trainer Last 100 Place Strike Rate" dataDxfId="217"/>
    <tableColumn id="61" xr3:uid="{00000000-0010-0000-0500-00003D000000}" name="Trainer 12 Month Avg Horse Earnings" dataDxfId="216"/>
    <tableColumn id="62" xr3:uid="{00000000-0010-0000-0500-00003E000000}" name="Trainer 12 Months Starts" dataDxfId="215"/>
    <tableColumn id="63" xr3:uid="{00000000-0010-0000-0500-00003F000000}" name="Trainer 12 Months Wins" dataDxfId="214"/>
    <tableColumn id="64" xr3:uid="{00000000-0010-0000-0500-000040000000}" name="Trainer 12 Months Strike Rate" dataDxfId="213"/>
    <tableColumn id="65" xr3:uid="{00000000-0010-0000-0500-000041000000}" name="Trainer 12 Months ROI" dataDxfId="212"/>
    <tableColumn id="66" xr3:uid="{00000000-0010-0000-0500-000042000000}" name="Trainer 12 Months Places" dataDxfId="211"/>
    <tableColumn id="67" xr3:uid="{00000000-0010-0000-0500-000043000000}" name="Trainer 12 Months Place Strike Rate" dataDxfId="210"/>
    <tableColumn id="68" xr3:uid="{00000000-0010-0000-0500-000044000000}" name="Trainer This Season Avg Horse Earnings" dataDxfId="209"/>
    <tableColumn id="69" xr3:uid="{00000000-0010-0000-0500-000045000000}" name="Trainer This Season Starts" dataDxfId="208"/>
    <tableColumn id="70" xr3:uid="{00000000-0010-0000-0500-000046000000}" name="Trainer This Season Wins" dataDxfId="207"/>
    <tableColumn id="71" xr3:uid="{00000000-0010-0000-0500-000047000000}" name="Trainer This Season Strike Rate" dataDxfId="206"/>
    <tableColumn id="72" xr3:uid="{00000000-0010-0000-0500-000048000000}" name="Trainer This Season ROI" dataDxfId="205"/>
    <tableColumn id="73" xr3:uid="{00000000-0010-0000-0500-000049000000}" name="Trainer This Season Places" dataDxfId="204"/>
    <tableColumn id="74" xr3:uid="{00000000-0010-0000-0500-00004A000000}" name="Trainer This Season Place Strike Rate" dataDxfId="203"/>
    <tableColumn id="75" xr3:uid="{00000000-0010-0000-0500-00004B000000}" name="Last Start Finish Position" dataDxfId="202"/>
    <tableColumn id="76" xr3:uid="{00000000-0010-0000-0500-00004C000000}" name="Last Start Margin" dataDxfId="201"/>
    <tableColumn id="77" xr3:uid="{00000000-0010-0000-0500-00004D000000}" name="Last Start Distance Change" dataDxfId="200"/>
    <tableColumn id="78" xr3:uid="{00000000-0010-0000-0500-00004E000000}" name="Last Start Prize Money" dataDxfId="199"/>
    <tableColumn id="79" xr3:uid="{00000000-0010-0000-0500-00004F000000}" name="Cohesion ROI" dataDxfId="198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randomSelection" displayName="randomSelection" ref="A8:CB15" totalsRowShown="0" headerRowDxfId="197" dataDxfId="196">
  <autoFilter ref="A8:CB15" xr:uid="{00000000-0009-0000-0100-00000E000000}"/>
  <tableColumns count="80">
    <tableColumn id="1" xr3:uid="{00000000-0010-0000-0600-000001000000}" name="CENTER (RANDOM SELECTION)" dataDxfId="195"/>
    <tableColumn id="2" xr3:uid="{00000000-0010-0000-0600-000002000000}" name="Career Strike Rate" dataDxfId="194">
      <calculatedColumnFormula>IF(ISERROR(INDEX(B$50:B$75,MATCH($A9,$A$50:$A$75,))),0,INDEX(B$50:B$75,MATCH($A9,$A$50:$A$75,)))</calculatedColumnFormula>
    </tableColumn>
    <tableColumn id="3" xr3:uid="{00000000-0010-0000-0600-000003000000}" name="Career ROI" dataDxfId="193">
      <calculatedColumnFormula>IF(ISERROR(INDEX(C$50:C$75,MATCH($A9,$A$50:$A$75,))),0,INDEX(C$50:C$75,MATCH($A9,$A$50:$A$75,)))</calculatedColumnFormula>
    </tableColumn>
    <tableColumn id="4" xr3:uid="{00000000-0010-0000-0600-000004000000}" name="Career Placings" dataDxfId="192">
      <calculatedColumnFormula>IF(ISERROR(INDEX(D$50:D$75,MATCH($A9,$A$50:$A$75,))),0,INDEX(D$50:D$75,MATCH($A9,$A$50:$A$75,)))</calculatedColumnFormula>
    </tableColumn>
    <tableColumn id="5" xr3:uid="{00000000-0010-0000-0600-000005000000}" name="Career Place Strike Rate" dataDxfId="191">
      <calculatedColumnFormula>IF(ISERROR(INDEX(E$50:E$75,MATCH($A9,$A$50:$A$75,))),0,INDEX(E$50:E$75,MATCH($A9,$A$50:$A$75,)))</calculatedColumnFormula>
    </tableColumn>
    <tableColumn id="6" xr3:uid="{00000000-0010-0000-0600-000006000000}" name="Average Prize Money" dataDxfId="190">
      <calculatedColumnFormula>IF(ISERROR(INDEX(F$50:F$75,MATCH($A9,$A$50:$A$75,))),0,INDEX(F$50:F$75,MATCH($A9,$A$50:$A$75,)))</calculatedColumnFormula>
    </tableColumn>
    <tableColumn id="7" xr3:uid="{00000000-0010-0000-0600-000007000000}" name="Best Fixed Odds" dataDxfId="189">
      <calculatedColumnFormula>IF(ISERROR(INDEX(G$50:G$75,MATCH($A9,$A$50:$A$75,))),0,INDEX(G$50:G$75,MATCH($A9,$A$50:$A$75,)))</calculatedColumnFormula>
    </tableColumn>
    <tableColumn id="8" xr3:uid="{00000000-0010-0000-0600-000008000000}" name="BetEasy Odds" dataDxfId="188">
      <calculatedColumnFormula>IF(ISERROR(INDEX(H$50:H$75,MATCH($A9,$A$50:$A$75,))),0,INDEX(H$50:H$75,MATCH($A9,$A$50:$A$75,)))</calculatedColumnFormula>
    </tableColumn>
    <tableColumn id="9" xr3:uid="{00000000-0010-0000-0600-000009000000}" name="Weight" dataDxfId="187">
      <calculatedColumnFormula>IF(ISERROR(INDEX(I$50:I$75,MATCH($A9,$A$50:$A$75,))),0,INDEX(I$50:I$75,MATCH($A9,$A$50:$A$75,)))</calculatedColumnFormula>
    </tableColumn>
    <tableColumn id="10" xr3:uid="{00000000-0010-0000-0600-00000A000000}" name="This Track Runs" dataDxfId="186">
      <calculatedColumnFormula>IF(ISERROR(INDEX(J$50:J$75,MATCH($A9,$A$50:$A$75,))),0,INDEX(J$50:J$75,MATCH($A9,$A$50:$A$75,)))</calculatedColumnFormula>
    </tableColumn>
    <tableColumn id="11" xr3:uid="{00000000-0010-0000-0600-00000B000000}" name="This Track Wins" dataDxfId="185">
      <calculatedColumnFormula>IF(ISERROR(INDEX(K$50:K$75,MATCH($A9,$A$50:$A$75,))),0,INDEX(K$50:K$75,MATCH($A9,$A$50:$A$75,)))</calculatedColumnFormula>
    </tableColumn>
    <tableColumn id="12" xr3:uid="{00000000-0010-0000-0600-00000C000000}" name="This Track Strike Rate" dataDxfId="184">
      <calculatedColumnFormula>IF(ISERROR(INDEX(L$50:L$75,MATCH($A9,$A$50:$A$75,))),0,INDEX(L$50:L$75,MATCH($A9,$A$50:$A$75,)))</calculatedColumnFormula>
    </tableColumn>
    <tableColumn id="13" xr3:uid="{00000000-0010-0000-0600-00000D000000}" name="This Track ROI" dataDxfId="183">
      <calculatedColumnFormula>IF(ISERROR(INDEX(M$50:M$75,MATCH($A9,$A$50:$A$75,))),0,INDEX(M$50:M$75,MATCH($A9,$A$50:$A$75,)))</calculatedColumnFormula>
    </tableColumn>
    <tableColumn id="14" xr3:uid="{00000000-0010-0000-0600-00000E000000}" name="This Track Places" dataDxfId="182">
      <calculatedColumnFormula>IF(ISERROR(INDEX(N$50:N$75,MATCH($A9,$A$50:$A$75,))),0,INDEX(N$50:N$75,MATCH($A9,$A$50:$A$75,)))</calculatedColumnFormula>
    </tableColumn>
    <tableColumn id="15" xr3:uid="{00000000-0010-0000-0600-00000F000000}" name="This Track Place Strike Rate" dataDxfId="181">
      <calculatedColumnFormula>IF(ISERROR(INDEX(O$50:O$75,MATCH($A9,$A$50:$A$75,))),0,INDEX(O$50:O$75,MATCH($A9,$A$50:$A$75,)))</calculatedColumnFormula>
    </tableColumn>
    <tableColumn id="16" xr3:uid="{00000000-0010-0000-0600-000010000000}" name="This Distance Runs" dataDxfId="180">
      <calculatedColumnFormula>IF(ISERROR(INDEX(P$50:P$75,MATCH($A9,$A$50:$A$75,))),0,INDEX(P$50:P$75,MATCH($A9,$A$50:$A$75,)))</calculatedColumnFormula>
    </tableColumn>
    <tableColumn id="17" xr3:uid="{00000000-0010-0000-0600-000011000000}" name="This Distance Wins" dataDxfId="179">
      <calculatedColumnFormula>IF(ISERROR(INDEX(Q$50:Q$75,MATCH($A9,$A$50:$A$75,))),0,INDEX(Q$50:Q$75,MATCH($A9,$A$50:$A$75,)))</calculatedColumnFormula>
    </tableColumn>
    <tableColumn id="18" xr3:uid="{00000000-0010-0000-0600-000012000000}" name="This Distance Strike Rate" dataDxfId="178">
      <calculatedColumnFormula>IF(ISERROR(INDEX(R$50:R$75,MATCH($A9,$A$50:$A$75,))),0,INDEX(R$50:R$75,MATCH($A9,$A$50:$A$75,)))</calculatedColumnFormula>
    </tableColumn>
    <tableColumn id="19" xr3:uid="{00000000-0010-0000-0600-000013000000}" name="This Distance ROI" dataDxfId="177">
      <calculatedColumnFormula>IF(ISERROR(INDEX(S$50:S$75,MATCH($A9,$A$50:$A$75,))),0,INDEX(S$50:S$75,MATCH($A9,$A$50:$A$75,)))</calculatedColumnFormula>
    </tableColumn>
    <tableColumn id="20" xr3:uid="{00000000-0010-0000-0600-000014000000}" name="This Distance Places" dataDxfId="176">
      <calculatedColumnFormula>IF(ISERROR(INDEX(T$50:T$75,MATCH($A9,$A$50:$A$75,))),0,INDEX(T$50:T$75,MATCH($A9,$A$50:$A$75,)))</calculatedColumnFormula>
    </tableColumn>
    <tableColumn id="21" xr3:uid="{00000000-0010-0000-0600-000015000000}" name="This Distance Place Strike Rate" dataDxfId="175">
      <calculatedColumnFormula>IF(ISERROR(INDEX(U$50:U$75,MATCH($A9,$A$50:$A$75,))),0,INDEX(U$50:U$75,MATCH($A9,$A$50:$A$75,)))</calculatedColumnFormula>
    </tableColumn>
    <tableColumn id="22" xr3:uid="{00000000-0010-0000-0600-000016000000}" name="This Track Distance Runs" dataDxfId="174">
      <calculatedColumnFormula>IF(ISERROR(INDEX(V$50:V$75,MATCH($A9,$A$50:$A$75,))),0,INDEX(V$50:V$75,MATCH($A9,$A$50:$A$75,)))</calculatedColumnFormula>
    </tableColumn>
    <tableColumn id="23" xr3:uid="{00000000-0010-0000-0600-000017000000}" name="This Track Distance Wins" dataDxfId="173">
      <calculatedColumnFormula>IF(ISERROR(INDEX(W$50:W$75,MATCH($A9,$A$50:$A$75,))),0,INDEX(W$50:W$75,MATCH($A9,$A$50:$A$75,)))</calculatedColumnFormula>
    </tableColumn>
    <tableColumn id="24" xr3:uid="{00000000-0010-0000-0600-000018000000}" name="This Track Distance Strike Rate" dataDxfId="172">
      <calculatedColumnFormula>IF(ISERROR(INDEX(X$50:X$75,MATCH($A9,$A$50:$A$75,))),0,INDEX(X$50:X$75,MATCH($A9,$A$50:$A$75,)))</calculatedColumnFormula>
    </tableColumn>
    <tableColumn id="25" xr3:uid="{00000000-0010-0000-0600-000019000000}" name="This Track Distance ROI" dataDxfId="171">
      <calculatedColumnFormula>IF(ISERROR(INDEX(Y$50:Y$75,MATCH($A9,$A$50:$A$75,))),0,INDEX(Y$50:Y$75,MATCH($A9,$A$50:$A$75,)))</calculatedColumnFormula>
    </tableColumn>
    <tableColumn id="26" xr3:uid="{00000000-0010-0000-0600-00001A000000}" name="This Track Distance Places" dataDxfId="170">
      <calculatedColumnFormula>IF(ISERROR(INDEX(Z$50:Z$75,MATCH($A9,$A$50:$A$75,))),0,INDEX(Z$50:Z$75,MATCH($A9,$A$50:$A$75,)))</calculatedColumnFormula>
    </tableColumn>
    <tableColumn id="27" xr3:uid="{00000000-0010-0000-0600-00001B000000}" name="This Track Distance Place Strike Rate" dataDxfId="169">
      <calculatedColumnFormula>IF(ISERROR(INDEX(AA$50:AA$75,MATCH($A9,$A$50:$A$75,))),0,INDEX(AA$50:AA$75,MATCH($A9,$A$50:$A$75,)))</calculatedColumnFormula>
    </tableColumn>
    <tableColumn id="28" xr3:uid="{00000000-0010-0000-0600-00001C000000}" name="This Condition Runs" dataDxfId="168">
      <calculatedColumnFormula>IF(ISERROR(INDEX(AB$50:AB$75,MATCH($A9,$A$50:$A$75,))),0,INDEX(AB$50:AB$75,MATCH($A9,$A$50:$A$75,)))</calculatedColumnFormula>
    </tableColumn>
    <tableColumn id="29" xr3:uid="{00000000-0010-0000-0600-00001D000000}" name="This Condition Wins" dataDxfId="167">
      <calculatedColumnFormula>IF(ISERROR(INDEX(AC$50:AC$75,MATCH($A9,$A$50:$A$75,))),0,INDEX(AC$50:AC$75,MATCH($A9,$A$50:$A$75,)))</calculatedColumnFormula>
    </tableColumn>
    <tableColumn id="30" xr3:uid="{00000000-0010-0000-0600-00001E000000}" name="This Condition Strike Rate" dataDxfId="166">
      <calculatedColumnFormula>IF(ISERROR(INDEX(AD$50:AD$75,MATCH($A9,$A$50:$A$75,))),0,INDEX(AD$50:AD$75,MATCH($A9,$A$50:$A$75,)))</calculatedColumnFormula>
    </tableColumn>
    <tableColumn id="31" xr3:uid="{00000000-0010-0000-0600-00001F000000}" name="This Condition ROI" dataDxfId="165">
      <calculatedColumnFormula>IF(ISERROR(INDEX(AE$50:AE$75,MATCH($A9,$A$50:$A$75,))),0,INDEX(AE$50:AE$75,MATCH($A9,$A$50:$A$75,)))</calculatedColumnFormula>
    </tableColumn>
    <tableColumn id="32" xr3:uid="{00000000-0010-0000-0600-000020000000}" name="This Condition Places" dataDxfId="164">
      <calculatedColumnFormula>IF(ISERROR(INDEX(AF$50:AF$75,MATCH($A9,$A$50:$A$75,))),0,INDEX(AF$50:AF$75,MATCH($A9,$A$50:$A$75,)))</calculatedColumnFormula>
    </tableColumn>
    <tableColumn id="33" xr3:uid="{00000000-0010-0000-0600-000021000000}" name="This Condition Place Strike Rate" dataDxfId="163">
      <calculatedColumnFormula>IF(ISERROR(INDEX(AG$50:AG$75,MATCH($A9,$A$50:$A$75,))),0,INDEX(AG$50:AG$75,MATCH($A9,$A$50:$A$75,)))</calculatedColumnFormula>
    </tableColumn>
    <tableColumn id="34" xr3:uid="{00000000-0010-0000-0600-000022000000}" name="Jockey Last 100 Avg Horse Earnings" dataDxfId="162">
      <calculatedColumnFormula>IF(ISERROR(INDEX(AH$50:AH$75,MATCH($A9,$A$50:$A$75,))),0,INDEX(AH$50:AH$75,MATCH($A9,$A$50:$A$75,)))</calculatedColumnFormula>
    </tableColumn>
    <tableColumn id="35" xr3:uid="{00000000-0010-0000-0600-000023000000}" name="Jockey Last 100 Starts" dataDxfId="161">
      <calculatedColumnFormula>IF(ISERROR(INDEX(AI$50:AI$75,MATCH($A9,$A$50:$A$75,))),0,INDEX(AI$50:AI$75,MATCH($A9,$A$50:$A$75,)))</calculatedColumnFormula>
    </tableColumn>
    <tableColumn id="36" xr3:uid="{00000000-0010-0000-0600-000024000000}" name="Jockey Last 100 Wins" dataDxfId="160">
      <calculatedColumnFormula>IF(ISERROR(INDEX(AJ$50:AJ$75,MATCH($A9,$A$50:$A$75,))),0,INDEX(AJ$50:AJ$75,MATCH($A9,$A$50:$A$75,)))</calculatedColumnFormula>
    </tableColumn>
    <tableColumn id="37" xr3:uid="{00000000-0010-0000-0600-000025000000}" name="Jockey Last 100 Strike Rate" dataDxfId="159">
      <calculatedColumnFormula>IF(ISERROR(INDEX(AK$50:AK$75,MATCH($A9,$A$50:$A$75,))),0,INDEX(AK$50:AK$75,MATCH($A9,$A$50:$A$75,)))</calculatedColumnFormula>
    </tableColumn>
    <tableColumn id="38" xr3:uid="{00000000-0010-0000-0600-000026000000}" name="Jockey Last 100 ROI" dataDxfId="158">
      <calculatedColumnFormula>IF(ISERROR(INDEX(AL$50:AL$75,MATCH($A9,$A$50:$A$75,))),0,INDEX(AL$50:AL$75,MATCH($A9,$A$50:$A$75,)))</calculatedColumnFormula>
    </tableColumn>
    <tableColumn id="39" xr3:uid="{00000000-0010-0000-0600-000027000000}" name="Jockey Last 100 Places" dataDxfId="157">
      <calculatedColumnFormula>IF(ISERROR(INDEX(AM$50:AM$75,MATCH($A9,$A$50:$A$75,))),0,INDEX(AM$50:AM$75,MATCH($A9,$A$50:$A$75,)))</calculatedColumnFormula>
    </tableColumn>
    <tableColumn id="40" xr3:uid="{00000000-0010-0000-0600-000028000000}" name="Jockey Last 100 Place Strike Rate" dataDxfId="156">
      <calculatedColumnFormula>IF(ISERROR(INDEX(AN$50:AN$75,MATCH($A9,$A$50:$A$75,))),0,INDEX(AN$50:AN$75,MATCH($A9,$A$50:$A$75,)))</calculatedColumnFormula>
    </tableColumn>
    <tableColumn id="41" xr3:uid="{00000000-0010-0000-0600-000029000000}" name="Jockey 12 Month Avg Horse Earnings" dataDxfId="155">
      <calculatedColumnFormula>IF(ISERROR(INDEX(AO$50:AO$75,MATCH($A9,$A$50:$A$75,))),0,INDEX(AO$50:AO$75,MATCH($A9,$A$50:$A$75,)))</calculatedColumnFormula>
    </tableColumn>
    <tableColumn id="42" xr3:uid="{00000000-0010-0000-0600-00002A000000}" name="Jockey 12 Months Starts" dataDxfId="154">
      <calculatedColumnFormula>IF(ISERROR(INDEX(AP$50:AP$75,MATCH($A9,$A$50:$A$75,))),0,INDEX(AP$50:AP$75,MATCH($A9,$A$50:$A$75,)))</calculatedColumnFormula>
    </tableColumn>
    <tableColumn id="43" xr3:uid="{00000000-0010-0000-0600-00002B000000}" name="Jockey 12 Months Wins" dataDxfId="153">
      <calculatedColumnFormula>IF(ISERROR(INDEX(AQ$50:AQ$75,MATCH($A9,$A$50:$A$75,))),0,INDEX(AQ$50:AQ$75,MATCH($A9,$A$50:$A$75,)))</calculatedColumnFormula>
    </tableColumn>
    <tableColumn id="44" xr3:uid="{00000000-0010-0000-0600-00002C000000}" name="Jockey 12 Months Strike Rate" dataDxfId="152">
      <calculatedColumnFormula>IF(ISERROR(INDEX(AR$50:AR$75,MATCH($A9,$A$50:$A$75,))),0,INDEX(AR$50:AR$75,MATCH($A9,$A$50:$A$75,)))</calculatedColumnFormula>
    </tableColumn>
    <tableColumn id="45" xr3:uid="{00000000-0010-0000-0600-00002D000000}" name="Jockey 12 Months ROI" dataDxfId="151">
      <calculatedColumnFormula>IF(ISERROR(INDEX(AS$50:AS$75,MATCH($A9,$A$50:$A$75,))),0,INDEX(AS$50:AS$75,MATCH($A9,$A$50:$A$75,)))</calculatedColumnFormula>
    </tableColumn>
    <tableColumn id="46" xr3:uid="{00000000-0010-0000-0600-00002E000000}" name="Jockey 12 Months Places" dataDxfId="150">
      <calculatedColumnFormula>IF(ISERROR(INDEX(AT$50:AT$75,MATCH($A9,$A$50:$A$75,))),0,INDEX(AT$50:AT$75,MATCH($A9,$A$50:$A$75,)))</calculatedColumnFormula>
    </tableColumn>
    <tableColumn id="47" xr3:uid="{00000000-0010-0000-0600-00002F000000}" name="Jockey 12 Months Place Strike Rate" dataDxfId="149">
      <calculatedColumnFormula>IF(ISERROR(INDEX(AU$50:AU$75,MATCH($A9,$A$50:$A$75,))),0,INDEX(AU$50:AU$75,MATCH($A9,$A$50:$A$75,)))</calculatedColumnFormula>
    </tableColumn>
    <tableColumn id="48" xr3:uid="{00000000-0010-0000-0600-000030000000}" name="Jockey This Season Avg Horse Earnings" dataDxfId="148">
      <calculatedColumnFormula>IF(ISERROR(INDEX(AV$50:AV$75,MATCH($A9,$A$50:$A$75,))),0,INDEX(AV$50:AV$75,MATCH($A9,$A$50:$A$75,)))</calculatedColumnFormula>
    </tableColumn>
    <tableColumn id="49" xr3:uid="{00000000-0010-0000-0600-000031000000}" name="Jockey This Season Starts" dataDxfId="147">
      <calculatedColumnFormula>IF(ISERROR(INDEX(AW$50:AW$75,MATCH($A9,$A$50:$A$75,))),0,INDEX(AW$50:AW$75,MATCH($A9,$A$50:$A$75,)))</calculatedColumnFormula>
    </tableColumn>
    <tableColumn id="50" xr3:uid="{00000000-0010-0000-0600-000032000000}" name="Jockey This Season Wins" dataDxfId="146">
      <calculatedColumnFormula>IF(ISERROR(INDEX(AX$50:AX$75,MATCH($A9,$A$50:$A$75,))),0,INDEX(AX$50:AX$75,MATCH($A9,$A$50:$A$75,)))</calculatedColumnFormula>
    </tableColumn>
    <tableColumn id="51" xr3:uid="{00000000-0010-0000-0600-000033000000}" name="Jockey This Season Strike Rate" dataDxfId="145">
      <calculatedColumnFormula>IF(ISERROR(INDEX(AY$50:AY$75,MATCH($A9,$A$50:$A$75,))),0,INDEX(AY$50:AY$75,MATCH($A9,$A$50:$A$75,)))</calculatedColumnFormula>
    </tableColumn>
    <tableColumn id="52" xr3:uid="{00000000-0010-0000-0600-000034000000}" name="Jockey This Season ROI" dataDxfId="144">
      <calculatedColumnFormula>IF(ISERROR(INDEX(AZ$50:AZ$75,MATCH($A9,$A$50:$A$75,))),0,INDEX(AZ$50:AZ$75,MATCH($A9,$A$50:$A$75,)))</calculatedColumnFormula>
    </tableColumn>
    <tableColumn id="53" xr3:uid="{00000000-0010-0000-0600-000035000000}" name="Jockey This Season Places" dataDxfId="143">
      <calculatedColumnFormula>IF(ISERROR(INDEX(BA$50:BA$75,MATCH($A9,$A$50:$A$75,))),0,INDEX(BA$50:BA$75,MATCH($A9,$A$50:$A$75,)))</calculatedColumnFormula>
    </tableColumn>
    <tableColumn id="54" xr3:uid="{00000000-0010-0000-0600-000036000000}" name="Jockey This Season Place Strike Rate" dataDxfId="142">
      <calculatedColumnFormula>IF(ISERROR(INDEX(BB$50:BB$75,MATCH($A9,$A$50:$A$75,))),0,INDEX(BB$50:BB$75,MATCH($A9,$A$50:$A$75,)))</calculatedColumnFormula>
    </tableColumn>
    <tableColumn id="55" xr3:uid="{00000000-0010-0000-0600-000037000000}" name="Trainer Last 100 Avg Horse Earnings" dataDxfId="141">
      <calculatedColumnFormula>IF(ISERROR(INDEX(BC$50:BC$75,MATCH($A9,$A$50:$A$75,))),0,INDEX(BC$50:BC$75,MATCH($A9,$A$50:$A$75,)))</calculatedColumnFormula>
    </tableColumn>
    <tableColumn id="56" xr3:uid="{00000000-0010-0000-0600-000038000000}" name="Trainer Last 100 Wins" dataDxfId="140">
      <calculatedColumnFormula>IF(ISERROR(INDEX(BD$50:BD$75,MATCH($A9,$A$50:$A$75,))),0,INDEX(BD$50:BD$75,MATCH($A9,$A$50:$A$75,)))</calculatedColumnFormula>
    </tableColumn>
    <tableColumn id="57" xr3:uid="{00000000-0010-0000-0600-000039000000}" name="Trainer Last 100 Strike Rate" dataDxfId="139">
      <calculatedColumnFormula>IF(ISERROR(INDEX(BE$50:BE$75,MATCH($A9,$A$50:$A$75,))),0,INDEX(BE$50:BE$75,MATCH($A9,$A$50:$A$75,)))</calculatedColumnFormula>
    </tableColumn>
    <tableColumn id="58" xr3:uid="{00000000-0010-0000-0600-00003A000000}" name="Trainer Last 100 ROI" dataDxfId="138">
      <calculatedColumnFormula>IF(ISERROR(INDEX(BF$50:BF$75,MATCH($A9,$A$50:$A$75,))),0,INDEX(BF$50:BF$75,MATCH($A9,$A$50:$A$75,)))</calculatedColumnFormula>
    </tableColumn>
    <tableColumn id="59" xr3:uid="{00000000-0010-0000-0600-00003B000000}" name="Trainer Last 100 Places" dataDxfId="137">
      <calculatedColumnFormula>IF(ISERROR(INDEX(BG$50:BG$75,MATCH($A9,$A$50:$A$75,))),0,INDEX(BG$50:BG$75,MATCH($A9,$A$50:$A$75,)))</calculatedColumnFormula>
    </tableColumn>
    <tableColumn id="60" xr3:uid="{00000000-0010-0000-0600-00003C000000}" name="Trainer Last 100 Place Strike Rate" dataDxfId="136">
      <calculatedColumnFormula>IF(ISERROR(INDEX(BH$50:BH$75,MATCH($A9,$A$50:$A$75,))),0,INDEX(BH$50:BH$75,MATCH($A9,$A$50:$A$75,)))</calculatedColumnFormula>
    </tableColumn>
    <tableColumn id="61" xr3:uid="{00000000-0010-0000-0600-00003D000000}" name="Trainer 12 Month Avg Horse Earnings" dataDxfId="135">
      <calculatedColumnFormula>IF(ISERROR(INDEX(BI$50:BI$75,MATCH($A9,$A$50:$A$75,))),0,INDEX(BI$50:BI$75,MATCH($A9,$A$50:$A$75,)))</calculatedColumnFormula>
    </tableColumn>
    <tableColumn id="62" xr3:uid="{00000000-0010-0000-0600-00003E000000}" name="Trainer 12 Months Starts" dataDxfId="134">
      <calculatedColumnFormula>IF(ISERROR(INDEX(BJ$50:BJ$75,MATCH($A9,$A$50:$A$75,))),0,INDEX(BJ$50:BJ$75,MATCH($A9,$A$50:$A$75,)))</calculatedColumnFormula>
    </tableColumn>
    <tableColumn id="63" xr3:uid="{00000000-0010-0000-0600-00003F000000}" name="Trainer 12 Months Wins" dataDxfId="133">
      <calculatedColumnFormula>IF(ISERROR(INDEX(BK$50:BK$75,MATCH($A9,$A$50:$A$75,))),0,INDEX(BK$50:BK$75,MATCH($A9,$A$50:$A$75,)))</calculatedColumnFormula>
    </tableColumn>
    <tableColumn id="64" xr3:uid="{00000000-0010-0000-0600-000040000000}" name="Trainer 12 Months Strike Rate" dataDxfId="132">
      <calculatedColumnFormula>IF(ISERROR(INDEX(BL$50:BL$75,MATCH($A9,$A$50:$A$75,))),0,INDEX(BL$50:BL$75,MATCH($A9,$A$50:$A$75,)))</calculatedColumnFormula>
    </tableColumn>
    <tableColumn id="65" xr3:uid="{00000000-0010-0000-0600-000041000000}" name="Trainer 12 Months ROI" dataDxfId="131">
      <calculatedColumnFormula>IF(ISERROR(INDEX(BM$50:BM$75,MATCH($A9,$A$50:$A$75,))),0,INDEX(BM$50:BM$75,MATCH($A9,$A$50:$A$75,)))</calculatedColumnFormula>
    </tableColumn>
    <tableColumn id="66" xr3:uid="{00000000-0010-0000-0600-000042000000}" name="Trainer 12 Months Places" dataDxfId="130">
      <calculatedColumnFormula>IF(ISERROR(INDEX(BN$50:BN$75,MATCH($A9,$A$50:$A$75,))),0,INDEX(BN$50:BN$75,MATCH($A9,$A$50:$A$75,)))</calculatedColumnFormula>
    </tableColumn>
    <tableColumn id="67" xr3:uid="{00000000-0010-0000-0600-000043000000}" name="Trainer 12 Months Place Strike Rate" dataDxfId="129">
      <calculatedColumnFormula>IF(ISERROR(INDEX(BO$50:BO$75,MATCH($A9,$A$50:$A$75,))),0,INDEX(BO$50:BO$75,MATCH($A9,$A$50:$A$75,)))</calculatedColumnFormula>
    </tableColumn>
    <tableColumn id="68" xr3:uid="{00000000-0010-0000-0600-000044000000}" name="Trainer This Season Avg Horse Earnings" dataDxfId="128">
      <calculatedColumnFormula>IF(ISERROR(INDEX(BP$50:BP$75,MATCH($A9,$A$50:$A$75,))),0,INDEX(BP$50:BP$75,MATCH($A9,$A$50:$A$75,)))</calculatedColumnFormula>
    </tableColumn>
    <tableColumn id="69" xr3:uid="{00000000-0010-0000-0600-000045000000}" name="Trainer This Season Starts" dataDxfId="127">
      <calculatedColumnFormula>IF(ISERROR(INDEX(BQ$50:BQ$75,MATCH($A9,$A$50:$A$75,))),0,INDEX(BQ$50:BQ$75,MATCH($A9,$A$50:$A$75,)))</calculatedColumnFormula>
    </tableColumn>
    <tableColumn id="70" xr3:uid="{00000000-0010-0000-0600-000046000000}" name="Trainer This Season Wins" dataDxfId="126">
      <calculatedColumnFormula>IF(ISERROR(INDEX(BR$50:BR$75,MATCH($A9,$A$50:$A$75,))),0,INDEX(BR$50:BR$75,MATCH($A9,$A$50:$A$75,)))</calculatedColumnFormula>
    </tableColumn>
    <tableColumn id="71" xr3:uid="{00000000-0010-0000-0600-000047000000}" name="Trainer This Season Strike Rate" dataDxfId="125">
      <calculatedColumnFormula>IF(ISERROR(INDEX(BS$50:BS$75,MATCH($A9,$A$50:$A$75,))),0,INDEX(BS$50:BS$75,MATCH($A9,$A$50:$A$75,)))</calculatedColumnFormula>
    </tableColumn>
    <tableColumn id="72" xr3:uid="{00000000-0010-0000-0600-000048000000}" name="Trainer This Season ROI" dataDxfId="124">
      <calculatedColumnFormula>IF(ISERROR(INDEX(BT$50:BT$75,MATCH($A9,$A$50:$A$75,))),0,INDEX(BT$50:BT$75,MATCH($A9,$A$50:$A$75,)))</calculatedColumnFormula>
    </tableColumn>
    <tableColumn id="73" xr3:uid="{00000000-0010-0000-0600-000049000000}" name="Trainer This Season Places" dataDxfId="123">
      <calculatedColumnFormula>IF(ISERROR(INDEX(BU$50:BU$75,MATCH($A9,$A$50:$A$75,))),0,INDEX(BU$50:BU$75,MATCH($A9,$A$50:$A$75,)))</calculatedColumnFormula>
    </tableColumn>
    <tableColumn id="74" xr3:uid="{00000000-0010-0000-0600-00004A000000}" name="Trainer This Season Place Strike Rate" dataDxfId="122">
      <calculatedColumnFormula>IF(ISERROR(INDEX(BV$50:BV$75,MATCH($A9,$A$50:$A$75,))),0,INDEX(BV$50:BV$75,MATCH($A9,$A$50:$A$75,)))</calculatedColumnFormula>
    </tableColumn>
    <tableColumn id="75" xr3:uid="{00000000-0010-0000-0600-00004B000000}" name="Last Start Finish Position" dataDxfId="121">
      <calculatedColumnFormula>IF(ISERROR(INDEX(BW$50:BW$75,MATCH($A9,$A$50:$A$75,))),0,INDEX(BW$50:BW$75,MATCH($A9,$A$50:$A$75,)))</calculatedColumnFormula>
    </tableColumn>
    <tableColumn id="76" xr3:uid="{00000000-0010-0000-0600-00004C000000}" name="Last Start Margin" dataDxfId="120">
      <calculatedColumnFormula>IF(ISERROR(INDEX(BX$50:BX$75,MATCH($A9,$A$50:$A$75,))),0,INDEX(BX$50:BX$75,MATCH($A9,$A$50:$A$75,)))</calculatedColumnFormula>
    </tableColumn>
    <tableColumn id="77" xr3:uid="{00000000-0010-0000-0600-00004D000000}" name="Last Start Distance Change" dataDxfId="119">
      <calculatedColumnFormula>IF(ISERROR(INDEX(BY$50:BY$75,MATCH($A9,$A$50:$A$75,))),0,INDEX(BY$50:BY$75,MATCH($A9,$A$50:$A$75,)))</calculatedColumnFormula>
    </tableColumn>
    <tableColumn id="78" xr3:uid="{00000000-0010-0000-0600-00004E000000}" name="Last Start Prize Money" dataDxfId="118">
      <calculatedColumnFormula>IF(ISERROR(INDEX(BZ$50:BZ$75,MATCH($A9,$A$50:$A$75,))),0,INDEX(BZ$50:BZ$75,MATCH($A9,$A$50:$A$75,)))</calculatedColumnFormula>
    </tableColumn>
    <tableColumn id="79" xr3:uid="{00000000-0010-0000-0600-00004F000000}" name="Cohesion ROI" dataDxfId="117">
      <calculatedColumnFormula>IF(ISERROR(INDEX(CA$50:CA$75,MATCH($A9,$A$50:$A$75,))),0,INDEX(CA$50:CA$75,MATCH($A9,$A$50:$A$75,)))</calculatedColumnFormula>
    </tableColumn>
    <tableColumn id="80" xr3:uid="{00000000-0010-0000-0600-000050000000}" name="Finish Result (Updates after race)2" dataDxfId="116">
      <calculatedColumnFormula>IF(ISERROR(INDEX(CB$20:CB$45,MATCH($A9,$A$20:$A$45,))),0,INDEX(CB$20:CB$45,MATCH($A9,$A$20:$A$45,)))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dataDistance" displayName="dataDistance" ref="CD49:CI75" totalsRowShown="0" headerRowDxfId="115" dataDxfId="114" tableBorderDxfId="113">
  <autoFilter ref="CD49:CI75" xr:uid="{00000000-0009-0000-0100-000010000000}"/>
  <tableColumns count="6">
    <tableColumn id="1" xr3:uid="{00000000-0010-0000-0700-000001000000}" name="CENTER 1" dataDxfId="112">
      <calculatedColumnFormula>IF(B50=" ",zscores[[#This Row],[Cohesion ROI]],SUMXMY2($B50:$CA50,$B$9:$CA$9))</calculatedColumnFormula>
    </tableColumn>
    <tableColumn id="2" xr3:uid="{00000000-0010-0000-0700-000002000000}" name="CENTER 2" dataDxfId="111">
      <calculatedColumnFormula>IF(B50=" ",zscores[[#This Row],[Best Fixed Odds]],SUMXMY2($B50:$CA50,$B$10:$CA$10))</calculatedColumnFormula>
    </tableColumn>
    <tableColumn id="3" xr3:uid="{00000000-0010-0000-0700-000003000000}" name="CENTER 3" dataDxfId="110">
      <calculatedColumnFormula>IF(B50=" ",zscores[[#This Row],[Trainer 12 Months ROI]],SUMXMY2($B50:$CA50,$B$11:$CA$11))</calculatedColumnFormula>
    </tableColumn>
    <tableColumn id="4" xr3:uid="{00000000-0010-0000-0700-000004000000}" name="CENTER 4" dataDxfId="109">
      <calculatedColumnFormula>IF(B50=" ",zscores[[#This Row],[Jockey This Season ROI]],SUMXMY2($B50:$CA50,$B$12:$CA$12))</calculatedColumnFormula>
    </tableColumn>
    <tableColumn id="5" xr3:uid="{00000000-0010-0000-0700-000005000000}" name="CENTER 5" dataDxfId="108"/>
    <tableColumn id="6" xr3:uid="{00000000-0010-0000-0700-000006000000}" name="CENTER 6" dataDxfId="107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SSE" displayName="SSE" ref="D16:CA17" totalsRowShown="0" headerRowDxfId="106" dataDxfId="105">
  <autoFilter ref="D16:CA17" xr:uid="{00000000-0009-0000-0100-000012000000}"/>
  <tableColumns count="76">
    <tableColumn id="1" xr3:uid="{00000000-0010-0000-0800-000001000000}" name="SUMOFSQUAREDERROR" dataDxfId="104">
      <calculatedColumnFormula>SUM($CK$50:$CK$75)</calculatedColumnFormula>
    </tableColumn>
    <tableColumn id="2" xr3:uid="{00000000-0010-0000-0800-000002000000}" name="CountROI" dataDxfId="103">
      <calculatedColumnFormula>COUNTIF(E$20:E$45,"&lt;&gt;"&amp;" ")</calculatedColumnFormula>
    </tableColumn>
    <tableColumn id="3" xr3:uid="{00000000-0010-0000-0800-000003000000}" name="CountROI2" dataDxfId="102">
      <calculatedColumnFormula>COUNTIF(F$20:F$45,"&lt;&gt;"&amp;" ")</calculatedColumnFormula>
    </tableColumn>
    <tableColumn id="4" xr3:uid="{00000000-0010-0000-0800-000004000000}" name="CountROI3" dataDxfId="101">
      <calculatedColumnFormula>COUNTIF(G$20:G$45,"&lt;&gt;"&amp;" ")</calculatedColumnFormula>
    </tableColumn>
    <tableColumn id="5" xr3:uid="{00000000-0010-0000-0800-000005000000}" name="CountROI4" dataDxfId="100">
      <calculatedColumnFormula>COUNTIF(H$20:H$45,"&lt;&gt;"&amp;" ")</calculatedColumnFormula>
    </tableColumn>
    <tableColumn id="6" xr3:uid="{00000000-0010-0000-0800-000006000000}" name="CountROI5" dataDxfId="99">
      <calculatedColumnFormula>COUNTIF(I$20:I$45,"&lt;&gt;"&amp;" ")</calculatedColumnFormula>
    </tableColumn>
    <tableColumn id="7" xr3:uid="{00000000-0010-0000-0800-000007000000}" name="CountROI6" dataDxfId="98">
      <calculatedColumnFormula>COUNTIF(J$20:J$45,"&lt;&gt;"&amp;" ")</calculatedColumnFormula>
    </tableColumn>
    <tableColumn id="8" xr3:uid="{00000000-0010-0000-0800-000008000000}" name="CountROI7" dataDxfId="97">
      <calculatedColumnFormula>COUNTIF(K$20:K$45,"&lt;&gt;"&amp;" ")</calculatedColumnFormula>
    </tableColumn>
    <tableColumn id="9" xr3:uid="{00000000-0010-0000-0800-000009000000}" name="CountROI8" dataDxfId="96">
      <calculatedColumnFormula>COUNTIF(L$20:L$45,"&lt;&gt;"&amp;" ")</calculatedColumnFormula>
    </tableColumn>
    <tableColumn id="10" xr3:uid="{00000000-0010-0000-0800-00000A000000}" name="CountROI9" dataDxfId="95">
      <calculatedColumnFormula>COUNTIF(M$20:M$45,"&lt;&gt;"&amp;" ")</calculatedColumnFormula>
    </tableColumn>
    <tableColumn id="11" xr3:uid="{00000000-0010-0000-0800-00000B000000}" name="CountROI10" dataDxfId="94">
      <calculatedColumnFormula>COUNTIF(N$20:N$45,"&lt;&gt;"&amp;" ")</calculatedColumnFormula>
    </tableColumn>
    <tableColumn id="12" xr3:uid="{00000000-0010-0000-0800-00000C000000}" name="CountROI11" dataDxfId="93">
      <calculatedColumnFormula>COUNTIF(O$20:O$45,"&lt;&gt;"&amp;" ")</calculatedColumnFormula>
    </tableColumn>
    <tableColumn id="13" xr3:uid="{00000000-0010-0000-0800-00000D000000}" name="CountROI12" dataDxfId="92">
      <calculatedColumnFormula>COUNTIF(P$20:P$45,"&lt;&gt;"&amp;" ")</calculatedColumnFormula>
    </tableColumn>
    <tableColumn id="14" xr3:uid="{00000000-0010-0000-0800-00000E000000}" name="CountROI13" dataDxfId="91">
      <calculatedColumnFormula>COUNTIF(Q$20:Q$45,"&lt;&gt;"&amp;" ")</calculatedColumnFormula>
    </tableColumn>
    <tableColumn id="15" xr3:uid="{00000000-0010-0000-0800-00000F000000}" name="CountROI14" dataDxfId="90">
      <calculatedColumnFormula>COUNTIF(R$20:R$45,"&lt;&gt;"&amp;" ")</calculatedColumnFormula>
    </tableColumn>
    <tableColumn id="16" xr3:uid="{00000000-0010-0000-0800-000010000000}" name="CountROI15" dataDxfId="89">
      <calculatedColumnFormula>COUNTIF(S$20:S$45,"&lt;&gt;"&amp;" ")</calculatedColumnFormula>
    </tableColumn>
    <tableColumn id="17" xr3:uid="{00000000-0010-0000-0800-000011000000}" name="CountROI16" dataDxfId="88">
      <calculatedColumnFormula>COUNTIF(T$20:T$45,"&lt;&gt;"&amp;" ")</calculatedColumnFormula>
    </tableColumn>
    <tableColumn id="18" xr3:uid="{00000000-0010-0000-0800-000012000000}" name="CountROI17" dataDxfId="87">
      <calculatedColumnFormula>COUNTIF(U$20:U$45,"&lt;&gt;"&amp;" ")</calculatedColumnFormula>
    </tableColumn>
    <tableColumn id="19" xr3:uid="{00000000-0010-0000-0800-000013000000}" name="CountROI18" dataDxfId="86">
      <calculatedColumnFormula>COUNTIF(V$20:V$45,"&lt;&gt;"&amp;" ")</calculatedColumnFormula>
    </tableColumn>
    <tableColumn id="20" xr3:uid="{00000000-0010-0000-0800-000014000000}" name="CountROI19" dataDxfId="85">
      <calculatedColumnFormula>COUNTIF(W$20:W$45,"&lt;&gt;"&amp;" ")</calculatedColumnFormula>
    </tableColumn>
    <tableColumn id="21" xr3:uid="{00000000-0010-0000-0800-000015000000}" name="CountROI20" dataDxfId="84">
      <calculatedColumnFormula>COUNTIF(X$20:X$45,"&lt;&gt;"&amp;" ")</calculatedColumnFormula>
    </tableColumn>
    <tableColumn id="22" xr3:uid="{00000000-0010-0000-0800-000016000000}" name="CountROI21" dataDxfId="83">
      <calculatedColumnFormula>COUNTIF(Y$20:Y$45,"&lt;&gt;"&amp;" ")</calculatedColumnFormula>
    </tableColumn>
    <tableColumn id="23" xr3:uid="{00000000-0010-0000-0800-000017000000}" name="CountROI22" dataDxfId="82">
      <calculatedColumnFormula>COUNTIF(Z$20:Z$45,"&lt;&gt;"&amp;" ")</calculatedColumnFormula>
    </tableColumn>
    <tableColumn id="24" xr3:uid="{00000000-0010-0000-0800-000018000000}" name="CountROI23" dataDxfId="81">
      <calculatedColumnFormula>COUNTIF(AA$20:AA$45,"&lt;&gt;"&amp;" ")</calculatedColumnFormula>
    </tableColumn>
    <tableColumn id="25" xr3:uid="{00000000-0010-0000-0800-000019000000}" name="CountROI24" dataDxfId="80">
      <calculatedColumnFormula>COUNTIF(AB$20:AB$45,"&lt;&gt;"&amp;" ")</calculatedColumnFormula>
    </tableColumn>
    <tableColumn id="26" xr3:uid="{00000000-0010-0000-0800-00001A000000}" name="CountROI25" dataDxfId="79">
      <calculatedColumnFormula>COUNTIF(AC$20:AC$45,"&lt;&gt;"&amp;" ")</calculatedColumnFormula>
    </tableColumn>
    <tableColumn id="27" xr3:uid="{00000000-0010-0000-0800-00001B000000}" name="CountROI26" dataDxfId="78">
      <calculatedColumnFormula>COUNTIF(AD$20:AD$45,"&lt;&gt;"&amp;" ")</calculatedColumnFormula>
    </tableColumn>
    <tableColumn id="28" xr3:uid="{00000000-0010-0000-0800-00001C000000}" name="CountROI27" dataDxfId="77">
      <calculatedColumnFormula>COUNTIF(AE$20:AE$45,"&lt;&gt;"&amp;" ")</calculatedColumnFormula>
    </tableColumn>
    <tableColumn id="29" xr3:uid="{00000000-0010-0000-0800-00001D000000}" name="CountROI28" dataDxfId="76">
      <calculatedColumnFormula>COUNTIF(AF$20:AF$45,"&lt;&gt;"&amp;" ")</calculatedColumnFormula>
    </tableColumn>
    <tableColumn id="30" xr3:uid="{00000000-0010-0000-0800-00001E000000}" name="CountROI29" dataDxfId="75">
      <calculatedColumnFormula>COUNTIF(AG$20:AG$45,"&lt;&gt;"&amp;" ")</calculatedColumnFormula>
    </tableColumn>
    <tableColumn id="31" xr3:uid="{00000000-0010-0000-0800-00001F000000}" name="CountROI30" dataDxfId="74">
      <calculatedColumnFormula>COUNTIF(AH$20:AH$45,"&lt;&gt;"&amp;" ")</calculatedColumnFormula>
    </tableColumn>
    <tableColumn id="32" xr3:uid="{00000000-0010-0000-0800-000020000000}" name="CountROI31" dataDxfId="73">
      <calculatedColumnFormula>COUNTIF(AI$20:AI$45,"&lt;&gt;"&amp;" ")</calculatedColumnFormula>
    </tableColumn>
    <tableColumn id="33" xr3:uid="{00000000-0010-0000-0800-000021000000}" name="CountROI32" dataDxfId="72">
      <calculatedColumnFormula>COUNTIF(AJ$20:AJ$45,"&lt;&gt;"&amp;" ")</calculatedColumnFormula>
    </tableColumn>
    <tableColumn id="34" xr3:uid="{00000000-0010-0000-0800-000022000000}" name="CountROI33" dataDxfId="71">
      <calculatedColumnFormula>COUNTIF(AK$20:AK$45,"&lt;&gt;"&amp;" ")</calculatedColumnFormula>
    </tableColumn>
    <tableColumn id="35" xr3:uid="{00000000-0010-0000-0800-000023000000}" name="CountROI34" dataDxfId="70">
      <calculatedColumnFormula>COUNTIF(AL$20:AL$45,"&lt;&gt;"&amp;" ")</calculatedColumnFormula>
    </tableColumn>
    <tableColumn id="36" xr3:uid="{00000000-0010-0000-0800-000024000000}" name="CountROI35" dataDxfId="69">
      <calculatedColumnFormula>COUNTIF(AM$20:AM$45,"&lt;&gt;"&amp;" ")</calculatedColumnFormula>
    </tableColumn>
    <tableColumn id="37" xr3:uid="{00000000-0010-0000-0800-000025000000}" name="CountROI36" dataDxfId="68">
      <calculatedColumnFormula>COUNTIF(AN$20:AN$45,"&lt;&gt;"&amp;" ")</calculatedColumnFormula>
    </tableColumn>
    <tableColumn id="38" xr3:uid="{00000000-0010-0000-0800-000026000000}" name="CountROI37" dataDxfId="67">
      <calculatedColumnFormula>COUNTIF(AO$20:AO$45,"&lt;&gt;"&amp;" ")</calculatedColumnFormula>
    </tableColumn>
    <tableColumn id="39" xr3:uid="{00000000-0010-0000-0800-000027000000}" name="CountROI38" dataDxfId="66">
      <calculatedColumnFormula>COUNTIF(AP$20:AP$45,"&lt;&gt;"&amp;" ")</calculatedColumnFormula>
    </tableColumn>
    <tableColumn id="40" xr3:uid="{00000000-0010-0000-0800-000028000000}" name="CountROI39" dataDxfId="65">
      <calculatedColumnFormula>COUNTIF(AQ$20:AQ$45,"&lt;&gt;"&amp;" ")</calculatedColumnFormula>
    </tableColumn>
    <tableColumn id="41" xr3:uid="{00000000-0010-0000-0800-000029000000}" name="CountROI40" dataDxfId="64">
      <calculatedColumnFormula>COUNTIF(AR$20:AR$45,"&lt;&gt;"&amp;" ")</calculatedColumnFormula>
    </tableColumn>
    <tableColumn id="42" xr3:uid="{00000000-0010-0000-0800-00002A000000}" name="CountROI41" dataDxfId="63">
      <calculatedColumnFormula>COUNTIF(AS$20:AS$45,"&lt;&gt;"&amp;" ")</calculatedColumnFormula>
    </tableColumn>
    <tableColumn id="43" xr3:uid="{00000000-0010-0000-0800-00002B000000}" name="CountROI42" dataDxfId="62">
      <calculatedColumnFormula>COUNTIF(AT$20:AT$45,"&lt;&gt;"&amp;" ")</calculatedColumnFormula>
    </tableColumn>
    <tableColumn id="44" xr3:uid="{00000000-0010-0000-0800-00002C000000}" name="CountROI43" dataDxfId="61">
      <calculatedColumnFormula>COUNTIF(AU$20:AU$45,"&lt;&gt;"&amp;" ")</calculatedColumnFormula>
    </tableColumn>
    <tableColumn id="45" xr3:uid="{00000000-0010-0000-0800-00002D000000}" name="CountROI44" dataDxfId="60">
      <calculatedColumnFormula>COUNTIF(AV$20:AV$45,"&lt;&gt;"&amp;" ")</calculatedColumnFormula>
    </tableColumn>
    <tableColumn id="46" xr3:uid="{00000000-0010-0000-0800-00002E000000}" name="CountROI45" dataDxfId="59">
      <calculatedColumnFormula>COUNTIF(AW$20:AW$45,"&lt;&gt;"&amp;" ")</calculatedColumnFormula>
    </tableColumn>
    <tableColumn id="47" xr3:uid="{00000000-0010-0000-0800-00002F000000}" name="CountROI46" dataDxfId="58">
      <calculatedColumnFormula>COUNTIF(AX$20:AX$45,"&lt;&gt;"&amp;" ")</calculatedColumnFormula>
    </tableColumn>
    <tableColumn id="48" xr3:uid="{00000000-0010-0000-0800-000030000000}" name="CountROI47" dataDxfId="57">
      <calculatedColumnFormula>COUNTIF(AY$20:AY$45,"&lt;&gt;"&amp;" ")</calculatedColumnFormula>
    </tableColumn>
    <tableColumn id="49" xr3:uid="{00000000-0010-0000-0800-000031000000}" name="CountROI48" dataDxfId="56">
      <calculatedColumnFormula>COUNTIF(AZ$20:AZ$45,"&lt;&gt;"&amp;" ")</calculatedColumnFormula>
    </tableColumn>
    <tableColumn id="50" xr3:uid="{00000000-0010-0000-0800-000032000000}" name="CountROI49" dataDxfId="55">
      <calculatedColumnFormula>COUNTIF(BA$20:BA$45,"&lt;&gt;"&amp;" ")</calculatedColumnFormula>
    </tableColumn>
    <tableColumn id="51" xr3:uid="{00000000-0010-0000-0800-000033000000}" name="CountROI50" dataDxfId="54">
      <calculatedColumnFormula>COUNTIF(BB$20:BB$45,"&lt;&gt;"&amp;" ")</calculatedColumnFormula>
    </tableColumn>
    <tableColumn id="52" xr3:uid="{00000000-0010-0000-0800-000034000000}" name="CountROI51" dataDxfId="53">
      <calculatedColumnFormula>COUNTIF(BC$20:BC$45,"&lt;&gt;"&amp;" ")</calculatedColumnFormula>
    </tableColumn>
    <tableColumn id="53" xr3:uid="{00000000-0010-0000-0800-000035000000}" name="CountROI52" dataDxfId="52">
      <calculatedColumnFormula>COUNTIF(BD$20:BD$45,"&lt;&gt;"&amp;" ")</calculatedColumnFormula>
    </tableColumn>
    <tableColumn id="54" xr3:uid="{00000000-0010-0000-0800-000036000000}" name="CountROI53" dataDxfId="51">
      <calculatedColumnFormula>COUNTIF(BE$20:BE$45,"&lt;&gt;"&amp;" ")</calculatedColumnFormula>
    </tableColumn>
    <tableColumn id="55" xr3:uid="{00000000-0010-0000-0800-000037000000}" name="CountROI54" dataDxfId="50">
      <calculatedColumnFormula>COUNTIF(BF$20:BF$45,"&lt;&gt;"&amp;" ")</calculatedColumnFormula>
    </tableColumn>
    <tableColumn id="56" xr3:uid="{00000000-0010-0000-0800-000038000000}" name="CountROI55" dataDxfId="49">
      <calculatedColumnFormula>COUNTIF(BG$20:BG$45,"&lt;&gt;"&amp;" ")</calculatedColumnFormula>
    </tableColumn>
    <tableColumn id="57" xr3:uid="{00000000-0010-0000-0800-000039000000}" name="CountROI56" dataDxfId="48">
      <calculatedColumnFormula>COUNTIF(BH$20:BH$45,"&lt;&gt;"&amp;" ")</calculatedColumnFormula>
    </tableColumn>
    <tableColumn id="58" xr3:uid="{00000000-0010-0000-0800-00003A000000}" name="CountROI57" dataDxfId="47">
      <calculatedColumnFormula>COUNTIF(BI$20:BI$45,"&lt;&gt;"&amp;" ")</calculatedColumnFormula>
    </tableColumn>
    <tableColumn id="59" xr3:uid="{00000000-0010-0000-0800-00003B000000}" name="CountROI58" dataDxfId="46">
      <calculatedColumnFormula>COUNTIF(BJ$20:BJ$45,"&lt;&gt;"&amp;" ")</calculatedColumnFormula>
    </tableColumn>
    <tableColumn id="60" xr3:uid="{00000000-0010-0000-0800-00003C000000}" name="CountROI59" dataDxfId="45">
      <calculatedColumnFormula>COUNTIF(BK$20:BK$45,"&lt;&gt;"&amp;" ")</calculatedColumnFormula>
    </tableColumn>
    <tableColumn id="61" xr3:uid="{00000000-0010-0000-0800-00003D000000}" name="CountROI60" dataDxfId="44">
      <calculatedColumnFormula>COUNTIF(BL$20:BL$45,"&lt;&gt;"&amp;" ")</calculatedColumnFormula>
    </tableColumn>
    <tableColumn id="62" xr3:uid="{00000000-0010-0000-0800-00003E000000}" name="CountROI61" dataDxfId="43">
      <calculatedColumnFormula>COUNTIF(BM$20:BM$45,"&lt;&gt;"&amp;" ")</calculatedColumnFormula>
    </tableColumn>
    <tableColumn id="63" xr3:uid="{00000000-0010-0000-0800-00003F000000}" name="CountROI62" dataDxfId="42">
      <calculatedColumnFormula>COUNTIF(BN$20:BN$45,"&lt;&gt;"&amp;" ")</calculatedColumnFormula>
    </tableColumn>
    <tableColumn id="64" xr3:uid="{00000000-0010-0000-0800-000040000000}" name="CountROI63" dataDxfId="41">
      <calculatedColumnFormula>COUNTIF(BO$20:BO$45,"&lt;&gt;"&amp;" ")</calculatedColumnFormula>
    </tableColumn>
    <tableColumn id="65" xr3:uid="{00000000-0010-0000-0800-000041000000}" name="CountROI64" dataDxfId="40">
      <calculatedColumnFormula>COUNTIF(BP$20:BP$45,"&lt;&gt;"&amp;" ")</calculatedColumnFormula>
    </tableColumn>
    <tableColumn id="66" xr3:uid="{00000000-0010-0000-0800-000042000000}" name="CountROI65" dataDxfId="39">
      <calculatedColumnFormula>COUNTIF(BQ$20:BQ$45,"&lt;&gt;"&amp;" ")</calculatedColumnFormula>
    </tableColumn>
    <tableColumn id="67" xr3:uid="{00000000-0010-0000-0800-000043000000}" name="CountROI66" dataDxfId="38">
      <calculatedColumnFormula>COUNTIF(BR$20:BR$45,"&lt;&gt;"&amp;" ")</calculatedColumnFormula>
    </tableColumn>
    <tableColumn id="68" xr3:uid="{00000000-0010-0000-0800-000044000000}" name="CountROI67" dataDxfId="37">
      <calculatedColumnFormula>COUNTIF(BS$20:BS$45,"&lt;&gt;"&amp;" ")</calculatedColumnFormula>
    </tableColumn>
    <tableColumn id="69" xr3:uid="{00000000-0010-0000-0800-000045000000}" name="CountROI68" dataDxfId="36">
      <calculatedColumnFormula>COUNTIF(BT$20:BT$45,"&lt;&gt;"&amp;" ")</calculatedColumnFormula>
    </tableColumn>
    <tableColumn id="70" xr3:uid="{00000000-0010-0000-0800-000046000000}" name="CountROI69" dataDxfId="35">
      <calculatedColumnFormula>COUNTIF(BU$20:BU$45,"&lt;&gt;"&amp;" ")</calculatedColumnFormula>
    </tableColumn>
    <tableColumn id="71" xr3:uid="{00000000-0010-0000-0800-000047000000}" name="CountROI70" dataDxfId="34">
      <calculatedColumnFormula>COUNTIF(BV$20:BV$45,"&lt;&gt;"&amp;" ")</calculatedColumnFormula>
    </tableColumn>
    <tableColumn id="72" xr3:uid="{00000000-0010-0000-0800-000048000000}" name="CountROI71" dataDxfId="33">
      <calculatedColumnFormula>COUNTIF(BW$20:BW$45,"&lt;&gt;"&amp;" ")</calculatedColumnFormula>
    </tableColumn>
    <tableColumn id="73" xr3:uid="{00000000-0010-0000-0800-000049000000}" name="CountROI72" dataDxfId="32">
      <calculatedColumnFormula>COUNTIF(BX$20:BX$45,"&lt;&gt;"&amp;" ")</calculatedColumnFormula>
    </tableColumn>
    <tableColumn id="74" xr3:uid="{00000000-0010-0000-0800-00004A000000}" name="CountROI73" dataDxfId="31">
      <calculatedColumnFormula>COUNTIF(BY$20:BY$45,"&lt;&gt;"&amp;" ")</calculatedColumnFormula>
    </tableColumn>
    <tableColumn id="75" xr3:uid="{00000000-0010-0000-0800-00004B000000}" name="CountROI74" dataDxfId="30">
      <calculatedColumnFormula>COUNTIF(BZ$20:BZ$45,"&lt;&gt;"&amp;" ")</calculatedColumnFormula>
    </tableColumn>
    <tableColumn id="76" xr3:uid="{00000000-0010-0000-0800-00004C000000}" name="CountROI75" dataDxfId="29">
      <calculatedColumnFormula>COUNTIF(CA$20:CA$45,"&lt;&gt;"&amp;" ")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analysis" displayName="analysis" ref="CD8:CJ15" totalsRowCount="1" headerRowDxfId="28" dataDxfId="27">
  <autoFilter ref="CD8:CJ14" xr:uid="{00000000-0009-0000-0100-000001000000}"/>
  <tableColumns count="7">
    <tableColumn id="1" xr3:uid="{00000000-0010-0000-0900-000001000000}" name="Descriptive" totalsRowFunction="custom" dataDxfId="26" totalsRowDxfId="25">
      <calculatedColumnFormula>MIN($B9:$CA9,$B9:$CA9)</calculatedColumnFormula>
      <totalsRowFormula>LARGE($CD$9:$CD$12,1)</totalsRowFormula>
    </tableColumn>
    <tableColumn id="2" xr3:uid="{00000000-0010-0000-0900-000002000000}" name="Label" totalsRowFunction="custom" dataDxfId="24" totalsRowDxfId="23">
      <calculatedColumnFormula>INDEX($B$8:$CA$8,MATCH(CD9,$B9:$CA9,0))</calculatedColumnFormula>
      <totalsRowFormula>AVERAGE($CD$20:$CD$45)</totalsRowFormula>
    </tableColumn>
    <tableColumn id="3" xr3:uid="{00000000-0010-0000-0900-000003000000}" name="Occurs" dataDxfId="22" totalsRowDxfId="21">
      <calculatedColumnFormula>COUNTIF(B9:CB9,"="&amp;CD9)</calculatedColumnFormula>
    </tableColumn>
    <tableColumn id="4" xr3:uid="{00000000-0010-0000-0900-000004000000}" name="Column" dataDxfId="20" totalsRowDxfId="19">
      <calculatedColumnFormula>INDEX($B$1:$CA$1,MATCH(CE9,$B$8:$CA$8,0))</calculatedColumnFormula>
    </tableColumn>
    <tableColumn id="5" xr3:uid="{00000000-0010-0000-0900-000005000000}" name="Rank" dataDxfId="18" totalsRowDxfId="17">
      <calculatedColumnFormula>RANK(Table2[[#This Row],[CLUSTER COUNT]],Table2[CLUSTER COUNT],0)</calculatedColumnFormula>
    </tableColumn>
    <tableColumn id="6" xr3:uid="{00000000-0010-0000-0900-000006000000}" name="CLUSTER" dataDxfId="16" totalsRowDxfId="15"/>
    <tableColumn id="7" xr3:uid="{00000000-0010-0000-0900-000007000000}" name="Column1" dataDxfId="14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le2" displayName="Table2" ref="CK8:CK14" totalsRowShown="0" headerRowDxfId="13" dataDxfId="12" tableBorderDxfId="11">
  <autoFilter ref="CK8:CK14" xr:uid="{00000000-0009-0000-0100-000002000000}"/>
  <tableColumns count="1">
    <tableColumn id="1" xr3:uid="{00000000-0010-0000-0A00-000001000000}" name="CLUSTER COUNT" dataDxfId="10"/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le24" displayName="Table24" ref="CM8:CN14" totalsRowShown="0" headerRowDxfId="9" dataDxfId="8" tableBorderDxfId="7">
  <autoFilter ref="CM8:CN14" xr:uid="{00000000-0009-0000-0100-000003000000}"/>
  <tableColumns count="2">
    <tableColumn id="1" xr3:uid="{00000000-0010-0000-0B00-000001000000}" name="CLUSTER COUNT %" dataDxfId="6">
      <calculatedColumnFormula>Table2[[#This Row],[CLUSTER COUNT]]/$CK$16</calculatedColumnFormula>
    </tableColumn>
    <tableColumn id="2" xr3:uid="{00000000-0010-0000-0B00-000002000000}" name="Column1" dataDxfId="5"/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e25" displayName="Table25" ref="CO8:CP14" totalsRowShown="0" headerRowDxfId="4" dataDxfId="3" tableBorderDxfId="2">
  <autoFilter ref="CO8:CP14" xr:uid="{00000000-0009-0000-0100-000004000000}"/>
  <tableColumns count="2">
    <tableColumn id="1" xr3:uid="{00000000-0010-0000-0C00-000001000000}" name="CLUSTER SSQE" dataDxfId="1"/>
    <tableColumn id="2" xr3:uid="{00000000-0010-0000-0C00-000002000000}" name="NAM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drawing" Target="../drawings/drawing5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youtube.com/watch?v=ontXHp9cwOQ" TargetMode="Externa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H52"/>
  <sheetViews>
    <sheetView tabSelected="1" zoomScale="55" zoomScaleNormal="55" workbookViewId="0">
      <pane xSplit="12" ySplit="6" topLeftCell="M7" activePane="bottomRight" state="frozen"/>
      <selection activeCell="Y4" sqref="Y4:Y5"/>
      <selection pane="topRight" activeCell="Y4" sqref="Y4:Y5"/>
      <selection pane="bottomLeft" activeCell="Y4" sqref="Y4:Y5"/>
      <selection pane="bottomRight" activeCell="J19" sqref="J19"/>
    </sheetView>
  </sheetViews>
  <sheetFormatPr defaultRowHeight="24.9" customHeight="1" x14ac:dyDescent="0.3"/>
  <cols>
    <col min="1" max="1" width="31.33203125" style="125" customWidth="1"/>
    <col min="2" max="4" width="25.6640625" style="125" customWidth="1"/>
    <col min="5" max="7" width="30.6640625" style="125" hidden="1" customWidth="1"/>
    <col min="8" max="12" width="25.6640625" style="125" customWidth="1"/>
    <col min="13" max="13" width="25.6640625" style="125" hidden="1" customWidth="1"/>
    <col min="14" max="14" width="19.33203125" style="125" hidden="1" customWidth="1"/>
    <col min="15" max="15" width="18" style="125" hidden="1" customWidth="1"/>
    <col min="16" max="16" width="31.44140625" style="125" hidden="1" customWidth="1"/>
    <col min="17" max="17" width="22.5546875" style="125" hidden="1" customWidth="1"/>
    <col min="18" max="18" width="15" style="125" hidden="1" customWidth="1"/>
    <col min="19" max="19" width="27.44140625" style="125" hidden="1" customWidth="1"/>
    <col min="20" max="20" width="3.6640625" style="125" customWidth="1"/>
    <col min="21" max="21" width="15.6640625" style="125" customWidth="1"/>
    <col min="22" max="22" width="21.33203125" style="125" customWidth="1"/>
    <col min="23" max="23" width="16.21875" style="125" customWidth="1"/>
    <col min="24" max="24" width="20.109375" style="125" customWidth="1"/>
    <col min="25" max="28" width="18.33203125" style="125" customWidth="1"/>
    <col min="29" max="29" width="10.5546875" style="125" customWidth="1"/>
    <col min="30" max="31" width="10.5546875" customWidth="1"/>
    <col min="32" max="37" width="10.5546875" style="175" customWidth="1"/>
    <col min="38" max="38" width="12.109375" style="175" customWidth="1"/>
    <col min="39" max="43" width="13.44140625" style="175" customWidth="1"/>
    <col min="44" max="44" width="10.6640625" style="175" bestFit="1" customWidth="1"/>
    <col min="45" max="45" width="9.6640625" style="175" customWidth="1"/>
    <col min="46" max="46" width="8.88671875" style="175"/>
    <col min="47" max="47" width="11.44140625" style="175" customWidth="1"/>
    <col min="48" max="48" width="10.44140625" style="175" bestFit="1" customWidth="1"/>
    <col min="49" max="49" width="20.6640625" style="175" customWidth="1"/>
    <col min="50" max="50" width="14.33203125" style="175" customWidth="1"/>
    <col min="51" max="52" width="13" style="175" customWidth="1"/>
    <col min="53" max="55" width="15.77734375" style="175" customWidth="1"/>
    <col min="56" max="56" width="17" style="175" customWidth="1"/>
    <col min="57" max="57" width="18.33203125" style="175" customWidth="1"/>
    <col min="58" max="58" width="16.33203125" style="175" customWidth="1"/>
    <col min="59" max="59" width="15.77734375" style="175" customWidth="1"/>
    <col min="60" max="60" width="16.33203125" style="175" customWidth="1"/>
    <col min="61" max="66" width="15.77734375" style="175" customWidth="1"/>
    <col min="67" max="67" width="15.88671875" style="175" customWidth="1"/>
    <col min="68" max="68" width="38" style="175" customWidth="1"/>
    <col min="69" max="69" width="34.5546875" style="175" customWidth="1"/>
    <col min="70" max="70" width="21.6640625" style="175" customWidth="1"/>
    <col min="71" max="71" width="14.109375" style="175" customWidth="1"/>
    <col min="72" max="72" width="10.6640625" style="175" customWidth="1"/>
    <col min="73" max="73" width="15.5546875" style="175" customWidth="1"/>
    <col min="74" max="74" width="24.21875" style="175" customWidth="1"/>
    <col min="75" max="75" width="11.33203125" style="175" customWidth="1"/>
    <col min="76" max="76" width="11.6640625" style="175" customWidth="1"/>
    <col min="77" max="269" width="9.109375" style="175"/>
    <col min="270" max="271" width="24.5546875" style="175" customWidth="1"/>
    <col min="272" max="272" width="18.44140625" style="175" customWidth="1"/>
    <col min="273" max="273" width="13.6640625" style="175" customWidth="1"/>
    <col min="274" max="274" width="13.109375" style="175" customWidth="1"/>
    <col min="275" max="275" width="11.109375" style="175" customWidth="1"/>
    <col min="276" max="276" width="21.6640625" style="175" customWidth="1"/>
    <col min="277" max="277" width="16" style="175" customWidth="1"/>
    <col min="278" max="278" width="18.33203125" style="175" customWidth="1"/>
    <col min="279" max="279" width="22" style="175" customWidth="1"/>
    <col min="280" max="280" width="21.6640625" style="175" customWidth="1"/>
    <col min="281" max="281" width="13" style="175" customWidth="1"/>
    <col min="282" max="282" width="14.44140625" style="175" customWidth="1"/>
    <col min="283" max="283" width="17.88671875" style="175" customWidth="1"/>
    <col min="284" max="284" width="21.109375" style="175" customWidth="1"/>
    <col min="285" max="290" width="11.88671875" style="175" customWidth="1"/>
    <col min="291" max="291" width="15" style="175" customWidth="1"/>
    <col min="292" max="294" width="11.33203125" style="175" customWidth="1"/>
    <col min="295" max="295" width="14.44140625" style="175" customWidth="1"/>
    <col min="296" max="296" width="19.6640625" style="175" customWidth="1"/>
    <col min="297" max="297" width="11.33203125" style="175" customWidth="1"/>
    <col min="298" max="298" width="10.44140625" style="175" customWidth="1"/>
    <col min="299" max="299" width="14.5546875" style="175" customWidth="1"/>
    <col min="300" max="300" width="38" style="175" customWidth="1"/>
    <col min="301" max="301" width="34.88671875" style="175" customWidth="1"/>
    <col min="302" max="302" width="21.6640625" style="175" customWidth="1"/>
    <col min="303" max="303" width="9.6640625" style="175" customWidth="1"/>
    <col min="304" max="305" width="9.109375" style="175"/>
    <col min="306" max="306" width="14.33203125" style="175" customWidth="1"/>
    <col min="307" max="314" width="13" style="175" customWidth="1"/>
    <col min="315" max="315" width="11.33203125" style="175" customWidth="1"/>
    <col min="316" max="316" width="9.6640625" style="175" customWidth="1"/>
    <col min="317" max="317" width="24.88671875" style="175" customWidth="1"/>
    <col min="318" max="318" width="11.33203125" style="175" customWidth="1"/>
    <col min="319" max="319" width="15.33203125" style="175" customWidth="1"/>
    <col min="320" max="320" width="28.44140625" style="175" customWidth="1"/>
    <col min="321" max="322" width="11.33203125" style="175" customWidth="1"/>
    <col min="323" max="323" width="15.88671875" style="175" customWidth="1"/>
    <col min="324" max="324" width="38" style="175" customWidth="1"/>
    <col min="325" max="325" width="34.5546875" style="175" customWidth="1"/>
    <col min="326" max="326" width="21.6640625" style="175" customWidth="1"/>
    <col min="327" max="327" width="12.5546875" style="175" customWidth="1"/>
    <col min="328" max="525" width="9.109375" style="175"/>
    <col min="526" max="527" width="24.5546875" style="175" customWidth="1"/>
    <col min="528" max="528" width="18.44140625" style="175" customWidth="1"/>
    <col min="529" max="529" width="13.6640625" style="175" customWidth="1"/>
    <col min="530" max="530" width="13.109375" style="175" customWidth="1"/>
    <col min="531" max="531" width="11.109375" style="175" customWidth="1"/>
    <col min="532" max="532" width="21.6640625" style="175" customWidth="1"/>
    <col min="533" max="533" width="16" style="175" customWidth="1"/>
    <col min="534" max="534" width="18.33203125" style="175" customWidth="1"/>
    <col min="535" max="535" width="22" style="175" customWidth="1"/>
    <col min="536" max="536" width="21.6640625" style="175" customWidth="1"/>
    <col min="537" max="537" width="13" style="175" customWidth="1"/>
    <col min="538" max="538" width="14.44140625" style="175" customWidth="1"/>
    <col min="539" max="539" width="17.88671875" style="175" customWidth="1"/>
    <col min="540" max="540" width="21.109375" style="175" customWidth="1"/>
    <col min="541" max="546" width="11.88671875" style="175" customWidth="1"/>
    <col min="547" max="547" width="15" style="175" customWidth="1"/>
    <col min="548" max="550" width="11.33203125" style="175" customWidth="1"/>
    <col min="551" max="551" width="14.44140625" style="175" customWidth="1"/>
    <col min="552" max="552" width="19.6640625" style="175" customWidth="1"/>
    <col min="553" max="553" width="11.33203125" style="175" customWidth="1"/>
    <col min="554" max="554" width="10.44140625" style="175" customWidth="1"/>
    <col min="555" max="555" width="14.5546875" style="175" customWidth="1"/>
    <col min="556" max="556" width="38" style="175" customWidth="1"/>
    <col min="557" max="557" width="34.88671875" style="175" customWidth="1"/>
    <col min="558" max="558" width="21.6640625" style="175" customWidth="1"/>
    <col min="559" max="559" width="9.6640625" style="175" customWidth="1"/>
    <col min="560" max="561" width="9.109375" style="175"/>
    <col min="562" max="562" width="14.33203125" style="175" customWidth="1"/>
    <col min="563" max="570" width="13" style="175" customWidth="1"/>
    <col min="571" max="571" width="11.33203125" style="175" customWidth="1"/>
    <col min="572" max="572" width="9.6640625" style="175" customWidth="1"/>
    <col min="573" max="573" width="24.88671875" style="175" customWidth="1"/>
    <col min="574" max="574" width="11.33203125" style="175" customWidth="1"/>
    <col min="575" max="575" width="15.33203125" style="175" customWidth="1"/>
    <col min="576" max="576" width="28.44140625" style="175" customWidth="1"/>
    <col min="577" max="578" width="11.33203125" style="175" customWidth="1"/>
    <col min="579" max="579" width="15.88671875" style="175" customWidth="1"/>
    <col min="580" max="580" width="38" style="175" customWidth="1"/>
    <col min="581" max="581" width="34.5546875" style="175" customWidth="1"/>
    <col min="582" max="582" width="21.6640625" style="175" customWidth="1"/>
    <col min="583" max="583" width="12.5546875" style="175" customWidth="1"/>
    <col min="584" max="781" width="9.109375" style="175"/>
    <col min="782" max="783" width="24.5546875" style="175" customWidth="1"/>
    <col min="784" max="784" width="18.44140625" style="175" customWidth="1"/>
    <col min="785" max="785" width="13.6640625" style="175" customWidth="1"/>
    <col min="786" max="786" width="13.109375" style="175" customWidth="1"/>
    <col min="787" max="787" width="11.109375" style="175" customWidth="1"/>
    <col min="788" max="788" width="21.6640625" style="175" customWidth="1"/>
    <col min="789" max="789" width="16" style="175" customWidth="1"/>
    <col min="790" max="790" width="18.33203125" style="175" customWidth="1"/>
    <col min="791" max="791" width="22" style="175" customWidth="1"/>
    <col min="792" max="792" width="21.6640625" style="175" customWidth="1"/>
    <col min="793" max="793" width="13" style="175" customWidth="1"/>
    <col min="794" max="794" width="14.44140625" style="175" customWidth="1"/>
    <col min="795" max="795" width="17.88671875" style="175" customWidth="1"/>
    <col min="796" max="796" width="21.109375" style="175" customWidth="1"/>
    <col min="797" max="802" width="11.88671875" style="175" customWidth="1"/>
    <col min="803" max="803" width="15" style="175" customWidth="1"/>
    <col min="804" max="806" width="11.33203125" style="175" customWidth="1"/>
    <col min="807" max="807" width="14.44140625" style="175" customWidth="1"/>
    <col min="808" max="808" width="19.6640625" style="175" customWidth="1"/>
    <col min="809" max="809" width="11.33203125" style="175" customWidth="1"/>
    <col min="810" max="810" width="10.44140625" style="175" customWidth="1"/>
    <col min="811" max="811" width="14.5546875" style="175" customWidth="1"/>
    <col min="812" max="812" width="38" style="175" customWidth="1"/>
    <col min="813" max="813" width="34.88671875" style="175" customWidth="1"/>
    <col min="814" max="814" width="21.6640625" style="175" customWidth="1"/>
    <col min="815" max="815" width="9.6640625" style="175" customWidth="1"/>
    <col min="816" max="817" width="9.109375" style="175"/>
    <col min="818" max="818" width="14.33203125" style="175" customWidth="1"/>
    <col min="819" max="826" width="13" style="175" customWidth="1"/>
    <col min="827" max="827" width="11.33203125" style="175" customWidth="1"/>
    <col min="828" max="828" width="9.6640625" style="175" customWidth="1"/>
    <col min="829" max="829" width="24.88671875" style="175" customWidth="1"/>
    <col min="830" max="830" width="11.33203125" style="175" customWidth="1"/>
    <col min="831" max="831" width="15.33203125" style="175" customWidth="1"/>
    <col min="832" max="832" width="28.44140625" style="175" customWidth="1"/>
    <col min="833" max="834" width="11.33203125" style="175" customWidth="1"/>
    <col min="835" max="835" width="15.88671875" style="175" customWidth="1"/>
    <col min="836" max="836" width="38" style="175" customWidth="1"/>
    <col min="837" max="837" width="34.5546875" style="175" customWidth="1"/>
    <col min="838" max="838" width="21.6640625" style="175" customWidth="1"/>
    <col min="839" max="839" width="12.5546875" style="175" customWidth="1"/>
    <col min="840" max="1037" width="9.109375" style="175"/>
    <col min="1038" max="1039" width="24.5546875" style="175" customWidth="1"/>
    <col min="1040" max="1040" width="18.44140625" style="175" customWidth="1"/>
    <col min="1041" max="1041" width="13.6640625" style="175" customWidth="1"/>
    <col min="1042" max="1042" width="13.109375" style="175" customWidth="1"/>
    <col min="1043" max="1043" width="11.109375" style="175" customWidth="1"/>
    <col min="1044" max="1044" width="21.6640625" style="175" customWidth="1"/>
    <col min="1045" max="1045" width="16" style="175" customWidth="1"/>
    <col min="1046" max="1046" width="18.33203125" style="175" customWidth="1"/>
    <col min="1047" max="1047" width="22" style="175" customWidth="1"/>
    <col min="1048" max="1048" width="21.6640625" style="175" customWidth="1"/>
    <col min="1049" max="1049" width="13" style="175" customWidth="1"/>
    <col min="1050" max="1050" width="14.44140625" style="175" customWidth="1"/>
    <col min="1051" max="1051" width="17.88671875" style="175" customWidth="1"/>
    <col min="1052" max="1052" width="21.109375" style="175" customWidth="1"/>
    <col min="1053" max="1058" width="11.88671875" style="175" customWidth="1"/>
    <col min="1059" max="1059" width="15" style="175" customWidth="1"/>
    <col min="1060" max="1062" width="11.33203125" style="175" customWidth="1"/>
    <col min="1063" max="1063" width="14.44140625" style="175" customWidth="1"/>
    <col min="1064" max="1064" width="19.6640625" style="175" customWidth="1"/>
    <col min="1065" max="1065" width="11.33203125" style="175" customWidth="1"/>
    <col min="1066" max="1066" width="10.44140625" style="175" customWidth="1"/>
    <col min="1067" max="1067" width="14.5546875" style="175" customWidth="1"/>
    <col min="1068" max="1068" width="38" style="175" customWidth="1"/>
    <col min="1069" max="1069" width="34.88671875" style="175" customWidth="1"/>
    <col min="1070" max="1070" width="21.6640625" style="175" customWidth="1"/>
    <col min="1071" max="1071" width="9.6640625" style="175" customWidth="1"/>
    <col min="1072" max="1073" width="9.109375" style="175"/>
    <col min="1074" max="1074" width="14.33203125" style="175" customWidth="1"/>
    <col min="1075" max="1082" width="13" style="175" customWidth="1"/>
    <col min="1083" max="1083" width="11.33203125" style="175" customWidth="1"/>
    <col min="1084" max="1084" width="9.6640625" style="175" customWidth="1"/>
    <col min="1085" max="1085" width="24.88671875" style="175" customWidth="1"/>
    <col min="1086" max="1086" width="11.33203125" style="175" customWidth="1"/>
    <col min="1087" max="1087" width="15.33203125" style="175" customWidth="1"/>
    <col min="1088" max="1088" width="28.44140625" style="175" customWidth="1"/>
    <col min="1089" max="1090" width="11.33203125" style="175" customWidth="1"/>
    <col min="1091" max="1091" width="15.88671875" style="175" customWidth="1"/>
    <col min="1092" max="1092" width="38" style="175" customWidth="1"/>
    <col min="1093" max="1093" width="34.5546875" style="175" customWidth="1"/>
    <col min="1094" max="1094" width="21.6640625" style="175" customWidth="1"/>
    <col min="1095" max="1095" width="12.5546875" style="175" customWidth="1"/>
    <col min="1096" max="1293" width="9.109375" style="175"/>
    <col min="1294" max="1295" width="24.5546875" style="175" customWidth="1"/>
    <col min="1296" max="1296" width="18.44140625" style="175" customWidth="1"/>
    <col min="1297" max="1297" width="13.6640625" style="175" customWidth="1"/>
    <col min="1298" max="1298" width="13.109375" style="175" customWidth="1"/>
    <col min="1299" max="1299" width="11.109375" style="175" customWidth="1"/>
    <col min="1300" max="1300" width="21.6640625" style="175" customWidth="1"/>
    <col min="1301" max="1301" width="16" style="175" customWidth="1"/>
    <col min="1302" max="1302" width="18.33203125" style="175" customWidth="1"/>
    <col min="1303" max="1303" width="22" style="175" customWidth="1"/>
    <col min="1304" max="1304" width="21.6640625" style="175" customWidth="1"/>
    <col min="1305" max="1305" width="13" style="175" customWidth="1"/>
    <col min="1306" max="1306" width="14.44140625" style="175" customWidth="1"/>
    <col min="1307" max="1307" width="17.88671875" style="175" customWidth="1"/>
    <col min="1308" max="1308" width="21.109375" style="175" customWidth="1"/>
    <col min="1309" max="1314" width="11.88671875" style="175" customWidth="1"/>
    <col min="1315" max="1315" width="15" style="175" customWidth="1"/>
    <col min="1316" max="1318" width="11.33203125" style="175" customWidth="1"/>
    <col min="1319" max="1319" width="14.44140625" style="175" customWidth="1"/>
    <col min="1320" max="1320" width="19.6640625" style="175" customWidth="1"/>
    <col min="1321" max="1321" width="11.33203125" style="175" customWidth="1"/>
    <col min="1322" max="1322" width="10.44140625" style="175" customWidth="1"/>
    <col min="1323" max="1323" width="14.5546875" style="175" customWidth="1"/>
    <col min="1324" max="1324" width="38" style="175" customWidth="1"/>
    <col min="1325" max="1325" width="34.88671875" style="175" customWidth="1"/>
    <col min="1326" max="1326" width="21.6640625" style="175" customWidth="1"/>
    <col min="1327" max="1327" width="9.6640625" style="175" customWidth="1"/>
    <col min="1328" max="1329" width="9.109375" style="175"/>
    <col min="1330" max="1330" width="14.33203125" style="175" customWidth="1"/>
    <col min="1331" max="1338" width="13" style="175" customWidth="1"/>
    <col min="1339" max="1339" width="11.33203125" style="175" customWidth="1"/>
    <col min="1340" max="1340" width="9.6640625" style="175" customWidth="1"/>
    <col min="1341" max="1341" width="24.88671875" style="175" customWidth="1"/>
    <col min="1342" max="1342" width="11.33203125" style="175" customWidth="1"/>
    <col min="1343" max="1343" width="15.33203125" style="175" customWidth="1"/>
    <col min="1344" max="1344" width="28.44140625" style="175" customWidth="1"/>
    <col min="1345" max="1346" width="11.33203125" style="175" customWidth="1"/>
    <col min="1347" max="1347" width="15.88671875" style="175" customWidth="1"/>
    <col min="1348" max="1348" width="38" style="175" customWidth="1"/>
    <col min="1349" max="1349" width="34.5546875" style="175" customWidth="1"/>
    <col min="1350" max="1350" width="21.6640625" style="175" customWidth="1"/>
    <col min="1351" max="1351" width="12.5546875" style="175" customWidth="1"/>
    <col min="1352" max="1549" width="9.109375" style="175"/>
    <col min="1550" max="1551" width="24.5546875" style="175" customWidth="1"/>
    <col min="1552" max="1552" width="18.44140625" style="175" customWidth="1"/>
    <col min="1553" max="1553" width="13.6640625" style="175" customWidth="1"/>
    <col min="1554" max="1554" width="13.109375" style="175" customWidth="1"/>
    <col min="1555" max="1555" width="11.109375" style="175" customWidth="1"/>
    <col min="1556" max="1556" width="21.6640625" style="175" customWidth="1"/>
    <col min="1557" max="1557" width="16" style="175" customWidth="1"/>
    <col min="1558" max="1558" width="18.33203125" style="175" customWidth="1"/>
    <col min="1559" max="1559" width="22" style="175" customWidth="1"/>
    <col min="1560" max="1560" width="21.6640625" style="175" customWidth="1"/>
    <col min="1561" max="1561" width="13" style="175" customWidth="1"/>
    <col min="1562" max="1562" width="14.44140625" style="175" customWidth="1"/>
    <col min="1563" max="1563" width="17.88671875" style="175" customWidth="1"/>
    <col min="1564" max="1564" width="21.109375" style="175" customWidth="1"/>
    <col min="1565" max="1570" width="11.88671875" style="175" customWidth="1"/>
    <col min="1571" max="1571" width="15" style="175" customWidth="1"/>
    <col min="1572" max="1574" width="11.33203125" style="175" customWidth="1"/>
    <col min="1575" max="1575" width="14.44140625" style="175" customWidth="1"/>
    <col min="1576" max="1576" width="19.6640625" style="175" customWidth="1"/>
    <col min="1577" max="1577" width="11.33203125" style="175" customWidth="1"/>
    <col min="1578" max="1578" width="10.44140625" style="175" customWidth="1"/>
    <col min="1579" max="1579" width="14.5546875" style="175" customWidth="1"/>
    <col min="1580" max="1580" width="38" style="175" customWidth="1"/>
    <col min="1581" max="1581" width="34.88671875" style="175" customWidth="1"/>
    <col min="1582" max="1582" width="21.6640625" style="175" customWidth="1"/>
    <col min="1583" max="1583" width="9.6640625" style="175" customWidth="1"/>
    <col min="1584" max="1585" width="9.109375" style="175"/>
    <col min="1586" max="1586" width="14.33203125" style="175" customWidth="1"/>
    <col min="1587" max="1594" width="13" style="175" customWidth="1"/>
    <col min="1595" max="1595" width="11.33203125" style="175" customWidth="1"/>
    <col min="1596" max="1596" width="9.6640625" style="175" customWidth="1"/>
    <col min="1597" max="1597" width="24.88671875" style="175" customWidth="1"/>
    <col min="1598" max="1598" width="11.33203125" style="175" customWidth="1"/>
    <col min="1599" max="1599" width="15.33203125" style="175" customWidth="1"/>
    <col min="1600" max="1600" width="28.44140625" style="175" customWidth="1"/>
    <col min="1601" max="1602" width="11.33203125" style="175" customWidth="1"/>
    <col min="1603" max="1603" width="15.88671875" style="175" customWidth="1"/>
    <col min="1604" max="1604" width="38" style="175" customWidth="1"/>
    <col min="1605" max="1605" width="34.5546875" style="175" customWidth="1"/>
    <col min="1606" max="1606" width="21.6640625" style="175" customWidth="1"/>
    <col min="1607" max="1607" width="12.5546875" style="175" customWidth="1"/>
    <col min="1608" max="1805" width="9.109375" style="175"/>
    <col min="1806" max="1807" width="24.5546875" style="175" customWidth="1"/>
    <col min="1808" max="1808" width="18.44140625" style="175" customWidth="1"/>
    <col min="1809" max="1809" width="13.6640625" style="175" customWidth="1"/>
    <col min="1810" max="1810" width="13.109375" style="175" customWidth="1"/>
    <col min="1811" max="1811" width="11.109375" style="175" customWidth="1"/>
    <col min="1812" max="1812" width="21.6640625" style="175" customWidth="1"/>
    <col min="1813" max="1813" width="16" style="175" customWidth="1"/>
    <col min="1814" max="1814" width="18.33203125" style="175" customWidth="1"/>
    <col min="1815" max="1815" width="22" style="175" customWidth="1"/>
    <col min="1816" max="1816" width="21.6640625" style="175" customWidth="1"/>
    <col min="1817" max="1817" width="13" style="175" customWidth="1"/>
    <col min="1818" max="1818" width="14.44140625" style="175" customWidth="1"/>
    <col min="1819" max="1819" width="17.88671875" style="175" customWidth="1"/>
    <col min="1820" max="1820" width="21.109375" style="175" customWidth="1"/>
    <col min="1821" max="1826" width="11.88671875" style="175" customWidth="1"/>
    <col min="1827" max="1827" width="15" style="175" customWidth="1"/>
    <col min="1828" max="1830" width="11.33203125" style="175" customWidth="1"/>
    <col min="1831" max="1831" width="14.44140625" style="175" customWidth="1"/>
    <col min="1832" max="1832" width="19.6640625" style="175" customWidth="1"/>
    <col min="1833" max="1833" width="11.33203125" style="175" customWidth="1"/>
    <col min="1834" max="1834" width="10.44140625" style="175" customWidth="1"/>
    <col min="1835" max="1835" width="14.5546875" style="175" customWidth="1"/>
    <col min="1836" max="1836" width="38" style="175" customWidth="1"/>
    <col min="1837" max="1837" width="34.88671875" style="175" customWidth="1"/>
    <col min="1838" max="1838" width="21.6640625" style="175" customWidth="1"/>
    <col min="1839" max="1839" width="9.6640625" style="175" customWidth="1"/>
    <col min="1840" max="1841" width="9.109375" style="175"/>
    <col min="1842" max="1842" width="14.33203125" style="175" customWidth="1"/>
    <col min="1843" max="1850" width="13" style="175" customWidth="1"/>
    <col min="1851" max="1851" width="11.33203125" style="175" customWidth="1"/>
    <col min="1852" max="1852" width="9.6640625" style="175" customWidth="1"/>
    <col min="1853" max="1853" width="24.88671875" style="175" customWidth="1"/>
    <col min="1854" max="1854" width="11.33203125" style="175" customWidth="1"/>
    <col min="1855" max="1855" width="15.33203125" style="175" customWidth="1"/>
    <col min="1856" max="1856" width="28.44140625" style="175" customWidth="1"/>
    <col min="1857" max="1858" width="11.33203125" style="175" customWidth="1"/>
    <col min="1859" max="1859" width="15.88671875" style="175" customWidth="1"/>
    <col min="1860" max="1860" width="38" style="175" customWidth="1"/>
    <col min="1861" max="1861" width="34.5546875" style="175" customWidth="1"/>
    <col min="1862" max="1862" width="21.6640625" style="175" customWidth="1"/>
    <col min="1863" max="1863" width="12.5546875" style="175" customWidth="1"/>
    <col min="1864" max="2061" width="9.109375" style="175"/>
    <col min="2062" max="2063" width="24.5546875" style="175" customWidth="1"/>
    <col min="2064" max="2064" width="18.44140625" style="175" customWidth="1"/>
    <col min="2065" max="2065" width="13.6640625" style="175" customWidth="1"/>
    <col min="2066" max="2066" width="13.109375" style="175" customWidth="1"/>
    <col min="2067" max="2067" width="11.109375" style="175" customWidth="1"/>
    <col min="2068" max="2068" width="21.6640625" style="175" customWidth="1"/>
    <col min="2069" max="2069" width="16" style="175" customWidth="1"/>
    <col min="2070" max="2070" width="18.33203125" style="175" customWidth="1"/>
    <col min="2071" max="2071" width="22" style="175" customWidth="1"/>
    <col min="2072" max="2072" width="21.6640625" style="175" customWidth="1"/>
    <col min="2073" max="2073" width="13" style="175" customWidth="1"/>
    <col min="2074" max="2074" width="14.44140625" style="175" customWidth="1"/>
    <col min="2075" max="2075" width="17.88671875" style="175" customWidth="1"/>
    <col min="2076" max="2076" width="21.109375" style="175" customWidth="1"/>
    <col min="2077" max="2082" width="11.88671875" style="175" customWidth="1"/>
    <col min="2083" max="2083" width="15" style="175" customWidth="1"/>
    <col min="2084" max="2086" width="11.33203125" style="175" customWidth="1"/>
    <col min="2087" max="2087" width="14.44140625" style="175" customWidth="1"/>
    <col min="2088" max="2088" width="19.6640625" style="175" customWidth="1"/>
    <col min="2089" max="2089" width="11.33203125" style="175" customWidth="1"/>
    <col min="2090" max="2090" width="10.44140625" style="175" customWidth="1"/>
    <col min="2091" max="2091" width="14.5546875" style="175" customWidth="1"/>
    <col min="2092" max="2092" width="38" style="175" customWidth="1"/>
    <col min="2093" max="2093" width="34.88671875" style="175" customWidth="1"/>
    <col min="2094" max="2094" width="21.6640625" style="175" customWidth="1"/>
    <col min="2095" max="2095" width="9.6640625" style="175" customWidth="1"/>
    <col min="2096" max="2097" width="9.109375" style="175"/>
    <col min="2098" max="2098" width="14.33203125" style="175" customWidth="1"/>
    <col min="2099" max="2106" width="13" style="175" customWidth="1"/>
    <col min="2107" max="2107" width="11.33203125" style="175" customWidth="1"/>
    <col min="2108" max="2108" width="9.6640625" style="175" customWidth="1"/>
    <col min="2109" max="2109" width="24.88671875" style="175" customWidth="1"/>
    <col min="2110" max="2110" width="11.33203125" style="175" customWidth="1"/>
    <col min="2111" max="2111" width="15.33203125" style="175" customWidth="1"/>
    <col min="2112" max="2112" width="28.44140625" style="175" customWidth="1"/>
    <col min="2113" max="2114" width="11.33203125" style="175" customWidth="1"/>
    <col min="2115" max="2115" width="15.88671875" style="175" customWidth="1"/>
    <col min="2116" max="2116" width="38" style="175" customWidth="1"/>
    <col min="2117" max="2117" width="34.5546875" style="175" customWidth="1"/>
    <col min="2118" max="2118" width="21.6640625" style="175" customWidth="1"/>
    <col min="2119" max="2119" width="12.5546875" style="175" customWidth="1"/>
    <col min="2120" max="2317" width="9.109375" style="175"/>
    <col min="2318" max="2319" width="24.5546875" style="175" customWidth="1"/>
    <col min="2320" max="2320" width="18.44140625" style="175" customWidth="1"/>
    <col min="2321" max="2321" width="13.6640625" style="175" customWidth="1"/>
    <col min="2322" max="2322" width="13.109375" style="175" customWidth="1"/>
    <col min="2323" max="2323" width="11.109375" style="175" customWidth="1"/>
    <col min="2324" max="2324" width="21.6640625" style="175" customWidth="1"/>
    <col min="2325" max="2325" width="16" style="175" customWidth="1"/>
    <col min="2326" max="2326" width="18.33203125" style="175" customWidth="1"/>
    <col min="2327" max="2327" width="22" style="175" customWidth="1"/>
    <col min="2328" max="2328" width="21.6640625" style="175" customWidth="1"/>
    <col min="2329" max="2329" width="13" style="175" customWidth="1"/>
    <col min="2330" max="2330" width="14.44140625" style="175" customWidth="1"/>
    <col min="2331" max="2331" width="17.88671875" style="175" customWidth="1"/>
    <col min="2332" max="2332" width="21.109375" style="175" customWidth="1"/>
    <col min="2333" max="2338" width="11.88671875" style="175" customWidth="1"/>
    <col min="2339" max="2339" width="15" style="175" customWidth="1"/>
    <col min="2340" max="2342" width="11.33203125" style="175" customWidth="1"/>
    <col min="2343" max="2343" width="14.44140625" style="175" customWidth="1"/>
    <col min="2344" max="2344" width="19.6640625" style="175" customWidth="1"/>
    <col min="2345" max="2345" width="11.33203125" style="175" customWidth="1"/>
    <col min="2346" max="2346" width="10.44140625" style="175" customWidth="1"/>
    <col min="2347" max="2347" width="14.5546875" style="175" customWidth="1"/>
    <col min="2348" max="2348" width="38" style="175" customWidth="1"/>
    <col min="2349" max="2349" width="34.88671875" style="175" customWidth="1"/>
    <col min="2350" max="2350" width="21.6640625" style="175" customWidth="1"/>
    <col min="2351" max="2351" width="9.6640625" style="175" customWidth="1"/>
    <col min="2352" max="2353" width="9.109375" style="175"/>
    <col min="2354" max="2354" width="14.33203125" style="175" customWidth="1"/>
    <col min="2355" max="2362" width="13" style="175" customWidth="1"/>
    <col min="2363" max="2363" width="11.33203125" style="175" customWidth="1"/>
    <col min="2364" max="2364" width="9.6640625" style="175" customWidth="1"/>
    <col min="2365" max="2365" width="24.88671875" style="175" customWidth="1"/>
    <col min="2366" max="2366" width="11.33203125" style="175" customWidth="1"/>
    <col min="2367" max="2367" width="15.33203125" style="175" customWidth="1"/>
    <col min="2368" max="2368" width="28.44140625" style="175" customWidth="1"/>
    <col min="2369" max="2370" width="11.33203125" style="175" customWidth="1"/>
    <col min="2371" max="2371" width="15.88671875" style="175" customWidth="1"/>
    <col min="2372" max="2372" width="38" style="175" customWidth="1"/>
    <col min="2373" max="2373" width="34.5546875" style="175" customWidth="1"/>
    <col min="2374" max="2374" width="21.6640625" style="175" customWidth="1"/>
    <col min="2375" max="2375" width="12.5546875" style="175" customWidth="1"/>
    <col min="2376" max="2573" width="9.109375" style="175"/>
    <col min="2574" max="2575" width="24.5546875" style="175" customWidth="1"/>
    <col min="2576" max="2576" width="18.44140625" style="175" customWidth="1"/>
    <col min="2577" max="2577" width="13.6640625" style="175" customWidth="1"/>
    <col min="2578" max="2578" width="13.109375" style="175" customWidth="1"/>
    <col min="2579" max="2579" width="11.109375" style="175" customWidth="1"/>
    <col min="2580" max="2580" width="21.6640625" style="175" customWidth="1"/>
    <col min="2581" max="2581" width="16" style="175" customWidth="1"/>
    <col min="2582" max="2582" width="18.33203125" style="175" customWidth="1"/>
    <col min="2583" max="2583" width="22" style="175" customWidth="1"/>
    <col min="2584" max="2584" width="21.6640625" style="175" customWidth="1"/>
    <col min="2585" max="2585" width="13" style="175" customWidth="1"/>
    <col min="2586" max="2586" width="14.44140625" style="175" customWidth="1"/>
    <col min="2587" max="2587" width="17.88671875" style="175" customWidth="1"/>
    <col min="2588" max="2588" width="21.109375" style="175" customWidth="1"/>
    <col min="2589" max="2594" width="11.88671875" style="175" customWidth="1"/>
    <col min="2595" max="2595" width="15" style="175" customWidth="1"/>
    <col min="2596" max="2598" width="11.33203125" style="175" customWidth="1"/>
    <col min="2599" max="2599" width="14.44140625" style="175" customWidth="1"/>
    <col min="2600" max="2600" width="19.6640625" style="175" customWidth="1"/>
    <col min="2601" max="2601" width="11.33203125" style="175" customWidth="1"/>
    <col min="2602" max="2602" width="10.44140625" style="175" customWidth="1"/>
    <col min="2603" max="2603" width="14.5546875" style="175" customWidth="1"/>
    <col min="2604" max="2604" width="38" style="175" customWidth="1"/>
    <col min="2605" max="2605" width="34.88671875" style="175" customWidth="1"/>
    <col min="2606" max="2606" width="21.6640625" style="175" customWidth="1"/>
    <col min="2607" max="2607" width="9.6640625" style="175" customWidth="1"/>
    <col min="2608" max="2609" width="9.109375" style="175"/>
    <col min="2610" max="2610" width="14.33203125" style="175" customWidth="1"/>
    <col min="2611" max="2618" width="13" style="175" customWidth="1"/>
    <col min="2619" max="2619" width="11.33203125" style="175" customWidth="1"/>
    <col min="2620" max="2620" width="9.6640625" style="175" customWidth="1"/>
    <col min="2621" max="2621" width="24.88671875" style="175" customWidth="1"/>
    <col min="2622" max="2622" width="11.33203125" style="175" customWidth="1"/>
    <col min="2623" max="2623" width="15.33203125" style="175" customWidth="1"/>
    <col min="2624" max="2624" width="28.44140625" style="175" customWidth="1"/>
    <col min="2625" max="2626" width="11.33203125" style="175" customWidth="1"/>
    <col min="2627" max="2627" width="15.88671875" style="175" customWidth="1"/>
    <col min="2628" max="2628" width="38" style="175" customWidth="1"/>
    <col min="2629" max="2629" width="34.5546875" style="175" customWidth="1"/>
    <col min="2630" max="2630" width="21.6640625" style="175" customWidth="1"/>
    <col min="2631" max="2631" width="12.5546875" style="175" customWidth="1"/>
    <col min="2632" max="2829" width="9.109375" style="175"/>
    <col min="2830" max="2831" width="24.5546875" style="175" customWidth="1"/>
    <col min="2832" max="2832" width="18.44140625" style="175" customWidth="1"/>
    <col min="2833" max="2833" width="13.6640625" style="175" customWidth="1"/>
    <col min="2834" max="2834" width="13.109375" style="175" customWidth="1"/>
    <col min="2835" max="2835" width="11.109375" style="175" customWidth="1"/>
    <col min="2836" max="2836" width="21.6640625" style="175" customWidth="1"/>
    <col min="2837" max="2837" width="16" style="175" customWidth="1"/>
    <col min="2838" max="2838" width="18.33203125" style="175" customWidth="1"/>
    <col min="2839" max="2839" width="22" style="175" customWidth="1"/>
    <col min="2840" max="2840" width="21.6640625" style="175" customWidth="1"/>
    <col min="2841" max="2841" width="13" style="175" customWidth="1"/>
    <col min="2842" max="2842" width="14.44140625" style="175" customWidth="1"/>
    <col min="2843" max="2843" width="17.88671875" style="175" customWidth="1"/>
    <col min="2844" max="2844" width="21.109375" style="175" customWidth="1"/>
    <col min="2845" max="2850" width="11.88671875" style="175" customWidth="1"/>
    <col min="2851" max="2851" width="15" style="175" customWidth="1"/>
    <col min="2852" max="2854" width="11.33203125" style="175" customWidth="1"/>
    <col min="2855" max="2855" width="14.44140625" style="175" customWidth="1"/>
    <col min="2856" max="2856" width="19.6640625" style="175" customWidth="1"/>
    <col min="2857" max="2857" width="11.33203125" style="175" customWidth="1"/>
    <col min="2858" max="2858" width="10.44140625" style="175" customWidth="1"/>
    <col min="2859" max="2859" width="14.5546875" style="175" customWidth="1"/>
    <col min="2860" max="2860" width="38" style="175" customWidth="1"/>
    <col min="2861" max="2861" width="34.88671875" style="175" customWidth="1"/>
    <col min="2862" max="2862" width="21.6640625" style="175" customWidth="1"/>
    <col min="2863" max="2863" width="9.6640625" style="175" customWidth="1"/>
    <col min="2864" max="2865" width="9.109375" style="175"/>
    <col min="2866" max="2866" width="14.33203125" style="175" customWidth="1"/>
    <col min="2867" max="2874" width="13" style="175" customWidth="1"/>
    <col min="2875" max="2875" width="11.33203125" style="175" customWidth="1"/>
    <col min="2876" max="2876" width="9.6640625" style="175" customWidth="1"/>
    <col min="2877" max="2877" width="24.88671875" style="175" customWidth="1"/>
    <col min="2878" max="2878" width="11.33203125" style="175" customWidth="1"/>
    <col min="2879" max="2879" width="15.33203125" style="175" customWidth="1"/>
    <col min="2880" max="2880" width="28.44140625" style="175" customWidth="1"/>
    <col min="2881" max="2882" width="11.33203125" style="175" customWidth="1"/>
    <col min="2883" max="2883" width="15.88671875" style="175" customWidth="1"/>
    <col min="2884" max="2884" width="38" style="175" customWidth="1"/>
    <col min="2885" max="2885" width="34.5546875" style="175" customWidth="1"/>
    <col min="2886" max="2886" width="21.6640625" style="175" customWidth="1"/>
    <col min="2887" max="2887" width="12.5546875" style="175" customWidth="1"/>
    <col min="2888" max="3085" width="9.109375" style="175"/>
    <col min="3086" max="3087" width="24.5546875" style="175" customWidth="1"/>
    <col min="3088" max="3088" width="18.44140625" style="175" customWidth="1"/>
    <col min="3089" max="3089" width="13.6640625" style="175" customWidth="1"/>
    <col min="3090" max="3090" width="13.109375" style="175" customWidth="1"/>
    <col min="3091" max="3091" width="11.109375" style="175" customWidth="1"/>
    <col min="3092" max="3092" width="21.6640625" style="175" customWidth="1"/>
    <col min="3093" max="3093" width="16" style="175" customWidth="1"/>
    <col min="3094" max="3094" width="18.33203125" style="175" customWidth="1"/>
    <col min="3095" max="3095" width="22" style="175" customWidth="1"/>
    <col min="3096" max="3096" width="21.6640625" style="175" customWidth="1"/>
    <col min="3097" max="3097" width="13" style="175" customWidth="1"/>
    <col min="3098" max="3098" width="14.44140625" style="175" customWidth="1"/>
    <col min="3099" max="3099" width="17.88671875" style="175" customWidth="1"/>
    <col min="3100" max="3100" width="21.109375" style="175" customWidth="1"/>
    <col min="3101" max="3106" width="11.88671875" style="175" customWidth="1"/>
    <col min="3107" max="3107" width="15" style="175" customWidth="1"/>
    <col min="3108" max="3110" width="11.33203125" style="175" customWidth="1"/>
    <col min="3111" max="3111" width="14.44140625" style="175" customWidth="1"/>
    <col min="3112" max="3112" width="19.6640625" style="175" customWidth="1"/>
    <col min="3113" max="3113" width="11.33203125" style="175" customWidth="1"/>
    <col min="3114" max="3114" width="10.44140625" style="175" customWidth="1"/>
    <col min="3115" max="3115" width="14.5546875" style="175" customWidth="1"/>
    <col min="3116" max="3116" width="38" style="175" customWidth="1"/>
    <col min="3117" max="3117" width="34.88671875" style="175" customWidth="1"/>
    <col min="3118" max="3118" width="21.6640625" style="175" customWidth="1"/>
    <col min="3119" max="3119" width="9.6640625" style="175" customWidth="1"/>
    <col min="3120" max="3121" width="9.109375" style="175"/>
    <col min="3122" max="3122" width="14.33203125" style="175" customWidth="1"/>
    <col min="3123" max="3130" width="13" style="175" customWidth="1"/>
    <col min="3131" max="3131" width="11.33203125" style="175" customWidth="1"/>
    <col min="3132" max="3132" width="9.6640625" style="175" customWidth="1"/>
    <col min="3133" max="3133" width="24.88671875" style="175" customWidth="1"/>
    <col min="3134" max="3134" width="11.33203125" style="175" customWidth="1"/>
    <col min="3135" max="3135" width="15.33203125" style="175" customWidth="1"/>
    <col min="3136" max="3136" width="28.44140625" style="175" customWidth="1"/>
    <col min="3137" max="3138" width="11.33203125" style="175" customWidth="1"/>
    <col min="3139" max="3139" width="15.88671875" style="175" customWidth="1"/>
    <col min="3140" max="3140" width="38" style="175" customWidth="1"/>
    <col min="3141" max="3141" width="34.5546875" style="175" customWidth="1"/>
    <col min="3142" max="3142" width="21.6640625" style="175" customWidth="1"/>
    <col min="3143" max="3143" width="12.5546875" style="175" customWidth="1"/>
    <col min="3144" max="3341" width="9.109375" style="175"/>
    <col min="3342" max="3343" width="24.5546875" style="175" customWidth="1"/>
    <col min="3344" max="3344" width="18.44140625" style="175" customWidth="1"/>
    <col min="3345" max="3345" width="13.6640625" style="175" customWidth="1"/>
    <col min="3346" max="3346" width="13.109375" style="175" customWidth="1"/>
    <col min="3347" max="3347" width="11.109375" style="175" customWidth="1"/>
    <col min="3348" max="3348" width="21.6640625" style="175" customWidth="1"/>
    <col min="3349" max="3349" width="16" style="175" customWidth="1"/>
    <col min="3350" max="3350" width="18.33203125" style="175" customWidth="1"/>
    <col min="3351" max="3351" width="22" style="175" customWidth="1"/>
    <col min="3352" max="3352" width="21.6640625" style="175" customWidth="1"/>
    <col min="3353" max="3353" width="13" style="175" customWidth="1"/>
    <col min="3354" max="3354" width="14.44140625" style="175" customWidth="1"/>
    <col min="3355" max="3355" width="17.88671875" style="175" customWidth="1"/>
    <col min="3356" max="3356" width="21.109375" style="175" customWidth="1"/>
    <col min="3357" max="3362" width="11.88671875" style="175" customWidth="1"/>
    <col min="3363" max="3363" width="15" style="175" customWidth="1"/>
    <col min="3364" max="3366" width="11.33203125" style="175" customWidth="1"/>
    <col min="3367" max="3367" width="14.44140625" style="175" customWidth="1"/>
    <col min="3368" max="3368" width="19.6640625" style="175" customWidth="1"/>
    <col min="3369" max="3369" width="11.33203125" style="175" customWidth="1"/>
    <col min="3370" max="3370" width="10.44140625" style="175" customWidth="1"/>
    <col min="3371" max="3371" width="14.5546875" style="175" customWidth="1"/>
    <col min="3372" max="3372" width="38" style="175" customWidth="1"/>
    <col min="3373" max="3373" width="34.88671875" style="175" customWidth="1"/>
    <col min="3374" max="3374" width="21.6640625" style="175" customWidth="1"/>
    <col min="3375" max="3375" width="9.6640625" style="175" customWidth="1"/>
    <col min="3376" max="3377" width="9.109375" style="175"/>
    <col min="3378" max="3378" width="14.33203125" style="175" customWidth="1"/>
    <col min="3379" max="3386" width="13" style="175" customWidth="1"/>
    <col min="3387" max="3387" width="11.33203125" style="175" customWidth="1"/>
    <col min="3388" max="3388" width="9.6640625" style="175" customWidth="1"/>
    <col min="3389" max="3389" width="24.88671875" style="175" customWidth="1"/>
    <col min="3390" max="3390" width="11.33203125" style="175" customWidth="1"/>
    <col min="3391" max="3391" width="15.33203125" style="175" customWidth="1"/>
    <col min="3392" max="3392" width="28.44140625" style="175" customWidth="1"/>
    <col min="3393" max="3394" width="11.33203125" style="175" customWidth="1"/>
    <col min="3395" max="3395" width="15.88671875" style="175" customWidth="1"/>
    <col min="3396" max="3396" width="38" style="175" customWidth="1"/>
    <col min="3397" max="3397" width="34.5546875" style="175" customWidth="1"/>
    <col min="3398" max="3398" width="21.6640625" style="175" customWidth="1"/>
    <col min="3399" max="3399" width="12.5546875" style="175" customWidth="1"/>
    <col min="3400" max="3597" width="9.109375" style="175"/>
    <col min="3598" max="3599" width="24.5546875" style="175" customWidth="1"/>
    <col min="3600" max="3600" width="18.44140625" style="175" customWidth="1"/>
    <col min="3601" max="3601" width="13.6640625" style="175" customWidth="1"/>
    <col min="3602" max="3602" width="13.109375" style="175" customWidth="1"/>
    <col min="3603" max="3603" width="11.109375" style="175" customWidth="1"/>
    <col min="3604" max="3604" width="21.6640625" style="175" customWidth="1"/>
    <col min="3605" max="3605" width="16" style="175" customWidth="1"/>
    <col min="3606" max="3606" width="18.33203125" style="175" customWidth="1"/>
    <col min="3607" max="3607" width="22" style="175" customWidth="1"/>
    <col min="3608" max="3608" width="21.6640625" style="175" customWidth="1"/>
    <col min="3609" max="3609" width="13" style="175" customWidth="1"/>
    <col min="3610" max="3610" width="14.44140625" style="175" customWidth="1"/>
    <col min="3611" max="3611" width="17.88671875" style="175" customWidth="1"/>
    <col min="3612" max="3612" width="21.109375" style="175" customWidth="1"/>
    <col min="3613" max="3618" width="11.88671875" style="175" customWidth="1"/>
    <col min="3619" max="3619" width="15" style="175" customWidth="1"/>
    <col min="3620" max="3622" width="11.33203125" style="175" customWidth="1"/>
    <col min="3623" max="3623" width="14.44140625" style="175" customWidth="1"/>
    <col min="3624" max="3624" width="19.6640625" style="175" customWidth="1"/>
    <col min="3625" max="3625" width="11.33203125" style="175" customWidth="1"/>
    <col min="3626" max="3626" width="10.44140625" style="175" customWidth="1"/>
    <col min="3627" max="3627" width="14.5546875" style="175" customWidth="1"/>
    <col min="3628" max="3628" width="38" style="175" customWidth="1"/>
    <col min="3629" max="3629" width="34.88671875" style="175" customWidth="1"/>
    <col min="3630" max="3630" width="21.6640625" style="175" customWidth="1"/>
    <col min="3631" max="3631" width="9.6640625" style="175" customWidth="1"/>
    <col min="3632" max="3633" width="9.109375" style="175"/>
    <col min="3634" max="3634" width="14.33203125" style="175" customWidth="1"/>
    <col min="3635" max="3642" width="13" style="175" customWidth="1"/>
    <col min="3643" max="3643" width="11.33203125" style="175" customWidth="1"/>
    <col min="3644" max="3644" width="9.6640625" style="175" customWidth="1"/>
    <col min="3645" max="3645" width="24.88671875" style="175" customWidth="1"/>
    <col min="3646" max="3646" width="11.33203125" style="175" customWidth="1"/>
    <col min="3647" max="3647" width="15.33203125" style="175" customWidth="1"/>
    <col min="3648" max="3648" width="28.44140625" style="175" customWidth="1"/>
    <col min="3649" max="3650" width="11.33203125" style="175" customWidth="1"/>
    <col min="3651" max="3651" width="15.88671875" style="175" customWidth="1"/>
    <col min="3652" max="3652" width="38" style="175" customWidth="1"/>
    <col min="3653" max="3653" width="34.5546875" style="175" customWidth="1"/>
    <col min="3654" max="3654" width="21.6640625" style="175" customWidth="1"/>
    <col min="3655" max="3655" width="12.5546875" style="175" customWidth="1"/>
    <col min="3656" max="3853" width="9.109375" style="175"/>
    <col min="3854" max="3855" width="24.5546875" style="175" customWidth="1"/>
    <col min="3856" max="3856" width="18.44140625" style="175" customWidth="1"/>
    <col min="3857" max="3857" width="13.6640625" style="175" customWidth="1"/>
    <col min="3858" max="3858" width="13.109375" style="175" customWidth="1"/>
    <col min="3859" max="3859" width="11.109375" style="175" customWidth="1"/>
    <col min="3860" max="3860" width="21.6640625" style="175" customWidth="1"/>
    <col min="3861" max="3861" width="16" style="175" customWidth="1"/>
    <col min="3862" max="3862" width="18.33203125" style="175" customWidth="1"/>
    <col min="3863" max="3863" width="22" style="175" customWidth="1"/>
    <col min="3864" max="3864" width="21.6640625" style="175" customWidth="1"/>
    <col min="3865" max="3865" width="13" style="175" customWidth="1"/>
    <col min="3866" max="3866" width="14.44140625" style="175" customWidth="1"/>
    <col min="3867" max="3867" width="17.88671875" style="175" customWidth="1"/>
    <col min="3868" max="3868" width="21.109375" style="175" customWidth="1"/>
    <col min="3869" max="3874" width="11.88671875" style="175" customWidth="1"/>
    <col min="3875" max="3875" width="15" style="175" customWidth="1"/>
    <col min="3876" max="3878" width="11.33203125" style="175" customWidth="1"/>
    <col min="3879" max="3879" width="14.44140625" style="175" customWidth="1"/>
    <col min="3880" max="3880" width="19.6640625" style="175" customWidth="1"/>
    <col min="3881" max="3881" width="11.33203125" style="175" customWidth="1"/>
    <col min="3882" max="3882" width="10.44140625" style="175" customWidth="1"/>
    <col min="3883" max="3883" width="14.5546875" style="175" customWidth="1"/>
    <col min="3884" max="3884" width="38" style="175" customWidth="1"/>
    <col min="3885" max="3885" width="34.88671875" style="175" customWidth="1"/>
    <col min="3886" max="3886" width="21.6640625" style="175" customWidth="1"/>
    <col min="3887" max="3887" width="9.6640625" style="175" customWidth="1"/>
    <col min="3888" max="3889" width="9.109375" style="175"/>
    <col min="3890" max="3890" width="14.33203125" style="175" customWidth="1"/>
    <col min="3891" max="3898" width="13" style="175" customWidth="1"/>
    <col min="3899" max="3899" width="11.33203125" style="175" customWidth="1"/>
    <col min="3900" max="3900" width="9.6640625" style="175" customWidth="1"/>
    <col min="3901" max="3901" width="24.88671875" style="175" customWidth="1"/>
    <col min="3902" max="3902" width="11.33203125" style="175" customWidth="1"/>
    <col min="3903" max="3903" width="15.33203125" style="175" customWidth="1"/>
    <col min="3904" max="3904" width="28.44140625" style="175" customWidth="1"/>
    <col min="3905" max="3906" width="11.33203125" style="175" customWidth="1"/>
    <col min="3907" max="3907" width="15.88671875" style="175" customWidth="1"/>
    <col min="3908" max="3908" width="38" style="175" customWidth="1"/>
    <col min="3909" max="3909" width="34.5546875" style="175" customWidth="1"/>
    <col min="3910" max="3910" width="21.6640625" style="175" customWidth="1"/>
    <col min="3911" max="3911" width="12.5546875" style="175" customWidth="1"/>
    <col min="3912" max="4109" width="9.109375" style="175"/>
    <col min="4110" max="4111" width="24.5546875" style="175" customWidth="1"/>
    <col min="4112" max="4112" width="18.44140625" style="175" customWidth="1"/>
    <col min="4113" max="4113" width="13.6640625" style="175" customWidth="1"/>
    <col min="4114" max="4114" width="13.109375" style="175" customWidth="1"/>
    <col min="4115" max="4115" width="11.109375" style="175" customWidth="1"/>
    <col min="4116" max="4116" width="21.6640625" style="175" customWidth="1"/>
    <col min="4117" max="4117" width="16" style="175" customWidth="1"/>
    <col min="4118" max="4118" width="18.33203125" style="175" customWidth="1"/>
    <col min="4119" max="4119" width="22" style="175" customWidth="1"/>
    <col min="4120" max="4120" width="21.6640625" style="175" customWidth="1"/>
    <col min="4121" max="4121" width="13" style="175" customWidth="1"/>
    <col min="4122" max="4122" width="14.44140625" style="175" customWidth="1"/>
    <col min="4123" max="4123" width="17.88671875" style="175" customWidth="1"/>
    <col min="4124" max="4124" width="21.109375" style="175" customWidth="1"/>
    <col min="4125" max="4130" width="11.88671875" style="175" customWidth="1"/>
    <col min="4131" max="4131" width="15" style="175" customWidth="1"/>
    <col min="4132" max="4134" width="11.33203125" style="175" customWidth="1"/>
    <col min="4135" max="4135" width="14.44140625" style="175" customWidth="1"/>
    <col min="4136" max="4136" width="19.6640625" style="175" customWidth="1"/>
    <col min="4137" max="4137" width="11.33203125" style="175" customWidth="1"/>
    <col min="4138" max="4138" width="10.44140625" style="175" customWidth="1"/>
    <col min="4139" max="4139" width="14.5546875" style="175" customWidth="1"/>
    <col min="4140" max="4140" width="38" style="175" customWidth="1"/>
    <col min="4141" max="4141" width="34.88671875" style="175" customWidth="1"/>
    <col min="4142" max="4142" width="21.6640625" style="175" customWidth="1"/>
    <col min="4143" max="4143" width="9.6640625" style="175" customWidth="1"/>
    <col min="4144" max="4145" width="9.109375" style="175"/>
    <col min="4146" max="4146" width="14.33203125" style="175" customWidth="1"/>
    <col min="4147" max="4154" width="13" style="175" customWidth="1"/>
    <col min="4155" max="4155" width="11.33203125" style="175" customWidth="1"/>
    <col min="4156" max="4156" width="9.6640625" style="175" customWidth="1"/>
    <col min="4157" max="4157" width="24.88671875" style="175" customWidth="1"/>
    <col min="4158" max="4158" width="11.33203125" style="175" customWidth="1"/>
    <col min="4159" max="4159" width="15.33203125" style="175" customWidth="1"/>
    <col min="4160" max="4160" width="28.44140625" style="175" customWidth="1"/>
    <col min="4161" max="4162" width="11.33203125" style="175" customWidth="1"/>
    <col min="4163" max="4163" width="15.88671875" style="175" customWidth="1"/>
    <col min="4164" max="4164" width="38" style="175" customWidth="1"/>
    <col min="4165" max="4165" width="34.5546875" style="175" customWidth="1"/>
    <col min="4166" max="4166" width="21.6640625" style="175" customWidth="1"/>
    <col min="4167" max="4167" width="12.5546875" style="175" customWidth="1"/>
    <col min="4168" max="4365" width="9.109375" style="175"/>
    <col min="4366" max="4367" width="24.5546875" style="175" customWidth="1"/>
    <col min="4368" max="4368" width="18.44140625" style="175" customWidth="1"/>
    <col min="4369" max="4369" width="13.6640625" style="175" customWidth="1"/>
    <col min="4370" max="4370" width="13.109375" style="175" customWidth="1"/>
    <col min="4371" max="4371" width="11.109375" style="175" customWidth="1"/>
    <col min="4372" max="4372" width="21.6640625" style="175" customWidth="1"/>
    <col min="4373" max="4373" width="16" style="175" customWidth="1"/>
    <col min="4374" max="4374" width="18.33203125" style="175" customWidth="1"/>
    <col min="4375" max="4375" width="22" style="175" customWidth="1"/>
    <col min="4376" max="4376" width="21.6640625" style="175" customWidth="1"/>
    <col min="4377" max="4377" width="13" style="175" customWidth="1"/>
    <col min="4378" max="4378" width="14.44140625" style="175" customWidth="1"/>
    <col min="4379" max="4379" width="17.88671875" style="175" customWidth="1"/>
    <col min="4380" max="4380" width="21.109375" style="175" customWidth="1"/>
    <col min="4381" max="4386" width="11.88671875" style="175" customWidth="1"/>
    <col min="4387" max="4387" width="15" style="175" customWidth="1"/>
    <col min="4388" max="4390" width="11.33203125" style="175" customWidth="1"/>
    <col min="4391" max="4391" width="14.44140625" style="175" customWidth="1"/>
    <col min="4392" max="4392" width="19.6640625" style="175" customWidth="1"/>
    <col min="4393" max="4393" width="11.33203125" style="175" customWidth="1"/>
    <col min="4394" max="4394" width="10.44140625" style="175" customWidth="1"/>
    <col min="4395" max="4395" width="14.5546875" style="175" customWidth="1"/>
    <col min="4396" max="4396" width="38" style="175" customWidth="1"/>
    <col min="4397" max="4397" width="34.88671875" style="175" customWidth="1"/>
    <col min="4398" max="4398" width="21.6640625" style="175" customWidth="1"/>
    <col min="4399" max="4399" width="9.6640625" style="175" customWidth="1"/>
    <col min="4400" max="4401" width="9.109375" style="175"/>
    <col min="4402" max="4402" width="14.33203125" style="175" customWidth="1"/>
    <col min="4403" max="4410" width="13" style="175" customWidth="1"/>
    <col min="4411" max="4411" width="11.33203125" style="175" customWidth="1"/>
    <col min="4412" max="4412" width="9.6640625" style="175" customWidth="1"/>
    <col min="4413" max="4413" width="24.88671875" style="175" customWidth="1"/>
    <col min="4414" max="4414" width="11.33203125" style="175" customWidth="1"/>
    <col min="4415" max="4415" width="15.33203125" style="175" customWidth="1"/>
    <col min="4416" max="4416" width="28.44140625" style="175" customWidth="1"/>
    <col min="4417" max="4418" width="11.33203125" style="175" customWidth="1"/>
    <col min="4419" max="4419" width="15.88671875" style="175" customWidth="1"/>
    <col min="4420" max="4420" width="38" style="175" customWidth="1"/>
    <col min="4421" max="4421" width="34.5546875" style="175" customWidth="1"/>
    <col min="4422" max="4422" width="21.6640625" style="175" customWidth="1"/>
    <col min="4423" max="4423" width="12.5546875" style="175" customWidth="1"/>
    <col min="4424" max="4621" width="9.109375" style="175"/>
    <col min="4622" max="4623" width="24.5546875" style="175" customWidth="1"/>
    <col min="4624" max="4624" width="18.44140625" style="175" customWidth="1"/>
    <col min="4625" max="4625" width="13.6640625" style="175" customWidth="1"/>
    <col min="4626" max="4626" width="13.109375" style="175" customWidth="1"/>
    <col min="4627" max="4627" width="11.109375" style="175" customWidth="1"/>
    <col min="4628" max="4628" width="21.6640625" style="175" customWidth="1"/>
    <col min="4629" max="4629" width="16" style="175" customWidth="1"/>
    <col min="4630" max="4630" width="18.33203125" style="175" customWidth="1"/>
    <col min="4631" max="4631" width="22" style="175" customWidth="1"/>
    <col min="4632" max="4632" width="21.6640625" style="175" customWidth="1"/>
    <col min="4633" max="4633" width="13" style="175" customWidth="1"/>
    <col min="4634" max="4634" width="14.44140625" style="175" customWidth="1"/>
    <col min="4635" max="4635" width="17.88671875" style="175" customWidth="1"/>
    <col min="4636" max="4636" width="21.109375" style="175" customWidth="1"/>
    <col min="4637" max="4642" width="11.88671875" style="175" customWidth="1"/>
    <col min="4643" max="4643" width="15" style="175" customWidth="1"/>
    <col min="4644" max="4646" width="11.33203125" style="175" customWidth="1"/>
    <col min="4647" max="4647" width="14.44140625" style="175" customWidth="1"/>
    <col min="4648" max="4648" width="19.6640625" style="175" customWidth="1"/>
    <col min="4649" max="4649" width="11.33203125" style="175" customWidth="1"/>
    <col min="4650" max="4650" width="10.44140625" style="175" customWidth="1"/>
    <col min="4651" max="4651" width="14.5546875" style="175" customWidth="1"/>
    <col min="4652" max="4652" width="38" style="175" customWidth="1"/>
    <col min="4653" max="4653" width="34.88671875" style="175" customWidth="1"/>
    <col min="4654" max="4654" width="21.6640625" style="175" customWidth="1"/>
    <col min="4655" max="4655" width="9.6640625" style="175" customWidth="1"/>
    <col min="4656" max="4657" width="9.109375" style="175"/>
    <col min="4658" max="4658" width="14.33203125" style="175" customWidth="1"/>
    <col min="4659" max="4666" width="13" style="175" customWidth="1"/>
    <col min="4667" max="4667" width="11.33203125" style="175" customWidth="1"/>
    <col min="4668" max="4668" width="9.6640625" style="175" customWidth="1"/>
    <col min="4669" max="4669" width="24.88671875" style="175" customWidth="1"/>
    <col min="4670" max="4670" width="11.33203125" style="175" customWidth="1"/>
    <col min="4671" max="4671" width="15.33203125" style="175" customWidth="1"/>
    <col min="4672" max="4672" width="28.44140625" style="175" customWidth="1"/>
    <col min="4673" max="4674" width="11.33203125" style="175" customWidth="1"/>
    <col min="4675" max="4675" width="15.88671875" style="175" customWidth="1"/>
    <col min="4676" max="4676" width="38" style="175" customWidth="1"/>
    <col min="4677" max="4677" width="34.5546875" style="175" customWidth="1"/>
    <col min="4678" max="4678" width="21.6640625" style="175" customWidth="1"/>
    <col min="4679" max="4679" width="12.5546875" style="175" customWidth="1"/>
    <col min="4680" max="4877" width="9.109375" style="175"/>
    <col min="4878" max="4879" width="24.5546875" style="175" customWidth="1"/>
    <col min="4880" max="4880" width="18.44140625" style="175" customWidth="1"/>
    <col min="4881" max="4881" width="13.6640625" style="175" customWidth="1"/>
    <col min="4882" max="4882" width="13.109375" style="175" customWidth="1"/>
    <col min="4883" max="4883" width="11.109375" style="175" customWidth="1"/>
    <col min="4884" max="4884" width="21.6640625" style="175" customWidth="1"/>
    <col min="4885" max="4885" width="16" style="175" customWidth="1"/>
    <col min="4886" max="4886" width="18.33203125" style="175" customWidth="1"/>
    <col min="4887" max="4887" width="22" style="175" customWidth="1"/>
    <col min="4888" max="4888" width="21.6640625" style="175" customWidth="1"/>
    <col min="4889" max="4889" width="13" style="175" customWidth="1"/>
    <col min="4890" max="4890" width="14.44140625" style="175" customWidth="1"/>
    <col min="4891" max="4891" width="17.88671875" style="175" customWidth="1"/>
    <col min="4892" max="4892" width="21.109375" style="175" customWidth="1"/>
    <col min="4893" max="4898" width="11.88671875" style="175" customWidth="1"/>
    <col min="4899" max="4899" width="15" style="175" customWidth="1"/>
    <col min="4900" max="4902" width="11.33203125" style="175" customWidth="1"/>
    <col min="4903" max="4903" width="14.44140625" style="175" customWidth="1"/>
    <col min="4904" max="4904" width="19.6640625" style="175" customWidth="1"/>
    <col min="4905" max="4905" width="11.33203125" style="175" customWidth="1"/>
    <col min="4906" max="4906" width="10.44140625" style="175" customWidth="1"/>
    <col min="4907" max="4907" width="14.5546875" style="175" customWidth="1"/>
    <col min="4908" max="4908" width="38" style="175" customWidth="1"/>
    <col min="4909" max="4909" width="34.88671875" style="175" customWidth="1"/>
    <col min="4910" max="4910" width="21.6640625" style="175" customWidth="1"/>
    <col min="4911" max="4911" width="9.6640625" style="175" customWidth="1"/>
    <col min="4912" max="4913" width="9.109375" style="175"/>
    <col min="4914" max="4914" width="14.33203125" style="175" customWidth="1"/>
    <col min="4915" max="4922" width="13" style="175" customWidth="1"/>
    <col min="4923" max="4923" width="11.33203125" style="175" customWidth="1"/>
    <col min="4924" max="4924" width="9.6640625" style="175" customWidth="1"/>
    <col min="4925" max="4925" width="24.88671875" style="175" customWidth="1"/>
    <col min="4926" max="4926" width="11.33203125" style="175" customWidth="1"/>
    <col min="4927" max="4927" width="15.33203125" style="175" customWidth="1"/>
    <col min="4928" max="4928" width="28.44140625" style="175" customWidth="1"/>
    <col min="4929" max="4930" width="11.33203125" style="175" customWidth="1"/>
    <col min="4931" max="4931" width="15.88671875" style="175" customWidth="1"/>
    <col min="4932" max="4932" width="38" style="175" customWidth="1"/>
    <col min="4933" max="4933" width="34.5546875" style="175" customWidth="1"/>
    <col min="4934" max="4934" width="21.6640625" style="175" customWidth="1"/>
    <col min="4935" max="4935" width="12.5546875" style="175" customWidth="1"/>
    <col min="4936" max="5133" width="9.109375" style="175"/>
    <col min="5134" max="5135" width="24.5546875" style="175" customWidth="1"/>
    <col min="5136" max="5136" width="18.44140625" style="175" customWidth="1"/>
    <col min="5137" max="5137" width="13.6640625" style="175" customWidth="1"/>
    <col min="5138" max="5138" width="13.109375" style="175" customWidth="1"/>
    <col min="5139" max="5139" width="11.109375" style="175" customWidth="1"/>
    <col min="5140" max="5140" width="21.6640625" style="175" customWidth="1"/>
    <col min="5141" max="5141" width="16" style="175" customWidth="1"/>
    <col min="5142" max="5142" width="18.33203125" style="175" customWidth="1"/>
    <col min="5143" max="5143" width="22" style="175" customWidth="1"/>
    <col min="5144" max="5144" width="21.6640625" style="175" customWidth="1"/>
    <col min="5145" max="5145" width="13" style="175" customWidth="1"/>
    <col min="5146" max="5146" width="14.44140625" style="175" customWidth="1"/>
    <col min="5147" max="5147" width="17.88671875" style="175" customWidth="1"/>
    <col min="5148" max="5148" width="21.109375" style="175" customWidth="1"/>
    <col min="5149" max="5154" width="11.88671875" style="175" customWidth="1"/>
    <col min="5155" max="5155" width="15" style="175" customWidth="1"/>
    <col min="5156" max="5158" width="11.33203125" style="175" customWidth="1"/>
    <col min="5159" max="5159" width="14.44140625" style="175" customWidth="1"/>
    <col min="5160" max="5160" width="19.6640625" style="175" customWidth="1"/>
    <col min="5161" max="5161" width="11.33203125" style="175" customWidth="1"/>
    <col min="5162" max="5162" width="10.44140625" style="175" customWidth="1"/>
    <col min="5163" max="5163" width="14.5546875" style="175" customWidth="1"/>
    <col min="5164" max="5164" width="38" style="175" customWidth="1"/>
    <col min="5165" max="5165" width="34.88671875" style="175" customWidth="1"/>
    <col min="5166" max="5166" width="21.6640625" style="175" customWidth="1"/>
    <col min="5167" max="5167" width="9.6640625" style="175" customWidth="1"/>
    <col min="5168" max="5169" width="9.109375" style="175"/>
    <col min="5170" max="5170" width="14.33203125" style="175" customWidth="1"/>
    <col min="5171" max="5178" width="13" style="175" customWidth="1"/>
    <col min="5179" max="5179" width="11.33203125" style="175" customWidth="1"/>
    <col min="5180" max="5180" width="9.6640625" style="175" customWidth="1"/>
    <col min="5181" max="5181" width="24.88671875" style="175" customWidth="1"/>
    <col min="5182" max="5182" width="11.33203125" style="175" customWidth="1"/>
    <col min="5183" max="5183" width="15.33203125" style="175" customWidth="1"/>
    <col min="5184" max="5184" width="28.44140625" style="175" customWidth="1"/>
    <col min="5185" max="5186" width="11.33203125" style="175" customWidth="1"/>
    <col min="5187" max="5187" width="15.88671875" style="175" customWidth="1"/>
    <col min="5188" max="5188" width="38" style="175" customWidth="1"/>
    <col min="5189" max="5189" width="34.5546875" style="175" customWidth="1"/>
    <col min="5190" max="5190" width="21.6640625" style="175" customWidth="1"/>
    <col min="5191" max="5191" width="12.5546875" style="175" customWidth="1"/>
    <col min="5192" max="5389" width="9.109375" style="175"/>
    <col min="5390" max="5391" width="24.5546875" style="175" customWidth="1"/>
    <col min="5392" max="5392" width="18.44140625" style="175" customWidth="1"/>
    <col min="5393" max="5393" width="13.6640625" style="175" customWidth="1"/>
    <col min="5394" max="5394" width="13.109375" style="175" customWidth="1"/>
    <col min="5395" max="5395" width="11.109375" style="175" customWidth="1"/>
    <col min="5396" max="5396" width="21.6640625" style="175" customWidth="1"/>
    <col min="5397" max="5397" width="16" style="175" customWidth="1"/>
    <col min="5398" max="5398" width="18.33203125" style="175" customWidth="1"/>
    <col min="5399" max="5399" width="22" style="175" customWidth="1"/>
    <col min="5400" max="5400" width="21.6640625" style="175" customWidth="1"/>
    <col min="5401" max="5401" width="13" style="175" customWidth="1"/>
    <col min="5402" max="5402" width="14.44140625" style="175" customWidth="1"/>
    <col min="5403" max="5403" width="17.88671875" style="175" customWidth="1"/>
    <col min="5404" max="5404" width="21.109375" style="175" customWidth="1"/>
    <col min="5405" max="5410" width="11.88671875" style="175" customWidth="1"/>
    <col min="5411" max="5411" width="15" style="175" customWidth="1"/>
    <col min="5412" max="5414" width="11.33203125" style="175" customWidth="1"/>
    <col min="5415" max="5415" width="14.44140625" style="175" customWidth="1"/>
    <col min="5416" max="5416" width="19.6640625" style="175" customWidth="1"/>
    <col min="5417" max="5417" width="11.33203125" style="175" customWidth="1"/>
    <col min="5418" max="5418" width="10.44140625" style="175" customWidth="1"/>
    <col min="5419" max="5419" width="14.5546875" style="175" customWidth="1"/>
    <col min="5420" max="5420" width="38" style="175" customWidth="1"/>
    <col min="5421" max="5421" width="34.88671875" style="175" customWidth="1"/>
    <col min="5422" max="5422" width="21.6640625" style="175" customWidth="1"/>
    <col min="5423" max="5423" width="9.6640625" style="175" customWidth="1"/>
    <col min="5424" max="5425" width="9.109375" style="175"/>
    <col min="5426" max="5426" width="14.33203125" style="175" customWidth="1"/>
    <col min="5427" max="5434" width="13" style="175" customWidth="1"/>
    <col min="5435" max="5435" width="11.33203125" style="175" customWidth="1"/>
    <col min="5436" max="5436" width="9.6640625" style="175" customWidth="1"/>
    <col min="5437" max="5437" width="24.88671875" style="175" customWidth="1"/>
    <col min="5438" max="5438" width="11.33203125" style="175" customWidth="1"/>
    <col min="5439" max="5439" width="15.33203125" style="175" customWidth="1"/>
    <col min="5440" max="5440" width="28.44140625" style="175" customWidth="1"/>
    <col min="5441" max="5442" width="11.33203125" style="175" customWidth="1"/>
    <col min="5443" max="5443" width="15.88671875" style="175" customWidth="1"/>
    <col min="5444" max="5444" width="38" style="175" customWidth="1"/>
    <col min="5445" max="5445" width="34.5546875" style="175" customWidth="1"/>
    <col min="5446" max="5446" width="21.6640625" style="175" customWidth="1"/>
    <col min="5447" max="5447" width="12.5546875" style="175" customWidth="1"/>
    <col min="5448" max="5645" width="9.109375" style="175"/>
    <col min="5646" max="5647" width="24.5546875" style="175" customWidth="1"/>
    <col min="5648" max="5648" width="18.44140625" style="175" customWidth="1"/>
    <col min="5649" max="5649" width="13.6640625" style="175" customWidth="1"/>
    <col min="5650" max="5650" width="13.109375" style="175" customWidth="1"/>
    <col min="5651" max="5651" width="11.109375" style="175" customWidth="1"/>
    <col min="5652" max="5652" width="21.6640625" style="175" customWidth="1"/>
    <col min="5653" max="5653" width="16" style="175" customWidth="1"/>
    <col min="5654" max="5654" width="18.33203125" style="175" customWidth="1"/>
    <col min="5655" max="5655" width="22" style="175" customWidth="1"/>
    <col min="5656" max="5656" width="21.6640625" style="175" customWidth="1"/>
    <col min="5657" max="5657" width="13" style="175" customWidth="1"/>
    <col min="5658" max="5658" width="14.44140625" style="175" customWidth="1"/>
    <col min="5659" max="5659" width="17.88671875" style="175" customWidth="1"/>
    <col min="5660" max="5660" width="21.109375" style="175" customWidth="1"/>
    <col min="5661" max="5666" width="11.88671875" style="175" customWidth="1"/>
    <col min="5667" max="5667" width="15" style="175" customWidth="1"/>
    <col min="5668" max="5670" width="11.33203125" style="175" customWidth="1"/>
    <col min="5671" max="5671" width="14.44140625" style="175" customWidth="1"/>
    <col min="5672" max="5672" width="19.6640625" style="175" customWidth="1"/>
    <col min="5673" max="5673" width="11.33203125" style="175" customWidth="1"/>
    <col min="5674" max="5674" width="10.44140625" style="175" customWidth="1"/>
    <col min="5675" max="5675" width="14.5546875" style="175" customWidth="1"/>
    <col min="5676" max="5676" width="38" style="175" customWidth="1"/>
    <col min="5677" max="5677" width="34.88671875" style="175" customWidth="1"/>
    <col min="5678" max="5678" width="21.6640625" style="175" customWidth="1"/>
    <col min="5679" max="5679" width="9.6640625" style="175" customWidth="1"/>
    <col min="5680" max="5681" width="9.109375" style="175"/>
    <col min="5682" max="5682" width="14.33203125" style="175" customWidth="1"/>
    <col min="5683" max="5690" width="13" style="175" customWidth="1"/>
    <col min="5691" max="5691" width="11.33203125" style="175" customWidth="1"/>
    <col min="5692" max="5692" width="9.6640625" style="175" customWidth="1"/>
    <col min="5693" max="5693" width="24.88671875" style="175" customWidth="1"/>
    <col min="5694" max="5694" width="11.33203125" style="175" customWidth="1"/>
    <col min="5695" max="5695" width="15.33203125" style="175" customWidth="1"/>
    <col min="5696" max="5696" width="28.44140625" style="175" customWidth="1"/>
    <col min="5697" max="5698" width="11.33203125" style="175" customWidth="1"/>
    <col min="5699" max="5699" width="15.88671875" style="175" customWidth="1"/>
    <col min="5700" max="5700" width="38" style="175" customWidth="1"/>
    <col min="5701" max="5701" width="34.5546875" style="175" customWidth="1"/>
    <col min="5702" max="5702" width="21.6640625" style="175" customWidth="1"/>
    <col min="5703" max="5703" width="12.5546875" style="175" customWidth="1"/>
    <col min="5704" max="5901" width="9.109375" style="175"/>
    <col min="5902" max="5903" width="24.5546875" style="175" customWidth="1"/>
    <col min="5904" max="5904" width="18.44140625" style="175" customWidth="1"/>
    <col min="5905" max="5905" width="13.6640625" style="175" customWidth="1"/>
    <col min="5906" max="5906" width="13.109375" style="175" customWidth="1"/>
    <col min="5907" max="5907" width="11.109375" style="175" customWidth="1"/>
    <col min="5908" max="5908" width="21.6640625" style="175" customWidth="1"/>
    <col min="5909" max="5909" width="16" style="175" customWidth="1"/>
    <col min="5910" max="5910" width="18.33203125" style="175" customWidth="1"/>
    <col min="5911" max="5911" width="22" style="175" customWidth="1"/>
    <col min="5912" max="5912" width="21.6640625" style="175" customWidth="1"/>
    <col min="5913" max="5913" width="13" style="175" customWidth="1"/>
    <col min="5914" max="5914" width="14.44140625" style="175" customWidth="1"/>
    <col min="5915" max="5915" width="17.88671875" style="175" customWidth="1"/>
    <col min="5916" max="5916" width="21.109375" style="175" customWidth="1"/>
    <col min="5917" max="5922" width="11.88671875" style="175" customWidth="1"/>
    <col min="5923" max="5923" width="15" style="175" customWidth="1"/>
    <col min="5924" max="5926" width="11.33203125" style="175" customWidth="1"/>
    <col min="5927" max="5927" width="14.44140625" style="175" customWidth="1"/>
    <col min="5928" max="5928" width="19.6640625" style="175" customWidth="1"/>
    <col min="5929" max="5929" width="11.33203125" style="175" customWidth="1"/>
    <col min="5930" max="5930" width="10.44140625" style="175" customWidth="1"/>
    <col min="5931" max="5931" width="14.5546875" style="175" customWidth="1"/>
    <col min="5932" max="5932" width="38" style="175" customWidth="1"/>
    <col min="5933" max="5933" width="34.88671875" style="175" customWidth="1"/>
    <col min="5934" max="5934" width="21.6640625" style="175" customWidth="1"/>
    <col min="5935" max="5935" width="9.6640625" style="175" customWidth="1"/>
    <col min="5936" max="5937" width="9.109375" style="175"/>
    <col min="5938" max="5938" width="14.33203125" style="175" customWidth="1"/>
    <col min="5939" max="5946" width="13" style="175" customWidth="1"/>
    <col min="5947" max="5947" width="11.33203125" style="175" customWidth="1"/>
    <col min="5948" max="5948" width="9.6640625" style="175" customWidth="1"/>
    <col min="5949" max="5949" width="24.88671875" style="175" customWidth="1"/>
    <col min="5950" max="5950" width="11.33203125" style="175" customWidth="1"/>
    <col min="5951" max="5951" width="15.33203125" style="175" customWidth="1"/>
    <col min="5952" max="5952" width="28.44140625" style="175" customWidth="1"/>
    <col min="5953" max="5954" width="11.33203125" style="175" customWidth="1"/>
    <col min="5955" max="5955" width="15.88671875" style="175" customWidth="1"/>
    <col min="5956" max="5956" width="38" style="175" customWidth="1"/>
    <col min="5957" max="5957" width="34.5546875" style="175" customWidth="1"/>
    <col min="5958" max="5958" width="21.6640625" style="175" customWidth="1"/>
    <col min="5959" max="5959" width="12.5546875" style="175" customWidth="1"/>
    <col min="5960" max="6157" width="9.109375" style="175"/>
    <col min="6158" max="6159" width="24.5546875" style="175" customWidth="1"/>
    <col min="6160" max="6160" width="18.44140625" style="175" customWidth="1"/>
    <col min="6161" max="6161" width="13.6640625" style="175" customWidth="1"/>
    <col min="6162" max="6162" width="13.109375" style="175" customWidth="1"/>
    <col min="6163" max="6163" width="11.109375" style="175" customWidth="1"/>
    <col min="6164" max="6164" width="21.6640625" style="175" customWidth="1"/>
    <col min="6165" max="6165" width="16" style="175" customWidth="1"/>
    <col min="6166" max="6166" width="18.33203125" style="175" customWidth="1"/>
    <col min="6167" max="6167" width="22" style="175" customWidth="1"/>
    <col min="6168" max="6168" width="21.6640625" style="175" customWidth="1"/>
    <col min="6169" max="6169" width="13" style="175" customWidth="1"/>
    <col min="6170" max="6170" width="14.44140625" style="175" customWidth="1"/>
    <col min="6171" max="6171" width="17.88671875" style="175" customWidth="1"/>
    <col min="6172" max="6172" width="21.109375" style="175" customWidth="1"/>
    <col min="6173" max="6178" width="11.88671875" style="175" customWidth="1"/>
    <col min="6179" max="6179" width="15" style="175" customWidth="1"/>
    <col min="6180" max="6182" width="11.33203125" style="175" customWidth="1"/>
    <col min="6183" max="6183" width="14.44140625" style="175" customWidth="1"/>
    <col min="6184" max="6184" width="19.6640625" style="175" customWidth="1"/>
    <col min="6185" max="6185" width="11.33203125" style="175" customWidth="1"/>
    <col min="6186" max="6186" width="10.44140625" style="175" customWidth="1"/>
    <col min="6187" max="6187" width="14.5546875" style="175" customWidth="1"/>
    <col min="6188" max="6188" width="38" style="175" customWidth="1"/>
    <col min="6189" max="6189" width="34.88671875" style="175" customWidth="1"/>
    <col min="6190" max="6190" width="21.6640625" style="175" customWidth="1"/>
    <col min="6191" max="6191" width="9.6640625" style="175" customWidth="1"/>
    <col min="6192" max="6193" width="9.109375" style="175"/>
    <col min="6194" max="6194" width="14.33203125" style="175" customWidth="1"/>
    <col min="6195" max="6202" width="13" style="175" customWidth="1"/>
    <col min="6203" max="6203" width="11.33203125" style="175" customWidth="1"/>
    <col min="6204" max="6204" width="9.6640625" style="175" customWidth="1"/>
    <col min="6205" max="6205" width="24.88671875" style="175" customWidth="1"/>
    <col min="6206" max="6206" width="11.33203125" style="175" customWidth="1"/>
    <col min="6207" max="6207" width="15.33203125" style="175" customWidth="1"/>
    <col min="6208" max="6208" width="28.44140625" style="175" customWidth="1"/>
    <col min="6209" max="6210" width="11.33203125" style="175" customWidth="1"/>
    <col min="6211" max="6211" width="15.88671875" style="175" customWidth="1"/>
    <col min="6212" max="6212" width="38" style="175" customWidth="1"/>
    <col min="6213" max="6213" width="34.5546875" style="175" customWidth="1"/>
    <col min="6214" max="6214" width="21.6640625" style="175" customWidth="1"/>
    <col min="6215" max="6215" width="12.5546875" style="175" customWidth="1"/>
    <col min="6216" max="6413" width="9.109375" style="175"/>
    <col min="6414" max="6415" width="24.5546875" style="175" customWidth="1"/>
    <col min="6416" max="6416" width="18.44140625" style="175" customWidth="1"/>
    <col min="6417" max="6417" width="13.6640625" style="175" customWidth="1"/>
    <col min="6418" max="6418" width="13.109375" style="175" customWidth="1"/>
    <col min="6419" max="6419" width="11.109375" style="175" customWidth="1"/>
    <col min="6420" max="6420" width="21.6640625" style="175" customWidth="1"/>
    <col min="6421" max="6421" width="16" style="175" customWidth="1"/>
    <col min="6422" max="6422" width="18.33203125" style="175" customWidth="1"/>
    <col min="6423" max="6423" width="22" style="175" customWidth="1"/>
    <col min="6424" max="6424" width="21.6640625" style="175" customWidth="1"/>
    <col min="6425" max="6425" width="13" style="175" customWidth="1"/>
    <col min="6426" max="6426" width="14.44140625" style="175" customWidth="1"/>
    <col min="6427" max="6427" width="17.88671875" style="175" customWidth="1"/>
    <col min="6428" max="6428" width="21.109375" style="175" customWidth="1"/>
    <col min="6429" max="6434" width="11.88671875" style="175" customWidth="1"/>
    <col min="6435" max="6435" width="15" style="175" customWidth="1"/>
    <col min="6436" max="6438" width="11.33203125" style="175" customWidth="1"/>
    <col min="6439" max="6439" width="14.44140625" style="175" customWidth="1"/>
    <col min="6440" max="6440" width="19.6640625" style="175" customWidth="1"/>
    <col min="6441" max="6441" width="11.33203125" style="175" customWidth="1"/>
    <col min="6442" max="6442" width="10.44140625" style="175" customWidth="1"/>
    <col min="6443" max="6443" width="14.5546875" style="175" customWidth="1"/>
    <col min="6444" max="6444" width="38" style="175" customWidth="1"/>
    <col min="6445" max="6445" width="34.88671875" style="175" customWidth="1"/>
    <col min="6446" max="6446" width="21.6640625" style="175" customWidth="1"/>
    <col min="6447" max="6447" width="9.6640625" style="175" customWidth="1"/>
    <col min="6448" max="6449" width="9.109375" style="175"/>
    <col min="6450" max="6450" width="14.33203125" style="175" customWidth="1"/>
    <col min="6451" max="6458" width="13" style="175" customWidth="1"/>
    <col min="6459" max="6459" width="11.33203125" style="175" customWidth="1"/>
    <col min="6460" max="6460" width="9.6640625" style="175" customWidth="1"/>
    <col min="6461" max="6461" width="24.88671875" style="175" customWidth="1"/>
    <col min="6462" max="6462" width="11.33203125" style="175" customWidth="1"/>
    <col min="6463" max="6463" width="15.33203125" style="175" customWidth="1"/>
    <col min="6464" max="6464" width="28.44140625" style="175" customWidth="1"/>
    <col min="6465" max="6466" width="11.33203125" style="175" customWidth="1"/>
    <col min="6467" max="6467" width="15.88671875" style="175" customWidth="1"/>
    <col min="6468" max="6468" width="38" style="175" customWidth="1"/>
    <col min="6469" max="6469" width="34.5546875" style="175" customWidth="1"/>
    <col min="6470" max="6470" width="21.6640625" style="175" customWidth="1"/>
    <col min="6471" max="6471" width="12.5546875" style="175" customWidth="1"/>
    <col min="6472" max="6669" width="9.109375" style="175"/>
    <col min="6670" max="6671" width="24.5546875" style="175" customWidth="1"/>
    <col min="6672" max="6672" width="18.44140625" style="175" customWidth="1"/>
    <col min="6673" max="6673" width="13.6640625" style="175" customWidth="1"/>
    <col min="6674" max="6674" width="13.109375" style="175" customWidth="1"/>
    <col min="6675" max="6675" width="11.109375" style="175" customWidth="1"/>
    <col min="6676" max="6676" width="21.6640625" style="175" customWidth="1"/>
    <col min="6677" max="6677" width="16" style="175" customWidth="1"/>
    <col min="6678" max="6678" width="18.33203125" style="175" customWidth="1"/>
    <col min="6679" max="6679" width="22" style="175" customWidth="1"/>
    <col min="6680" max="6680" width="21.6640625" style="175" customWidth="1"/>
    <col min="6681" max="6681" width="13" style="175" customWidth="1"/>
    <col min="6682" max="6682" width="14.44140625" style="175" customWidth="1"/>
    <col min="6683" max="6683" width="17.88671875" style="175" customWidth="1"/>
    <col min="6684" max="6684" width="21.109375" style="175" customWidth="1"/>
    <col min="6685" max="6690" width="11.88671875" style="175" customWidth="1"/>
    <col min="6691" max="6691" width="15" style="175" customWidth="1"/>
    <col min="6692" max="6694" width="11.33203125" style="175" customWidth="1"/>
    <col min="6695" max="6695" width="14.44140625" style="175" customWidth="1"/>
    <col min="6696" max="6696" width="19.6640625" style="175" customWidth="1"/>
    <col min="6697" max="6697" width="11.33203125" style="175" customWidth="1"/>
    <col min="6698" max="6698" width="10.44140625" style="175" customWidth="1"/>
    <col min="6699" max="6699" width="14.5546875" style="175" customWidth="1"/>
    <col min="6700" max="6700" width="38" style="175" customWidth="1"/>
    <col min="6701" max="6701" width="34.88671875" style="175" customWidth="1"/>
    <col min="6702" max="6702" width="21.6640625" style="175" customWidth="1"/>
    <col min="6703" max="6703" width="9.6640625" style="175" customWidth="1"/>
    <col min="6704" max="6705" width="9.109375" style="175"/>
    <col min="6706" max="6706" width="14.33203125" style="175" customWidth="1"/>
    <col min="6707" max="6714" width="13" style="175" customWidth="1"/>
    <col min="6715" max="6715" width="11.33203125" style="175" customWidth="1"/>
    <col min="6716" max="6716" width="9.6640625" style="175" customWidth="1"/>
    <col min="6717" max="6717" width="24.88671875" style="175" customWidth="1"/>
    <col min="6718" max="6718" width="11.33203125" style="175" customWidth="1"/>
    <col min="6719" max="6719" width="15.33203125" style="175" customWidth="1"/>
    <col min="6720" max="6720" width="28.44140625" style="175" customWidth="1"/>
    <col min="6721" max="6722" width="11.33203125" style="175" customWidth="1"/>
    <col min="6723" max="6723" width="15.88671875" style="175" customWidth="1"/>
    <col min="6724" max="6724" width="38" style="175" customWidth="1"/>
    <col min="6725" max="6725" width="34.5546875" style="175" customWidth="1"/>
    <col min="6726" max="6726" width="21.6640625" style="175" customWidth="1"/>
    <col min="6727" max="6727" width="12.5546875" style="175" customWidth="1"/>
    <col min="6728" max="6925" width="9.109375" style="175"/>
    <col min="6926" max="6927" width="24.5546875" style="175" customWidth="1"/>
    <col min="6928" max="6928" width="18.44140625" style="175" customWidth="1"/>
    <col min="6929" max="6929" width="13.6640625" style="175" customWidth="1"/>
    <col min="6930" max="6930" width="13.109375" style="175" customWidth="1"/>
    <col min="6931" max="6931" width="11.109375" style="175" customWidth="1"/>
    <col min="6932" max="6932" width="21.6640625" style="175" customWidth="1"/>
    <col min="6933" max="6933" width="16" style="175" customWidth="1"/>
    <col min="6934" max="6934" width="18.33203125" style="175" customWidth="1"/>
    <col min="6935" max="6935" width="22" style="175" customWidth="1"/>
    <col min="6936" max="6936" width="21.6640625" style="175" customWidth="1"/>
    <col min="6937" max="6937" width="13" style="175" customWidth="1"/>
    <col min="6938" max="6938" width="14.44140625" style="175" customWidth="1"/>
    <col min="6939" max="6939" width="17.88671875" style="175" customWidth="1"/>
    <col min="6940" max="6940" width="21.109375" style="175" customWidth="1"/>
    <col min="6941" max="6946" width="11.88671875" style="175" customWidth="1"/>
    <col min="6947" max="6947" width="15" style="175" customWidth="1"/>
    <col min="6948" max="6950" width="11.33203125" style="175" customWidth="1"/>
    <col min="6951" max="6951" width="14.44140625" style="175" customWidth="1"/>
    <col min="6952" max="6952" width="19.6640625" style="175" customWidth="1"/>
    <col min="6953" max="6953" width="11.33203125" style="175" customWidth="1"/>
    <col min="6954" max="6954" width="10.44140625" style="175" customWidth="1"/>
    <col min="6955" max="6955" width="14.5546875" style="175" customWidth="1"/>
    <col min="6956" max="6956" width="38" style="175" customWidth="1"/>
    <col min="6957" max="6957" width="34.88671875" style="175" customWidth="1"/>
    <col min="6958" max="6958" width="21.6640625" style="175" customWidth="1"/>
    <col min="6959" max="6959" width="9.6640625" style="175" customWidth="1"/>
    <col min="6960" max="6961" width="9.109375" style="175"/>
    <col min="6962" max="6962" width="14.33203125" style="175" customWidth="1"/>
    <col min="6963" max="6970" width="13" style="175" customWidth="1"/>
    <col min="6971" max="6971" width="11.33203125" style="175" customWidth="1"/>
    <col min="6972" max="6972" width="9.6640625" style="175" customWidth="1"/>
    <col min="6973" max="6973" width="24.88671875" style="175" customWidth="1"/>
    <col min="6974" max="6974" width="11.33203125" style="175" customWidth="1"/>
    <col min="6975" max="6975" width="15.33203125" style="175" customWidth="1"/>
    <col min="6976" max="6976" width="28.44140625" style="175" customWidth="1"/>
    <col min="6977" max="6978" width="11.33203125" style="175" customWidth="1"/>
    <col min="6979" max="6979" width="15.88671875" style="175" customWidth="1"/>
    <col min="6980" max="6980" width="38" style="175" customWidth="1"/>
    <col min="6981" max="6981" width="34.5546875" style="175" customWidth="1"/>
    <col min="6982" max="6982" width="21.6640625" style="175" customWidth="1"/>
    <col min="6983" max="6983" width="12.5546875" style="175" customWidth="1"/>
    <col min="6984" max="7181" width="9.109375" style="175"/>
    <col min="7182" max="7183" width="24.5546875" style="175" customWidth="1"/>
    <col min="7184" max="7184" width="18.44140625" style="175" customWidth="1"/>
    <col min="7185" max="7185" width="13.6640625" style="175" customWidth="1"/>
    <col min="7186" max="7186" width="13.109375" style="175" customWidth="1"/>
    <col min="7187" max="7187" width="11.109375" style="175" customWidth="1"/>
    <col min="7188" max="7188" width="21.6640625" style="175" customWidth="1"/>
    <col min="7189" max="7189" width="16" style="175" customWidth="1"/>
    <col min="7190" max="7190" width="18.33203125" style="175" customWidth="1"/>
    <col min="7191" max="7191" width="22" style="175" customWidth="1"/>
    <col min="7192" max="7192" width="21.6640625" style="175" customWidth="1"/>
    <col min="7193" max="7193" width="13" style="175" customWidth="1"/>
    <col min="7194" max="7194" width="14.44140625" style="175" customWidth="1"/>
    <col min="7195" max="7195" width="17.88671875" style="175" customWidth="1"/>
    <col min="7196" max="7196" width="21.109375" style="175" customWidth="1"/>
    <col min="7197" max="7202" width="11.88671875" style="175" customWidth="1"/>
    <col min="7203" max="7203" width="15" style="175" customWidth="1"/>
    <col min="7204" max="7206" width="11.33203125" style="175" customWidth="1"/>
    <col min="7207" max="7207" width="14.44140625" style="175" customWidth="1"/>
    <col min="7208" max="7208" width="19.6640625" style="175" customWidth="1"/>
    <col min="7209" max="7209" width="11.33203125" style="175" customWidth="1"/>
    <col min="7210" max="7210" width="10.44140625" style="175" customWidth="1"/>
    <col min="7211" max="7211" width="14.5546875" style="175" customWidth="1"/>
    <col min="7212" max="7212" width="38" style="175" customWidth="1"/>
    <col min="7213" max="7213" width="34.88671875" style="175" customWidth="1"/>
    <col min="7214" max="7214" width="21.6640625" style="175" customWidth="1"/>
    <col min="7215" max="7215" width="9.6640625" style="175" customWidth="1"/>
    <col min="7216" max="7217" width="9.109375" style="175"/>
    <col min="7218" max="7218" width="14.33203125" style="175" customWidth="1"/>
    <col min="7219" max="7226" width="13" style="175" customWidth="1"/>
    <col min="7227" max="7227" width="11.33203125" style="175" customWidth="1"/>
    <col min="7228" max="7228" width="9.6640625" style="175" customWidth="1"/>
    <col min="7229" max="7229" width="24.88671875" style="175" customWidth="1"/>
    <col min="7230" max="7230" width="11.33203125" style="175" customWidth="1"/>
    <col min="7231" max="7231" width="15.33203125" style="175" customWidth="1"/>
    <col min="7232" max="7232" width="28.44140625" style="175" customWidth="1"/>
    <col min="7233" max="7234" width="11.33203125" style="175" customWidth="1"/>
    <col min="7235" max="7235" width="15.88671875" style="175" customWidth="1"/>
    <col min="7236" max="7236" width="38" style="175" customWidth="1"/>
    <col min="7237" max="7237" width="34.5546875" style="175" customWidth="1"/>
    <col min="7238" max="7238" width="21.6640625" style="175" customWidth="1"/>
    <col min="7239" max="7239" width="12.5546875" style="175" customWidth="1"/>
    <col min="7240" max="7437" width="9.109375" style="175"/>
    <col min="7438" max="7439" width="24.5546875" style="175" customWidth="1"/>
    <col min="7440" max="7440" width="18.44140625" style="175" customWidth="1"/>
    <col min="7441" max="7441" width="13.6640625" style="175" customWidth="1"/>
    <col min="7442" max="7442" width="13.109375" style="175" customWidth="1"/>
    <col min="7443" max="7443" width="11.109375" style="175" customWidth="1"/>
    <col min="7444" max="7444" width="21.6640625" style="175" customWidth="1"/>
    <col min="7445" max="7445" width="16" style="175" customWidth="1"/>
    <col min="7446" max="7446" width="18.33203125" style="175" customWidth="1"/>
    <col min="7447" max="7447" width="22" style="175" customWidth="1"/>
    <col min="7448" max="7448" width="21.6640625" style="175" customWidth="1"/>
    <col min="7449" max="7449" width="13" style="175" customWidth="1"/>
    <col min="7450" max="7450" width="14.44140625" style="175" customWidth="1"/>
    <col min="7451" max="7451" width="17.88671875" style="175" customWidth="1"/>
    <col min="7452" max="7452" width="21.109375" style="175" customWidth="1"/>
    <col min="7453" max="7458" width="11.88671875" style="175" customWidth="1"/>
    <col min="7459" max="7459" width="15" style="175" customWidth="1"/>
    <col min="7460" max="7462" width="11.33203125" style="175" customWidth="1"/>
    <col min="7463" max="7463" width="14.44140625" style="175" customWidth="1"/>
    <col min="7464" max="7464" width="19.6640625" style="175" customWidth="1"/>
    <col min="7465" max="7465" width="11.33203125" style="175" customWidth="1"/>
    <col min="7466" max="7466" width="10.44140625" style="175" customWidth="1"/>
    <col min="7467" max="7467" width="14.5546875" style="175" customWidth="1"/>
    <col min="7468" max="7468" width="38" style="175" customWidth="1"/>
    <col min="7469" max="7469" width="34.88671875" style="175" customWidth="1"/>
    <col min="7470" max="7470" width="21.6640625" style="175" customWidth="1"/>
    <col min="7471" max="7471" width="9.6640625" style="175" customWidth="1"/>
    <col min="7472" max="7473" width="9.109375" style="175"/>
    <col min="7474" max="7474" width="14.33203125" style="175" customWidth="1"/>
    <col min="7475" max="7482" width="13" style="175" customWidth="1"/>
    <col min="7483" max="7483" width="11.33203125" style="175" customWidth="1"/>
    <col min="7484" max="7484" width="9.6640625" style="175" customWidth="1"/>
    <col min="7485" max="7485" width="24.88671875" style="175" customWidth="1"/>
    <col min="7486" max="7486" width="11.33203125" style="175" customWidth="1"/>
    <col min="7487" max="7487" width="15.33203125" style="175" customWidth="1"/>
    <col min="7488" max="7488" width="28.44140625" style="175" customWidth="1"/>
    <col min="7489" max="7490" width="11.33203125" style="175" customWidth="1"/>
    <col min="7491" max="7491" width="15.88671875" style="175" customWidth="1"/>
    <col min="7492" max="7492" width="38" style="175" customWidth="1"/>
    <col min="7493" max="7493" width="34.5546875" style="175" customWidth="1"/>
    <col min="7494" max="7494" width="21.6640625" style="175" customWidth="1"/>
    <col min="7495" max="7495" width="12.5546875" style="175" customWidth="1"/>
    <col min="7496" max="7693" width="9.109375" style="175"/>
    <col min="7694" max="7695" width="24.5546875" style="175" customWidth="1"/>
    <col min="7696" max="7696" width="18.44140625" style="175" customWidth="1"/>
    <col min="7697" max="7697" width="13.6640625" style="175" customWidth="1"/>
    <col min="7698" max="7698" width="13.109375" style="175" customWidth="1"/>
    <col min="7699" max="7699" width="11.109375" style="175" customWidth="1"/>
    <col min="7700" max="7700" width="21.6640625" style="175" customWidth="1"/>
    <col min="7701" max="7701" width="16" style="175" customWidth="1"/>
    <col min="7702" max="7702" width="18.33203125" style="175" customWidth="1"/>
    <col min="7703" max="7703" width="22" style="175" customWidth="1"/>
    <col min="7704" max="7704" width="21.6640625" style="175" customWidth="1"/>
    <col min="7705" max="7705" width="13" style="175" customWidth="1"/>
    <col min="7706" max="7706" width="14.44140625" style="175" customWidth="1"/>
    <col min="7707" max="7707" width="17.88671875" style="175" customWidth="1"/>
    <col min="7708" max="7708" width="21.109375" style="175" customWidth="1"/>
    <col min="7709" max="7714" width="11.88671875" style="175" customWidth="1"/>
    <col min="7715" max="7715" width="15" style="175" customWidth="1"/>
    <col min="7716" max="7718" width="11.33203125" style="175" customWidth="1"/>
    <col min="7719" max="7719" width="14.44140625" style="175" customWidth="1"/>
    <col min="7720" max="7720" width="19.6640625" style="175" customWidth="1"/>
    <col min="7721" max="7721" width="11.33203125" style="175" customWidth="1"/>
    <col min="7722" max="7722" width="10.44140625" style="175" customWidth="1"/>
    <col min="7723" max="7723" width="14.5546875" style="175" customWidth="1"/>
    <col min="7724" max="7724" width="38" style="175" customWidth="1"/>
    <col min="7725" max="7725" width="34.88671875" style="175" customWidth="1"/>
    <col min="7726" max="7726" width="21.6640625" style="175" customWidth="1"/>
    <col min="7727" max="7727" width="9.6640625" style="175" customWidth="1"/>
    <col min="7728" max="7729" width="9.109375" style="175"/>
    <col min="7730" max="7730" width="14.33203125" style="175" customWidth="1"/>
    <col min="7731" max="7738" width="13" style="175" customWidth="1"/>
    <col min="7739" max="7739" width="11.33203125" style="175" customWidth="1"/>
    <col min="7740" max="7740" width="9.6640625" style="175" customWidth="1"/>
    <col min="7741" max="7741" width="24.88671875" style="175" customWidth="1"/>
    <col min="7742" max="7742" width="11.33203125" style="175" customWidth="1"/>
    <col min="7743" max="7743" width="15.33203125" style="175" customWidth="1"/>
    <col min="7744" max="7744" width="28.44140625" style="175" customWidth="1"/>
    <col min="7745" max="7746" width="11.33203125" style="175" customWidth="1"/>
    <col min="7747" max="7747" width="15.88671875" style="175" customWidth="1"/>
    <col min="7748" max="7748" width="38" style="175" customWidth="1"/>
    <col min="7749" max="7749" width="34.5546875" style="175" customWidth="1"/>
    <col min="7750" max="7750" width="21.6640625" style="175" customWidth="1"/>
    <col min="7751" max="7751" width="12.5546875" style="175" customWidth="1"/>
    <col min="7752" max="7949" width="9.109375" style="175"/>
    <col min="7950" max="7951" width="24.5546875" style="175" customWidth="1"/>
    <col min="7952" max="7952" width="18.44140625" style="175" customWidth="1"/>
    <col min="7953" max="7953" width="13.6640625" style="175" customWidth="1"/>
    <col min="7954" max="7954" width="13.109375" style="175" customWidth="1"/>
    <col min="7955" max="7955" width="11.109375" style="175" customWidth="1"/>
    <col min="7956" max="7956" width="21.6640625" style="175" customWidth="1"/>
    <col min="7957" max="7957" width="16" style="175" customWidth="1"/>
    <col min="7958" max="7958" width="18.33203125" style="175" customWidth="1"/>
    <col min="7959" max="7959" width="22" style="175" customWidth="1"/>
    <col min="7960" max="7960" width="21.6640625" style="175" customWidth="1"/>
    <col min="7961" max="7961" width="13" style="175" customWidth="1"/>
    <col min="7962" max="7962" width="14.44140625" style="175" customWidth="1"/>
    <col min="7963" max="7963" width="17.88671875" style="175" customWidth="1"/>
    <col min="7964" max="7964" width="21.109375" style="175" customWidth="1"/>
    <col min="7965" max="7970" width="11.88671875" style="175" customWidth="1"/>
    <col min="7971" max="7971" width="15" style="175" customWidth="1"/>
    <col min="7972" max="7974" width="11.33203125" style="175" customWidth="1"/>
    <col min="7975" max="7975" width="14.44140625" style="175" customWidth="1"/>
    <col min="7976" max="7976" width="19.6640625" style="175" customWidth="1"/>
    <col min="7977" max="7977" width="11.33203125" style="175" customWidth="1"/>
    <col min="7978" max="7978" width="10.44140625" style="175" customWidth="1"/>
    <col min="7979" max="7979" width="14.5546875" style="175" customWidth="1"/>
    <col min="7980" max="7980" width="38" style="175" customWidth="1"/>
    <col min="7981" max="7981" width="34.88671875" style="175" customWidth="1"/>
    <col min="7982" max="7982" width="21.6640625" style="175" customWidth="1"/>
    <col min="7983" max="7983" width="9.6640625" style="175" customWidth="1"/>
    <col min="7984" max="7985" width="9.109375" style="175"/>
    <col min="7986" max="7986" width="14.33203125" style="175" customWidth="1"/>
    <col min="7987" max="7994" width="13" style="175" customWidth="1"/>
    <col min="7995" max="7995" width="11.33203125" style="175" customWidth="1"/>
    <col min="7996" max="7996" width="9.6640625" style="175" customWidth="1"/>
    <col min="7997" max="7997" width="24.88671875" style="175" customWidth="1"/>
    <col min="7998" max="7998" width="11.33203125" style="175" customWidth="1"/>
    <col min="7999" max="7999" width="15.33203125" style="175" customWidth="1"/>
    <col min="8000" max="8000" width="28.44140625" style="175" customWidth="1"/>
    <col min="8001" max="8002" width="11.33203125" style="175" customWidth="1"/>
    <col min="8003" max="8003" width="15.88671875" style="175" customWidth="1"/>
    <col min="8004" max="8004" width="38" style="175" customWidth="1"/>
    <col min="8005" max="8005" width="34.5546875" style="175" customWidth="1"/>
    <col min="8006" max="8006" width="21.6640625" style="175" customWidth="1"/>
    <col min="8007" max="8007" width="12.5546875" style="175" customWidth="1"/>
    <col min="8008" max="8205" width="9.109375" style="175"/>
    <col min="8206" max="8207" width="24.5546875" style="175" customWidth="1"/>
    <col min="8208" max="8208" width="18.44140625" style="175" customWidth="1"/>
    <col min="8209" max="8209" width="13.6640625" style="175" customWidth="1"/>
    <col min="8210" max="8210" width="13.109375" style="175" customWidth="1"/>
    <col min="8211" max="8211" width="11.109375" style="175" customWidth="1"/>
    <col min="8212" max="8212" width="21.6640625" style="175" customWidth="1"/>
    <col min="8213" max="8213" width="16" style="175" customWidth="1"/>
    <col min="8214" max="8214" width="18.33203125" style="175" customWidth="1"/>
    <col min="8215" max="8215" width="22" style="175" customWidth="1"/>
    <col min="8216" max="8216" width="21.6640625" style="175" customWidth="1"/>
    <col min="8217" max="8217" width="13" style="175" customWidth="1"/>
    <col min="8218" max="8218" width="14.44140625" style="175" customWidth="1"/>
    <col min="8219" max="8219" width="17.88671875" style="175" customWidth="1"/>
    <col min="8220" max="8220" width="21.109375" style="175" customWidth="1"/>
    <col min="8221" max="8226" width="11.88671875" style="175" customWidth="1"/>
    <col min="8227" max="8227" width="15" style="175" customWidth="1"/>
    <col min="8228" max="8230" width="11.33203125" style="175" customWidth="1"/>
    <col min="8231" max="8231" width="14.44140625" style="175" customWidth="1"/>
    <col min="8232" max="8232" width="19.6640625" style="175" customWidth="1"/>
    <col min="8233" max="8233" width="11.33203125" style="175" customWidth="1"/>
    <col min="8234" max="8234" width="10.44140625" style="175" customWidth="1"/>
    <col min="8235" max="8235" width="14.5546875" style="175" customWidth="1"/>
    <col min="8236" max="8236" width="38" style="175" customWidth="1"/>
    <col min="8237" max="8237" width="34.88671875" style="175" customWidth="1"/>
    <col min="8238" max="8238" width="21.6640625" style="175" customWidth="1"/>
    <col min="8239" max="8239" width="9.6640625" style="175" customWidth="1"/>
    <col min="8240" max="8241" width="9.109375" style="175"/>
    <col min="8242" max="8242" width="14.33203125" style="175" customWidth="1"/>
    <col min="8243" max="8250" width="13" style="175" customWidth="1"/>
    <col min="8251" max="8251" width="11.33203125" style="175" customWidth="1"/>
    <col min="8252" max="8252" width="9.6640625" style="175" customWidth="1"/>
    <col min="8253" max="8253" width="24.88671875" style="175" customWidth="1"/>
    <col min="8254" max="8254" width="11.33203125" style="175" customWidth="1"/>
    <col min="8255" max="8255" width="15.33203125" style="175" customWidth="1"/>
    <col min="8256" max="8256" width="28.44140625" style="175" customWidth="1"/>
    <col min="8257" max="8258" width="11.33203125" style="175" customWidth="1"/>
    <col min="8259" max="8259" width="15.88671875" style="175" customWidth="1"/>
    <col min="8260" max="8260" width="38" style="175" customWidth="1"/>
    <col min="8261" max="8261" width="34.5546875" style="175" customWidth="1"/>
    <col min="8262" max="8262" width="21.6640625" style="175" customWidth="1"/>
    <col min="8263" max="8263" width="12.5546875" style="175" customWidth="1"/>
    <col min="8264" max="8461" width="9.109375" style="175"/>
    <col min="8462" max="8463" width="24.5546875" style="175" customWidth="1"/>
    <col min="8464" max="8464" width="18.44140625" style="175" customWidth="1"/>
    <col min="8465" max="8465" width="13.6640625" style="175" customWidth="1"/>
    <col min="8466" max="8466" width="13.109375" style="175" customWidth="1"/>
    <col min="8467" max="8467" width="11.109375" style="175" customWidth="1"/>
    <col min="8468" max="8468" width="21.6640625" style="175" customWidth="1"/>
    <col min="8469" max="8469" width="16" style="175" customWidth="1"/>
    <col min="8470" max="8470" width="18.33203125" style="175" customWidth="1"/>
    <col min="8471" max="8471" width="22" style="175" customWidth="1"/>
    <col min="8472" max="8472" width="21.6640625" style="175" customWidth="1"/>
    <col min="8473" max="8473" width="13" style="175" customWidth="1"/>
    <col min="8474" max="8474" width="14.44140625" style="175" customWidth="1"/>
    <col min="8475" max="8475" width="17.88671875" style="175" customWidth="1"/>
    <col min="8476" max="8476" width="21.109375" style="175" customWidth="1"/>
    <col min="8477" max="8482" width="11.88671875" style="175" customWidth="1"/>
    <col min="8483" max="8483" width="15" style="175" customWidth="1"/>
    <col min="8484" max="8486" width="11.33203125" style="175" customWidth="1"/>
    <col min="8487" max="8487" width="14.44140625" style="175" customWidth="1"/>
    <col min="8488" max="8488" width="19.6640625" style="175" customWidth="1"/>
    <col min="8489" max="8489" width="11.33203125" style="175" customWidth="1"/>
    <col min="8490" max="8490" width="10.44140625" style="175" customWidth="1"/>
    <col min="8491" max="8491" width="14.5546875" style="175" customWidth="1"/>
    <col min="8492" max="8492" width="38" style="175" customWidth="1"/>
    <col min="8493" max="8493" width="34.88671875" style="175" customWidth="1"/>
    <col min="8494" max="8494" width="21.6640625" style="175" customWidth="1"/>
    <col min="8495" max="8495" width="9.6640625" style="175" customWidth="1"/>
    <col min="8496" max="8497" width="9.109375" style="175"/>
    <col min="8498" max="8498" width="14.33203125" style="175" customWidth="1"/>
    <col min="8499" max="8506" width="13" style="175" customWidth="1"/>
    <col min="8507" max="8507" width="11.33203125" style="175" customWidth="1"/>
    <col min="8508" max="8508" width="9.6640625" style="175" customWidth="1"/>
    <col min="8509" max="8509" width="24.88671875" style="175" customWidth="1"/>
    <col min="8510" max="8510" width="11.33203125" style="175" customWidth="1"/>
    <col min="8511" max="8511" width="15.33203125" style="175" customWidth="1"/>
    <col min="8512" max="8512" width="28.44140625" style="175" customWidth="1"/>
    <col min="8513" max="8514" width="11.33203125" style="175" customWidth="1"/>
    <col min="8515" max="8515" width="15.88671875" style="175" customWidth="1"/>
    <col min="8516" max="8516" width="38" style="175" customWidth="1"/>
    <col min="8517" max="8517" width="34.5546875" style="175" customWidth="1"/>
    <col min="8518" max="8518" width="21.6640625" style="175" customWidth="1"/>
    <col min="8519" max="8519" width="12.5546875" style="175" customWidth="1"/>
    <col min="8520" max="8717" width="9.109375" style="175"/>
    <col min="8718" max="8719" width="24.5546875" style="175" customWidth="1"/>
    <col min="8720" max="8720" width="18.44140625" style="175" customWidth="1"/>
    <col min="8721" max="8721" width="13.6640625" style="175" customWidth="1"/>
    <col min="8722" max="8722" width="13.109375" style="175" customWidth="1"/>
    <col min="8723" max="8723" width="11.109375" style="175" customWidth="1"/>
    <col min="8724" max="8724" width="21.6640625" style="175" customWidth="1"/>
    <col min="8725" max="8725" width="16" style="175" customWidth="1"/>
    <col min="8726" max="8726" width="18.33203125" style="175" customWidth="1"/>
    <col min="8727" max="8727" width="22" style="175" customWidth="1"/>
    <col min="8728" max="8728" width="21.6640625" style="175" customWidth="1"/>
    <col min="8729" max="8729" width="13" style="175" customWidth="1"/>
    <col min="8730" max="8730" width="14.44140625" style="175" customWidth="1"/>
    <col min="8731" max="8731" width="17.88671875" style="175" customWidth="1"/>
    <col min="8732" max="8732" width="21.109375" style="175" customWidth="1"/>
    <col min="8733" max="8738" width="11.88671875" style="175" customWidth="1"/>
    <col min="8739" max="8739" width="15" style="175" customWidth="1"/>
    <col min="8740" max="8742" width="11.33203125" style="175" customWidth="1"/>
    <col min="8743" max="8743" width="14.44140625" style="175" customWidth="1"/>
    <col min="8744" max="8744" width="19.6640625" style="175" customWidth="1"/>
    <col min="8745" max="8745" width="11.33203125" style="175" customWidth="1"/>
    <col min="8746" max="8746" width="10.44140625" style="175" customWidth="1"/>
    <col min="8747" max="8747" width="14.5546875" style="175" customWidth="1"/>
    <col min="8748" max="8748" width="38" style="175" customWidth="1"/>
    <col min="8749" max="8749" width="34.88671875" style="175" customWidth="1"/>
    <col min="8750" max="8750" width="21.6640625" style="175" customWidth="1"/>
    <col min="8751" max="8751" width="9.6640625" style="175" customWidth="1"/>
    <col min="8752" max="8753" width="9.109375" style="175"/>
    <col min="8754" max="8754" width="14.33203125" style="175" customWidth="1"/>
    <col min="8755" max="8762" width="13" style="175" customWidth="1"/>
    <col min="8763" max="8763" width="11.33203125" style="175" customWidth="1"/>
    <col min="8764" max="8764" width="9.6640625" style="175" customWidth="1"/>
    <col min="8765" max="8765" width="24.88671875" style="175" customWidth="1"/>
    <col min="8766" max="8766" width="11.33203125" style="175" customWidth="1"/>
    <col min="8767" max="8767" width="15.33203125" style="175" customWidth="1"/>
    <col min="8768" max="8768" width="28.44140625" style="175" customWidth="1"/>
    <col min="8769" max="8770" width="11.33203125" style="175" customWidth="1"/>
    <col min="8771" max="8771" width="15.88671875" style="175" customWidth="1"/>
    <col min="8772" max="8772" width="38" style="175" customWidth="1"/>
    <col min="8773" max="8773" width="34.5546875" style="175" customWidth="1"/>
    <col min="8774" max="8774" width="21.6640625" style="175" customWidth="1"/>
    <col min="8775" max="8775" width="12.5546875" style="175" customWidth="1"/>
    <col min="8776" max="8973" width="9.109375" style="175"/>
    <col min="8974" max="8975" width="24.5546875" style="175" customWidth="1"/>
    <col min="8976" max="8976" width="18.44140625" style="175" customWidth="1"/>
    <col min="8977" max="8977" width="13.6640625" style="175" customWidth="1"/>
    <col min="8978" max="8978" width="13.109375" style="175" customWidth="1"/>
    <col min="8979" max="8979" width="11.109375" style="175" customWidth="1"/>
    <col min="8980" max="8980" width="21.6640625" style="175" customWidth="1"/>
    <col min="8981" max="8981" width="16" style="175" customWidth="1"/>
    <col min="8982" max="8982" width="18.33203125" style="175" customWidth="1"/>
    <col min="8983" max="8983" width="22" style="175" customWidth="1"/>
    <col min="8984" max="8984" width="21.6640625" style="175" customWidth="1"/>
    <col min="8985" max="8985" width="13" style="175" customWidth="1"/>
    <col min="8986" max="8986" width="14.44140625" style="175" customWidth="1"/>
    <col min="8987" max="8987" width="17.88671875" style="175" customWidth="1"/>
    <col min="8988" max="8988" width="21.109375" style="175" customWidth="1"/>
    <col min="8989" max="8994" width="11.88671875" style="175" customWidth="1"/>
    <col min="8995" max="8995" width="15" style="175" customWidth="1"/>
    <col min="8996" max="8998" width="11.33203125" style="175" customWidth="1"/>
    <col min="8999" max="8999" width="14.44140625" style="175" customWidth="1"/>
    <col min="9000" max="9000" width="19.6640625" style="175" customWidth="1"/>
    <col min="9001" max="9001" width="11.33203125" style="175" customWidth="1"/>
    <col min="9002" max="9002" width="10.44140625" style="175" customWidth="1"/>
    <col min="9003" max="9003" width="14.5546875" style="175" customWidth="1"/>
    <col min="9004" max="9004" width="38" style="175" customWidth="1"/>
    <col min="9005" max="9005" width="34.88671875" style="175" customWidth="1"/>
    <col min="9006" max="9006" width="21.6640625" style="175" customWidth="1"/>
    <col min="9007" max="9007" width="9.6640625" style="175" customWidth="1"/>
    <col min="9008" max="9009" width="9.109375" style="175"/>
    <col min="9010" max="9010" width="14.33203125" style="175" customWidth="1"/>
    <col min="9011" max="9018" width="13" style="175" customWidth="1"/>
    <col min="9019" max="9019" width="11.33203125" style="175" customWidth="1"/>
    <col min="9020" max="9020" width="9.6640625" style="175" customWidth="1"/>
    <col min="9021" max="9021" width="24.88671875" style="175" customWidth="1"/>
    <col min="9022" max="9022" width="11.33203125" style="175" customWidth="1"/>
    <col min="9023" max="9023" width="15.33203125" style="175" customWidth="1"/>
    <col min="9024" max="9024" width="28.44140625" style="175" customWidth="1"/>
    <col min="9025" max="9026" width="11.33203125" style="175" customWidth="1"/>
    <col min="9027" max="9027" width="15.88671875" style="175" customWidth="1"/>
    <col min="9028" max="9028" width="38" style="175" customWidth="1"/>
    <col min="9029" max="9029" width="34.5546875" style="175" customWidth="1"/>
    <col min="9030" max="9030" width="21.6640625" style="175" customWidth="1"/>
    <col min="9031" max="9031" width="12.5546875" style="175" customWidth="1"/>
    <col min="9032" max="9229" width="9.109375" style="175"/>
    <col min="9230" max="9231" width="24.5546875" style="175" customWidth="1"/>
    <col min="9232" max="9232" width="18.44140625" style="175" customWidth="1"/>
    <col min="9233" max="9233" width="13.6640625" style="175" customWidth="1"/>
    <col min="9234" max="9234" width="13.109375" style="175" customWidth="1"/>
    <col min="9235" max="9235" width="11.109375" style="175" customWidth="1"/>
    <col min="9236" max="9236" width="21.6640625" style="175" customWidth="1"/>
    <col min="9237" max="9237" width="16" style="175" customWidth="1"/>
    <col min="9238" max="9238" width="18.33203125" style="175" customWidth="1"/>
    <col min="9239" max="9239" width="22" style="175" customWidth="1"/>
    <col min="9240" max="9240" width="21.6640625" style="175" customWidth="1"/>
    <col min="9241" max="9241" width="13" style="175" customWidth="1"/>
    <col min="9242" max="9242" width="14.44140625" style="175" customWidth="1"/>
    <col min="9243" max="9243" width="17.88671875" style="175" customWidth="1"/>
    <col min="9244" max="9244" width="21.109375" style="175" customWidth="1"/>
    <col min="9245" max="9250" width="11.88671875" style="175" customWidth="1"/>
    <col min="9251" max="9251" width="15" style="175" customWidth="1"/>
    <col min="9252" max="9254" width="11.33203125" style="175" customWidth="1"/>
    <col min="9255" max="9255" width="14.44140625" style="175" customWidth="1"/>
    <col min="9256" max="9256" width="19.6640625" style="175" customWidth="1"/>
    <col min="9257" max="9257" width="11.33203125" style="175" customWidth="1"/>
    <col min="9258" max="9258" width="10.44140625" style="175" customWidth="1"/>
    <col min="9259" max="9259" width="14.5546875" style="175" customWidth="1"/>
    <col min="9260" max="9260" width="38" style="175" customWidth="1"/>
    <col min="9261" max="9261" width="34.88671875" style="175" customWidth="1"/>
    <col min="9262" max="9262" width="21.6640625" style="175" customWidth="1"/>
    <col min="9263" max="9263" width="9.6640625" style="175" customWidth="1"/>
    <col min="9264" max="9265" width="9.109375" style="175"/>
    <col min="9266" max="9266" width="14.33203125" style="175" customWidth="1"/>
    <col min="9267" max="9274" width="13" style="175" customWidth="1"/>
    <col min="9275" max="9275" width="11.33203125" style="175" customWidth="1"/>
    <col min="9276" max="9276" width="9.6640625" style="175" customWidth="1"/>
    <col min="9277" max="9277" width="24.88671875" style="175" customWidth="1"/>
    <col min="9278" max="9278" width="11.33203125" style="175" customWidth="1"/>
    <col min="9279" max="9279" width="15.33203125" style="175" customWidth="1"/>
    <col min="9280" max="9280" width="28.44140625" style="175" customWidth="1"/>
    <col min="9281" max="9282" width="11.33203125" style="175" customWidth="1"/>
    <col min="9283" max="9283" width="15.88671875" style="175" customWidth="1"/>
    <col min="9284" max="9284" width="38" style="175" customWidth="1"/>
    <col min="9285" max="9285" width="34.5546875" style="175" customWidth="1"/>
    <col min="9286" max="9286" width="21.6640625" style="175" customWidth="1"/>
    <col min="9287" max="9287" width="12.5546875" style="175" customWidth="1"/>
    <col min="9288" max="9485" width="9.109375" style="175"/>
    <col min="9486" max="9487" width="24.5546875" style="175" customWidth="1"/>
    <col min="9488" max="9488" width="18.44140625" style="175" customWidth="1"/>
    <col min="9489" max="9489" width="13.6640625" style="175" customWidth="1"/>
    <col min="9490" max="9490" width="13.109375" style="175" customWidth="1"/>
    <col min="9491" max="9491" width="11.109375" style="175" customWidth="1"/>
    <col min="9492" max="9492" width="21.6640625" style="175" customWidth="1"/>
    <col min="9493" max="9493" width="16" style="175" customWidth="1"/>
    <col min="9494" max="9494" width="18.33203125" style="175" customWidth="1"/>
    <col min="9495" max="9495" width="22" style="175" customWidth="1"/>
    <col min="9496" max="9496" width="21.6640625" style="175" customWidth="1"/>
    <col min="9497" max="9497" width="13" style="175" customWidth="1"/>
    <col min="9498" max="9498" width="14.44140625" style="175" customWidth="1"/>
    <col min="9499" max="9499" width="17.88671875" style="175" customWidth="1"/>
    <col min="9500" max="9500" width="21.109375" style="175" customWidth="1"/>
    <col min="9501" max="9506" width="11.88671875" style="175" customWidth="1"/>
    <col min="9507" max="9507" width="15" style="175" customWidth="1"/>
    <col min="9508" max="9510" width="11.33203125" style="175" customWidth="1"/>
    <col min="9511" max="9511" width="14.44140625" style="175" customWidth="1"/>
    <col min="9512" max="9512" width="19.6640625" style="175" customWidth="1"/>
    <col min="9513" max="9513" width="11.33203125" style="175" customWidth="1"/>
    <col min="9514" max="9514" width="10.44140625" style="175" customWidth="1"/>
    <col min="9515" max="9515" width="14.5546875" style="175" customWidth="1"/>
    <col min="9516" max="9516" width="38" style="175" customWidth="1"/>
    <col min="9517" max="9517" width="34.88671875" style="175" customWidth="1"/>
    <col min="9518" max="9518" width="21.6640625" style="175" customWidth="1"/>
    <col min="9519" max="9519" width="9.6640625" style="175" customWidth="1"/>
    <col min="9520" max="9521" width="9.109375" style="175"/>
    <col min="9522" max="9522" width="14.33203125" style="175" customWidth="1"/>
    <col min="9523" max="9530" width="13" style="175" customWidth="1"/>
    <col min="9531" max="9531" width="11.33203125" style="175" customWidth="1"/>
    <col min="9532" max="9532" width="9.6640625" style="175" customWidth="1"/>
    <col min="9533" max="9533" width="24.88671875" style="175" customWidth="1"/>
    <col min="9534" max="9534" width="11.33203125" style="175" customWidth="1"/>
    <col min="9535" max="9535" width="15.33203125" style="175" customWidth="1"/>
    <col min="9536" max="9536" width="28.44140625" style="175" customWidth="1"/>
    <col min="9537" max="9538" width="11.33203125" style="175" customWidth="1"/>
    <col min="9539" max="9539" width="15.88671875" style="175" customWidth="1"/>
    <col min="9540" max="9540" width="38" style="175" customWidth="1"/>
    <col min="9541" max="9541" width="34.5546875" style="175" customWidth="1"/>
    <col min="9542" max="9542" width="21.6640625" style="175" customWidth="1"/>
    <col min="9543" max="9543" width="12.5546875" style="175" customWidth="1"/>
    <col min="9544" max="9741" width="9.109375" style="175"/>
    <col min="9742" max="9743" width="24.5546875" style="175" customWidth="1"/>
    <col min="9744" max="9744" width="18.44140625" style="175" customWidth="1"/>
    <col min="9745" max="9745" width="13.6640625" style="175" customWidth="1"/>
    <col min="9746" max="9746" width="13.109375" style="175" customWidth="1"/>
    <col min="9747" max="9747" width="11.109375" style="175" customWidth="1"/>
    <col min="9748" max="9748" width="21.6640625" style="175" customWidth="1"/>
    <col min="9749" max="9749" width="16" style="175" customWidth="1"/>
    <col min="9750" max="9750" width="18.33203125" style="175" customWidth="1"/>
    <col min="9751" max="9751" width="22" style="175" customWidth="1"/>
    <col min="9752" max="9752" width="21.6640625" style="175" customWidth="1"/>
    <col min="9753" max="9753" width="13" style="175" customWidth="1"/>
    <col min="9754" max="9754" width="14.44140625" style="175" customWidth="1"/>
    <col min="9755" max="9755" width="17.88671875" style="175" customWidth="1"/>
    <col min="9756" max="9756" width="21.109375" style="175" customWidth="1"/>
    <col min="9757" max="9762" width="11.88671875" style="175" customWidth="1"/>
    <col min="9763" max="9763" width="15" style="175" customWidth="1"/>
    <col min="9764" max="9766" width="11.33203125" style="175" customWidth="1"/>
    <col min="9767" max="9767" width="14.44140625" style="175" customWidth="1"/>
    <col min="9768" max="9768" width="19.6640625" style="175" customWidth="1"/>
    <col min="9769" max="9769" width="11.33203125" style="175" customWidth="1"/>
    <col min="9770" max="9770" width="10.44140625" style="175" customWidth="1"/>
    <col min="9771" max="9771" width="14.5546875" style="175" customWidth="1"/>
    <col min="9772" max="9772" width="38" style="175" customWidth="1"/>
    <col min="9773" max="9773" width="34.88671875" style="175" customWidth="1"/>
    <col min="9774" max="9774" width="21.6640625" style="175" customWidth="1"/>
    <col min="9775" max="9775" width="9.6640625" style="175" customWidth="1"/>
    <col min="9776" max="9777" width="9.109375" style="175"/>
    <col min="9778" max="9778" width="14.33203125" style="175" customWidth="1"/>
    <col min="9779" max="9786" width="13" style="175" customWidth="1"/>
    <col min="9787" max="9787" width="11.33203125" style="175" customWidth="1"/>
    <col min="9788" max="9788" width="9.6640625" style="175" customWidth="1"/>
    <col min="9789" max="9789" width="24.88671875" style="175" customWidth="1"/>
    <col min="9790" max="9790" width="11.33203125" style="175" customWidth="1"/>
    <col min="9791" max="9791" width="15.33203125" style="175" customWidth="1"/>
    <col min="9792" max="9792" width="28.44140625" style="175" customWidth="1"/>
    <col min="9793" max="9794" width="11.33203125" style="175" customWidth="1"/>
    <col min="9795" max="9795" width="15.88671875" style="175" customWidth="1"/>
    <col min="9796" max="9796" width="38" style="175" customWidth="1"/>
    <col min="9797" max="9797" width="34.5546875" style="175" customWidth="1"/>
    <col min="9798" max="9798" width="21.6640625" style="175" customWidth="1"/>
    <col min="9799" max="9799" width="12.5546875" style="175" customWidth="1"/>
    <col min="9800" max="9997" width="9.109375" style="175"/>
    <col min="9998" max="9999" width="24.5546875" style="175" customWidth="1"/>
    <col min="10000" max="10000" width="18.44140625" style="175" customWidth="1"/>
    <col min="10001" max="10001" width="13.6640625" style="175" customWidth="1"/>
    <col min="10002" max="10002" width="13.109375" style="175" customWidth="1"/>
    <col min="10003" max="10003" width="11.109375" style="175" customWidth="1"/>
    <col min="10004" max="10004" width="21.6640625" style="175" customWidth="1"/>
    <col min="10005" max="10005" width="16" style="175" customWidth="1"/>
    <col min="10006" max="10006" width="18.33203125" style="175" customWidth="1"/>
    <col min="10007" max="10007" width="22" style="175" customWidth="1"/>
    <col min="10008" max="10008" width="21.6640625" style="175" customWidth="1"/>
    <col min="10009" max="10009" width="13" style="175" customWidth="1"/>
    <col min="10010" max="10010" width="14.44140625" style="175" customWidth="1"/>
    <col min="10011" max="10011" width="17.88671875" style="175" customWidth="1"/>
    <col min="10012" max="10012" width="21.109375" style="175" customWidth="1"/>
    <col min="10013" max="10018" width="11.88671875" style="175" customWidth="1"/>
    <col min="10019" max="10019" width="15" style="175" customWidth="1"/>
    <col min="10020" max="10022" width="11.33203125" style="175" customWidth="1"/>
    <col min="10023" max="10023" width="14.44140625" style="175" customWidth="1"/>
    <col min="10024" max="10024" width="19.6640625" style="175" customWidth="1"/>
    <col min="10025" max="10025" width="11.33203125" style="175" customWidth="1"/>
    <col min="10026" max="10026" width="10.44140625" style="175" customWidth="1"/>
    <col min="10027" max="10027" width="14.5546875" style="175" customWidth="1"/>
    <col min="10028" max="10028" width="38" style="175" customWidth="1"/>
    <col min="10029" max="10029" width="34.88671875" style="175" customWidth="1"/>
    <col min="10030" max="10030" width="21.6640625" style="175" customWidth="1"/>
    <col min="10031" max="10031" width="9.6640625" style="175" customWidth="1"/>
    <col min="10032" max="10033" width="9.109375" style="175"/>
    <col min="10034" max="10034" width="14.33203125" style="175" customWidth="1"/>
    <col min="10035" max="10042" width="13" style="175" customWidth="1"/>
    <col min="10043" max="10043" width="11.33203125" style="175" customWidth="1"/>
    <col min="10044" max="10044" width="9.6640625" style="175" customWidth="1"/>
    <col min="10045" max="10045" width="24.88671875" style="175" customWidth="1"/>
    <col min="10046" max="10046" width="11.33203125" style="175" customWidth="1"/>
    <col min="10047" max="10047" width="15.33203125" style="175" customWidth="1"/>
    <col min="10048" max="10048" width="28.44140625" style="175" customWidth="1"/>
    <col min="10049" max="10050" width="11.33203125" style="175" customWidth="1"/>
    <col min="10051" max="10051" width="15.88671875" style="175" customWidth="1"/>
    <col min="10052" max="10052" width="38" style="175" customWidth="1"/>
    <col min="10053" max="10053" width="34.5546875" style="175" customWidth="1"/>
    <col min="10054" max="10054" width="21.6640625" style="175" customWidth="1"/>
    <col min="10055" max="10055" width="12.5546875" style="175" customWidth="1"/>
    <col min="10056" max="10253" width="9.109375" style="175"/>
    <col min="10254" max="10255" width="24.5546875" style="175" customWidth="1"/>
    <col min="10256" max="10256" width="18.44140625" style="175" customWidth="1"/>
    <col min="10257" max="10257" width="13.6640625" style="175" customWidth="1"/>
    <col min="10258" max="10258" width="13.109375" style="175" customWidth="1"/>
    <col min="10259" max="10259" width="11.109375" style="175" customWidth="1"/>
    <col min="10260" max="10260" width="21.6640625" style="175" customWidth="1"/>
    <col min="10261" max="10261" width="16" style="175" customWidth="1"/>
    <col min="10262" max="10262" width="18.33203125" style="175" customWidth="1"/>
    <col min="10263" max="10263" width="22" style="175" customWidth="1"/>
    <col min="10264" max="10264" width="21.6640625" style="175" customWidth="1"/>
    <col min="10265" max="10265" width="13" style="175" customWidth="1"/>
    <col min="10266" max="10266" width="14.44140625" style="175" customWidth="1"/>
    <col min="10267" max="10267" width="17.88671875" style="175" customWidth="1"/>
    <col min="10268" max="10268" width="21.109375" style="175" customWidth="1"/>
    <col min="10269" max="10274" width="11.88671875" style="175" customWidth="1"/>
    <col min="10275" max="10275" width="15" style="175" customWidth="1"/>
    <col min="10276" max="10278" width="11.33203125" style="175" customWidth="1"/>
    <col min="10279" max="10279" width="14.44140625" style="175" customWidth="1"/>
    <col min="10280" max="10280" width="19.6640625" style="175" customWidth="1"/>
    <col min="10281" max="10281" width="11.33203125" style="175" customWidth="1"/>
    <col min="10282" max="10282" width="10.44140625" style="175" customWidth="1"/>
    <col min="10283" max="10283" width="14.5546875" style="175" customWidth="1"/>
    <col min="10284" max="10284" width="38" style="175" customWidth="1"/>
    <col min="10285" max="10285" width="34.88671875" style="175" customWidth="1"/>
    <col min="10286" max="10286" width="21.6640625" style="175" customWidth="1"/>
    <col min="10287" max="10287" width="9.6640625" style="175" customWidth="1"/>
    <col min="10288" max="10289" width="9.109375" style="175"/>
    <col min="10290" max="10290" width="14.33203125" style="175" customWidth="1"/>
    <col min="10291" max="10298" width="13" style="175" customWidth="1"/>
    <col min="10299" max="10299" width="11.33203125" style="175" customWidth="1"/>
    <col min="10300" max="10300" width="9.6640625" style="175" customWidth="1"/>
    <col min="10301" max="10301" width="24.88671875" style="175" customWidth="1"/>
    <col min="10302" max="10302" width="11.33203125" style="175" customWidth="1"/>
    <col min="10303" max="10303" width="15.33203125" style="175" customWidth="1"/>
    <col min="10304" max="10304" width="28.44140625" style="175" customWidth="1"/>
    <col min="10305" max="10306" width="11.33203125" style="175" customWidth="1"/>
    <col min="10307" max="10307" width="15.88671875" style="175" customWidth="1"/>
    <col min="10308" max="10308" width="38" style="175" customWidth="1"/>
    <col min="10309" max="10309" width="34.5546875" style="175" customWidth="1"/>
    <col min="10310" max="10310" width="21.6640625" style="175" customWidth="1"/>
    <col min="10311" max="10311" width="12.5546875" style="175" customWidth="1"/>
    <col min="10312" max="10509" width="9.109375" style="175"/>
    <col min="10510" max="10511" width="24.5546875" style="175" customWidth="1"/>
    <col min="10512" max="10512" width="18.44140625" style="175" customWidth="1"/>
    <col min="10513" max="10513" width="13.6640625" style="175" customWidth="1"/>
    <col min="10514" max="10514" width="13.109375" style="175" customWidth="1"/>
    <col min="10515" max="10515" width="11.109375" style="175" customWidth="1"/>
    <col min="10516" max="10516" width="21.6640625" style="175" customWidth="1"/>
    <col min="10517" max="10517" width="16" style="175" customWidth="1"/>
    <col min="10518" max="10518" width="18.33203125" style="175" customWidth="1"/>
    <col min="10519" max="10519" width="22" style="175" customWidth="1"/>
    <col min="10520" max="10520" width="21.6640625" style="175" customWidth="1"/>
    <col min="10521" max="10521" width="13" style="175" customWidth="1"/>
    <col min="10522" max="10522" width="14.44140625" style="175" customWidth="1"/>
    <col min="10523" max="10523" width="17.88671875" style="175" customWidth="1"/>
    <col min="10524" max="10524" width="21.109375" style="175" customWidth="1"/>
    <col min="10525" max="10530" width="11.88671875" style="175" customWidth="1"/>
    <col min="10531" max="10531" width="15" style="175" customWidth="1"/>
    <col min="10532" max="10534" width="11.33203125" style="175" customWidth="1"/>
    <col min="10535" max="10535" width="14.44140625" style="175" customWidth="1"/>
    <col min="10536" max="10536" width="19.6640625" style="175" customWidth="1"/>
    <col min="10537" max="10537" width="11.33203125" style="175" customWidth="1"/>
    <col min="10538" max="10538" width="10.44140625" style="175" customWidth="1"/>
    <col min="10539" max="10539" width="14.5546875" style="175" customWidth="1"/>
    <col min="10540" max="10540" width="38" style="175" customWidth="1"/>
    <col min="10541" max="10541" width="34.88671875" style="175" customWidth="1"/>
    <col min="10542" max="10542" width="21.6640625" style="175" customWidth="1"/>
    <col min="10543" max="10543" width="9.6640625" style="175" customWidth="1"/>
    <col min="10544" max="10545" width="9.109375" style="175"/>
    <col min="10546" max="10546" width="14.33203125" style="175" customWidth="1"/>
    <col min="10547" max="10554" width="13" style="175" customWidth="1"/>
    <col min="10555" max="10555" width="11.33203125" style="175" customWidth="1"/>
    <col min="10556" max="10556" width="9.6640625" style="175" customWidth="1"/>
    <col min="10557" max="10557" width="24.88671875" style="175" customWidth="1"/>
    <col min="10558" max="10558" width="11.33203125" style="175" customWidth="1"/>
    <col min="10559" max="10559" width="15.33203125" style="175" customWidth="1"/>
    <col min="10560" max="10560" width="28.44140625" style="175" customWidth="1"/>
    <col min="10561" max="10562" width="11.33203125" style="175" customWidth="1"/>
    <col min="10563" max="10563" width="15.88671875" style="175" customWidth="1"/>
    <col min="10564" max="10564" width="38" style="175" customWidth="1"/>
    <col min="10565" max="10565" width="34.5546875" style="175" customWidth="1"/>
    <col min="10566" max="10566" width="21.6640625" style="175" customWidth="1"/>
    <col min="10567" max="10567" width="12.5546875" style="175" customWidth="1"/>
    <col min="10568" max="10765" width="9.109375" style="175"/>
    <col min="10766" max="10767" width="24.5546875" style="175" customWidth="1"/>
    <col min="10768" max="10768" width="18.44140625" style="175" customWidth="1"/>
    <col min="10769" max="10769" width="13.6640625" style="175" customWidth="1"/>
    <col min="10770" max="10770" width="13.109375" style="175" customWidth="1"/>
    <col min="10771" max="10771" width="11.109375" style="175" customWidth="1"/>
    <col min="10772" max="10772" width="21.6640625" style="175" customWidth="1"/>
    <col min="10773" max="10773" width="16" style="175" customWidth="1"/>
    <col min="10774" max="10774" width="18.33203125" style="175" customWidth="1"/>
    <col min="10775" max="10775" width="22" style="175" customWidth="1"/>
    <col min="10776" max="10776" width="21.6640625" style="175" customWidth="1"/>
    <col min="10777" max="10777" width="13" style="175" customWidth="1"/>
    <col min="10778" max="10778" width="14.44140625" style="175" customWidth="1"/>
    <col min="10779" max="10779" width="17.88671875" style="175" customWidth="1"/>
    <col min="10780" max="10780" width="21.109375" style="175" customWidth="1"/>
    <col min="10781" max="10786" width="11.88671875" style="175" customWidth="1"/>
    <col min="10787" max="10787" width="15" style="175" customWidth="1"/>
    <col min="10788" max="10790" width="11.33203125" style="175" customWidth="1"/>
    <col min="10791" max="10791" width="14.44140625" style="175" customWidth="1"/>
    <col min="10792" max="10792" width="19.6640625" style="175" customWidth="1"/>
    <col min="10793" max="10793" width="11.33203125" style="175" customWidth="1"/>
    <col min="10794" max="10794" width="10.44140625" style="175" customWidth="1"/>
    <col min="10795" max="10795" width="14.5546875" style="175" customWidth="1"/>
    <col min="10796" max="10796" width="38" style="175" customWidth="1"/>
    <col min="10797" max="10797" width="34.88671875" style="175" customWidth="1"/>
    <col min="10798" max="10798" width="21.6640625" style="175" customWidth="1"/>
    <col min="10799" max="10799" width="9.6640625" style="175" customWidth="1"/>
    <col min="10800" max="10801" width="9.109375" style="175"/>
    <col min="10802" max="10802" width="14.33203125" style="175" customWidth="1"/>
    <col min="10803" max="10810" width="13" style="175" customWidth="1"/>
    <col min="10811" max="10811" width="11.33203125" style="175" customWidth="1"/>
    <col min="10812" max="10812" width="9.6640625" style="175" customWidth="1"/>
    <col min="10813" max="10813" width="24.88671875" style="175" customWidth="1"/>
    <col min="10814" max="10814" width="11.33203125" style="175" customWidth="1"/>
    <col min="10815" max="10815" width="15.33203125" style="175" customWidth="1"/>
    <col min="10816" max="10816" width="28.44140625" style="175" customWidth="1"/>
    <col min="10817" max="10818" width="11.33203125" style="175" customWidth="1"/>
    <col min="10819" max="10819" width="15.88671875" style="175" customWidth="1"/>
    <col min="10820" max="10820" width="38" style="175" customWidth="1"/>
    <col min="10821" max="10821" width="34.5546875" style="175" customWidth="1"/>
    <col min="10822" max="10822" width="21.6640625" style="175" customWidth="1"/>
    <col min="10823" max="10823" width="12.5546875" style="175" customWidth="1"/>
    <col min="10824" max="11021" width="9.109375" style="175"/>
    <col min="11022" max="11023" width="24.5546875" style="175" customWidth="1"/>
    <col min="11024" max="11024" width="18.44140625" style="175" customWidth="1"/>
    <col min="11025" max="11025" width="13.6640625" style="175" customWidth="1"/>
    <col min="11026" max="11026" width="13.109375" style="175" customWidth="1"/>
    <col min="11027" max="11027" width="11.109375" style="175" customWidth="1"/>
    <col min="11028" max="11028" width="21.6640625" style="175" customWidth="1"/>
    <col min="11029" max="11029" width="16" style="175" customWidth="1"/>
    <col min="11030" max="11030" width="18.33203125" style="175" customWidth="1"/>
    <col min="11031" max="11031" width="22" style="175" customWidth="1"/>
    <col min="11032" max="11032" width="21.6640625" style="175" customWidth="1"/>
    <col min="11033" max="11033" width="13" style="175" customWidth="1"/>
    <col min="11034" max="11034" width="14.44140625" style="175" customWidth="1"/>
    <col min="11035" max="11035" width="17.88671875" style="175" customWidth="1"/>
    <col min="11036" max="11036" width="21.109375" style="175" customWidth="1"/>
    <col min="11037" max="11042" width="11.88671875" style="175" customWidth="1"/>
    <col min="11043" max="11043" width="15" style="175" customWidth="1"/>
    <col min="11044" max="11046" width="11.33203125" style="175" customWidth="1"/>
    <col min="11047" max="11047" width="14.44140625" style="175" customWidth="1"/>
    <col min="11048" max="11048" width="19.6640625" style="175" customWidth="1"/>
    <col min="11049" max="11049" width="11.33203125" style="175" customWidth="1"/>
    <col min="11050" max="11050" width="10.44140625" style="175" customWidth="1"/>
    <col min="11051" max="11051" width="14.5546875" style="175" customWidth="1"/>
    <col min="11052" max="11052" width="38" style="175" customWidth="1"/>
    <col min="11053" max="11053" width="34.88671875" style="175" customWidth="1"/>
    <col min="11054" max="11054" width="21.6640625" style="175" customWidth="1"/>
    <col min="11055" max="11055" width="9.6640625" style="175" customWidth="1"/>
    <col min="11056" max="11057" width="9.109375" style="175"/>
    <col min="11058" max="11058" width="14.33203125" style="175" customWidth="1"/>
    <col min="11059" max="11066" width="13" style="175" customWidth="1"/>
    <col min="11067" max="11067" width="11.33203125" style="175" customWidth="1"/>
    <col min="11068" max="11068" width="9.6640625" style="175" customWidth="1"/>
    <col min="11069" max="11069" width="24.88671875" style="175" customWidth="1"/>
    <col min="11070" max="11070" width="11.33203125" style="175" customWidth="1"/>
    <col min="11071" max="11071" width="15.33203125" style="175" customWidth="1"/>
    <col min="11072" max="11072" width="28.44140625" style="175" customWidth="1"/>
    <col min="11073" max="11074" width="11.33203125" style="175" customWidth="1"/>
    <col min="11075" max="11075" width="15.88671875" style="175" customWidth="1"/>
    <col min="11076" max="11076" width="38" style="175" customWidth="1"/>
    <col min="11077" max="11077" width="34.5546875" style="175" customWidth="1"/>
    <col min="11078" max="11078" width="21.6640625" style="175" customWidth="1"/>
    <col min="11079" max="11079" width="12.5546875" style="175" customWidth="1"/>
    <col min="11080" max="11277" width="9.109375" style="175"/>
    <col min="11278" max="11279" width="24.5546875" style="175" customWidth="1"/>
    <col min="11280" max="11280" width="18.44140625" style="175" customWidth="1"/>
    <col min="11281" max="11281" width="13.6640625" style="175" customWidth="1"/>
    <col min="11282" max="11282" width="13.109375" style="175" customWidth="1"/>
    <col min="11283" max="11283" width="11.109375" style="175" customWidth="1"/>
    <col min="11284" max="11284" width="21.6640625" style="175" customWidth="1"/>
    <col min="11285" max="11285" width="16" style="175" customWidth="1"/>
    <col min="11286" max="11286" width="18.33203125" style="175" customWidth="1"/>
    <col min="11287" max="11287" width="22" style="175" customWidth="1"/>
    <col min="11288" max="11288" width="21.6640625" style="175" customWidth="1"/>
    <col min="11289" max="11289" width="13" style="175" customWidth="1"/>
    <col min="11290" max="11290" width="14.44140625" style="175" customWidth="1"/>
    <col min="11291" max="11291" width="17.88671875" style="175" customWidth="1"/>
    <col min="11292" max="11292" width="21.109375" style="175" customWidth="1"/>
    <col min="11293" max="11298" width="11.88671875" style="175" customWidth="1"/>
    <col min="11299" max="11299" width="15" style="175" customWidth="1"/>
    <col min="11300" max="11302" width="11.33203125" style="175" customWidth="1"/>
    <col min="11303" max="11303" width="14.44140625" style="175" customWidth="1"/>
    <col min="11304" max="11304" width="19.6640625" style="175" customWidth="1"/>
    <col min="11305" max="11305" width="11.33203125" style="175" customWidth="1"/>
    <col min="11306" max="11306" width="10.44140625" style="175" customWidth="1"/>
    <col min="11307" max="11307" width="14.5546875" style="175" customWidth="1"/>
    <col min="11308" max="11308" width="38" style="175" customWidth="1"/>
    <col min="11309" max="11309" width="34.88671875" style="175" customWidth="1"/>
    <col min="11310" max="11310" width="21.6640625" style="175" customWidth="1"/>
    <col min="11311" max="11311" width="9.6640625" style="175" customWidth="1"/>
    <col min="11312" max="11313" width="9.109375" style="175"/>
    <col min="11314" max="11314" width="14.33203125" style="175" customWidth="1"/>
    <col min="11315" max="11322" width="13" style="175" customWidth="1"/>
    <col min="11323" max="11323" width="11.33203125" style="175" customWidth="1"/>
    <col min="11324" max="11324" width="9.6640625" style="175" customWidth="1"/>
    <col min="11325" max="11325" width="24.88671875" style="175" customWidth="1"/>
    <col min="11326" max="11326" width="11.33203125" style="175" customWidth="1"/>
    <col min="11327" max="11327" width="15.33203125" style="175" customWidth="1"/>
    <col min="11328" max="11328" width="28.44140625" style="175" customWidth="1"/>
    <col min="11329" max="11330" width="11.33203125" style="175" customWidth="1"/>
    <col min="11331" max="11331" width="15.88671875" style="175" customWidth="1"/>
    <col min="11332" max="11332" width="38" style="175" customWidth="1"/>
    <col min="11333" max="11333" width="34.5546875" style="175" customWidth="1"/>
    <col min="11334" max="11334" width="21.6640625" style="175" customWidth="1"/>
    <col min="11335" max="11335" width="12.5546875" style="175" customWidth="1"/>
    <col min="11336" max="11533" width="9.109375" style="175"/>
    <col min="11534" max="11535" width="24.5546875" style="175" customWidth="1"/>
    <col min="11536" max="11536" width="18.44140625" style="175" customWidth="1"/>
    <col min="11537" max="11537" width="13.6640625" style="175" customWidth="1"/>
    <col min="11538" max="11538" width="13.109375" style="175" customWidth="1"/>
    <col min="11539" max="11539" width="11.109375" style="175" customWidth="1"/>
    <col min="11540" max="11540" width="21.6640625" style="175" customWidth="1"/>
    <col min="11541" max="11541" width="16" style="175" customWidth="1"/>
    <col min="11542" max="11542" width="18.33203125" style="175" customWidth="1"/>
    <col min="11543" max="11543" width="22" style="175" customWidth="1"/>
    <col min="11544" max="11544" width="21.6640625" style="175" customWidth="1"/>
    <col min="11545" max="11545" width="13" style="175" customWidth="1"/>
    <col min="11546" max="11546" width="14.44140625" style="175" customWidth="1"/>
    <col min="11547" max="11547" width="17.88671875" style="175" customWidth="1"/>
    <col min="11548" max="11548" width="21.109375" style="175" customWidth="1"/>
    <col min="11549" max="11554" width="11.88671875" style="175" customWidth="1"/>
    <col min="11555" max="11555" width="15" style="175" customWidth="1"/>
    <col min="11556" max="11558" width="11.33203125" style="175" customWidth="1"/>
    <col min="11559" max="11559" width="14.44140625" style="175" customWidth="1"/>
    <col min="11560" max="11560" width="19.6640625" style="175" customWidth="1"/>
    <col min="11561" max="11561" width="11.33203125" style="175" customWidth="1"/>
    <col min="11562" max="11562" width="10.44140625" style="175" customWidth="1"/>
    <col min="11563" max="11563" width="14.5546875" style="175" customWidth="1"/>
    <col min="11564" max="11564" width="38" style="175" customWidth="1"/>
    <col min="11565" max="11565" width="34.88671875" style="175" customWidth="1"/>
    <col min="11566" max="11566" width="21.6640625" style="175" customWidth="1"/>
    <col min="11567" max="11567" width="9.6640625" style="175" customWidth="1"/>
    <col min="11568" max="11569" width="9.109375" style="175"/>
    <col min="11570" max="11570" width="14.33203125" style="175" customWidth="1"/>
    <col min="11571" max="11578" width="13" style="175" customWidth="1"/>
    <col min="11579" max="11579" width="11.33203125" style="175" customWidth="1"/>
    <col min="11580" max="11580" width="9.6640625" style="175" customWidth="1"/>
    <col min="11581" max="11581" width="24.88671875" style="175" customWidth="1"/>
    <col min="11582" max="11582" width="11.33203125" style="175" customWidth="1"/>
    <col min="11583" max="11583" width="15.33203125" style="175" customWidth="1"/>
    <col min="11584" max="11584" width="28.44140625" style="175" customWidth="1"/>
    <col min="11585" max="11586" width="11.33203125" style="175" customWidth="1"/>
    <col min="11587" max="11587" width="15.88671875" style="175" customWidth="1"/>
    <col min="11588" max="11588" width="38" style="175" customWidth="1"/>
    <col min="11589" max="11589" width="34.5546875" style="175" customWidth="1"/>
    <col min="11590" max="11590" width="21.6640625" style="175" customWidth="1"/>
    <col min="11591" max="11591" width="12.5546875" style="175" customWidth="1"/>
    <col min="11592" max="11789" width="9.109375" style="175"/>
    <col min="11790" max="11791" width="24.5546875" style="175" customWidth="1"/>
    <col min="11792" max="11792" width="18.44140625" style="175" customWidth="1"/>
    <col min="11793" max="11793" width="13.6640625" style="175" customWidth="1"/>
    <col min="11794" max="11794" width="13.109375" style="175" customWidth="1"/>
    <col min="11795" max="11795" width="11.109375" style="175" customWidth="1"/>
    <col min="11796" max="11796" width="21.6640625" style="175" customWidth="1"/>
    <col min="11797" max="11797" width="16" style="175" customWidth="1"/>
    <col min="11798" max="11798" width="18.33203125" style="175" customWidth="1"/>
    <col min="11799" max="11799" width="22" style="175" customWidth="1"/>
    <col min="11800" max="11800" width="21.6640625" style="175" customWidth="1"/>
    <col min="11801" max="11801" width="13" style="175" customWidth="1"/>
    <col min="11802" max="11802" width="14.44140625" style="175" customWidth="1"/>
    <col min="11803" max="11803" width="17.88671875" style="175" customWidth="1"/>
    <col min="11804" max="11804" width="21.109375" style="175" customWidth="1"/>
    <col min="11805" max="11810" width="11.88671875" style="175" customWidth="1"/>
    <col min="11811" max="11811" width="15" style="175" customWidth="1"/>
    <col min="11812" max="11814" width="11.33203125" style="175" customWidth="1"/>
    <col min="11815" max="11815" width="14.44140625" style="175" customWidth="1"/>
    <col min="11816" max="11816" width="19.6640625" style="175" customWidth="1"/>
    <col min="11817" max="11817" width="11.33203125" style="175" customWidth="1"/>
    <col min="11818" max="11818" width="10.44140625" style="175" customWidth="1"/>
    <col min="11819" max="11819" width="14.5546875" style="175" customWidth="1"/>
    <col min="11820" max="11820" width="38" style="175" customWidth="1"/>
    <col min="11821" max="11821" width="34.88671875" style="175" customWidth="1"/>
    <col min="11822" max="11822" width="21.6640625" style="175" customWidth="1"/>
    <col min="11823" max="11823" width="9.6640625" style="175" customWidth="1"/>
    <col min="11824" max="11825" width="9.109375" style="175"/>
    <col min="11826" max="11826" width="14.33203125" style="175" customWidth="1"/>
    <col min="11827" max="11834" width="13" style="175" customWidth="1"/>
    <col min="11835" max="11835" width="11.33203125" style="175" customWidth="1"/>
    <col min="11836" max="11836" width="9.6640625" style="175" customWidth="1"/>
    <col min="11837" max="11837" width="24.88671875" style="175" customWidth="1"/>
    <col min="11838" max="11838" width="11.33203125" style="175" customWidth="1"/>
    <col min="11839" max="11839" width="15.33203125" style="175" customWidth="1"/>
    <col min="11840" max="11840" width="28.44140625" style="175" customWidth="1"/>
    <col min="11841" max="11842" width="11.33203125" style="175" customWidth="1"/>
    <col min="11843" max="11843" width="15.88671875" style="175" customWidth="1"/>
    <col min="11844" max="11844" width="38" style="175" customWidth="1"/>
    <col min="11845" max="11845" width="34.5546875" style="175" customWidth="1"/>
    <col min="11846" max="11846" width="21.6640625" style="175" customWidth="1"/>
    <col min="11847" max="11847" width="12.5546875" style="175" customWidth="1"/>
    <col min="11848" max="12045" width="9.109375" style="175"/>
    <col min="12046" max="12047" width="24.5546875" style="175" customWidth="1"/>
    <col min="12048" max="12048" width="18.44140625" style="175" customWidth="1"/>
    <col min="12049" max="12049" width="13.6640625" style="175" customWidth="1"/>
    <col min="12050" max="12050" width="13.109375" style="175" customWidth="1"/>
    <col min="12051" max="12051" width="11.109375" style="175" customWidth="1"/>
    <col min="12052" max="12052" width="21.6640625" style="175" customWidth="1"/>
    <col min="12053" max="12053" width="16" style="175" customWidth="1"/>
    <col min="12054" max="12054" width="18.33203125" style="175" customWidth="1"/>
    <col min="12055" max="12055" width="22" style="175" customWidth="1"/>
    <col min="12056" max="12056" width="21.6640625" style="175" customWidth="1"/>
    <col min="12057" max="12057" width="13" style="175" customWidth="1"/>
    <col min="12058" max="12058" width="14.44140625" style="175" customWidth="1"/>
    <col min="12059" max="12059" width="17.88671875" style="175" customWidth="1"/>
    <col min="12060" max="12060" width="21.109375" style="175" customWidth="1"/>
    <col min="12061" max="12066" width="11.88671875" style="175" customWidth="1"/>
    <col min="12067" max="12067" width="15" style="175" customWidth="1"/>
    <col min="12068" max="12070" width="11.33203125" style="175" customWidth="1"/>
    <col min="12071" max="12071" width="14.44140625" style="175" customWidth="1"/>
    <col min="12072" max="12072" width="19.6640625" style="175" customWidth="1"/>
    <col min="12073" max="12073" width="11.33203125" style="175" customWidth="1"/>
    <col min="12074" max="12074" width="10.44140625" style="175" customWidth="1"/>
    <col min="12075" max="12075" width="14.5546875" style="175" customWidth="1"/>
    <col min="12076" max="12076" width="38" style="175" customWidth="1"/>
    <col min="12077" max="12077" width="34.88671875" style="175" customWidth="1"/>
    <col min="12078" max="12078" width="21.6640625" style="175" customWidth="1"/>
    <col min="12079" max="12079" width="9.6640625" style="175" customWidth="1"/>
    <col min="12080" max="12081" width="9.109375" style="175"/>
    <col min="12082" max="12082" width="14.33203125" style="175" customWidth="1"/>
    <col min="12083" max="12090" width="13" style="175" customWidth="1"/>
    <col min="12091" max="12091" width="11.33203125" style="175" customWidth="1"/>
    <col min="12092" max="12092" width="9.6640625" style="175" customWidth="1"/>
    <col min="12093" max="12093" width="24.88671875" style="175" customWidth="1"/>
    <col min="12094" max="12094" width="11.33203125" style="175" customWidth="1"/>
    <col min="12095" max="12095" width="15.33203125" style="175" customWidth="1"/>
    <col min="12096" max="12096" width="28.44140625" style="175" customWidth="1"/>
    <col min="12097" max="12098" width="11.33203125" style="175" customWidth="1"/>
    <col min="12099" max="12099" width="15.88671875" style="175" customWidth="1"/>
    <col min="12100" max="12100" width="38" style="175" customWidth="1"/>
    <col min="12101" max="12101" width="34.5546875" style="175" customWidth="1"/>
    <col min="12102" max="12102" width="21.6640625" style="175" customWidth="1"/>
    <col min="12103" max="12103" width="12.5546875" style="175" customWidth="1"/>
    <col min="12104" max="12301" width="9.109375" style="175"/>
    <col min="12302" max="12303" width="24.5546875" style="175" customWidth="1"/>
    <col min="12304" max="12304" width="18.44140625" style="175" customWidth="1"/>
    <col min="12305" max="12305" width="13.6640625" style="175" customWidth="1"/>
    <col min="12306" max="12306" width="13.109375" style="175" customWidth="1"/>
    <col min="12307" max="12307" width="11.109375" style="175" customWidth="1"/>
    <col min="12308" max="12308" width="21.6640625" style="175" customWidth="1"/>
    <col min="12309" max="12309" width="16" style="175" customWidth="1"/>
    <col min="12310" max="12310" width="18.33203125" style="175" customWidth="1"/>
    <col min="12311" max="12311" width="22" style="175" customWidth="1"/>
    <col min="12312" max="12312" width="21.6640625" style="175" customWidth="1"/>
    <col min="12313" max="12313" width="13" style="175" customWidth="1"/>
    <col min="12314" max="12314" width="14.44140625" style="175" customWidth="1"/>
    <col min="12315" max="12315" width="17.88671875" style="175" customWidth="1"/>
    <col min="12316" max="12316" width="21.109375" style="175" customWidth="1"/>
    <col min="12317" max="12322" width="11.88671875" style="175" customWidth="1"/>
    <col min="12323" max="12323" width="15" style="175" customWidth="1"/>
    <col min="12324" max="12326" width="11.33203125" style="175" customWidth="1"/>
    <col min="12327" max="12327" width="14.44140625" style="175" customWidth="1"/>
    <col min="12328" max="12328" width="19.6640625" style="175" customWidth="1"/>
    <col min="12329" max="12329" width="11.33203125" style="175" customWidth="1"/>
    <col min="12330" max="12330" width="10.44140625" style="175" customWidth="1"/>
    <col min="12331" max="12331" width="14.5546875" style="175" customWidth="1"/>
    <col min="12332" max="12332" width="38" style="175" customWidth="1"/>
    <col min="12333" max="12333" width="34.88671875" style="175" customWidth="1"/>
    <col min="12334" max="12334" width="21.6640625" style="175" customWidth="1"/>
    <col min="12335" max="12335" width="9.6640625" style="175" customWidth="1"/>
    <col min="12336" max="12337" width="9.109375" style="175"/>
    <col min="12338" max="12338" width="14.33203125" style="175" customWidth="1"/>
    <col min="12339" max="12346" width="13" style="175" customWidth="1"/>
    <col min="12347" max="12347" width="11.33203125" style="175" customWidth="1"/>
    <col min="12348" max="12348" width="9.6640625" style="175" customWidth="1"/>
    <col min="12349" max="12349" width="24.88671875" style="175" customWidth="1"/>
    <col min="12350" max="12350" width="11.33203125" style="175" customWidth="1"/>
    <col min="12351" max="12351" width="15.33203125" style="175" customWidth="1"/>
    <col min="12352" max="12352" width="28.44140625" style="175" customWidth="1"/>
    <col min="12353" max="12354" width="11.33203125" style="175" customWidth="1"/>
    <col min="12355" max="12355" width="15.88671875" style="175" customWidth="1"/>
    <col min="12356" max="12356" width="38" style="175" customWidth="1"/>
    <col min="12357" max="12357" width="34.5546875" style="175" customWidth="1"/>
    <col min="12358" max="12358" width="21.6640625" style="175" customWidth="1"/>
    <col min="12359" max="12359" width="12.5546875" style="175" customWidth="1"/>
    <col min="12360" max="12557" width="9.109375" style="175"/>
    <col min="12558" max="12559" width="24.5546875" style="175" customWidth="1"/>
    <col min="12560" max="12560" width="18.44140625" style="175" customWidth="1"/>
    <col min="12561" max="12561" width="13.6640625" style="175" customWidth="1"/>
    <col min="12562" max="12562" width="13.109375" style="175" customWidth="1"/>
    <col min="12563" max="12563" width="11.109375" style="175" customWidth="1"/>
    <col min="12564" max="12564" width="21.6640625" style="175" customWidth="1"/>
    <col min="12565" max="12565" width="16" style="175" customWidth="1"/>
    <col min="12566" max="12566" width="18.33203125" style="175" customWidth="1"/>
    <col min="12567" max="12567" width="22" style="175" customWidth="1"/>
    <col min="12568" max="12568" width="21.6640625" style="175" customWidth="1"/>
    <col min="12569" max="12569" width="13" style="175" customWidth="1"/>
    <col min="12570" max="12570" width="14.44140625" style="175" customWidth="1"/>
    <col min="12571" max="12571" width="17.88671875" style="175" customWidth="1"/>
    <col min="12572" max="12572" width="21.109375" style="175" customWidth="1"/>
    <col min="12573" max="12578" width="11.88671875" style="175" customWidth="1"/>
    <col min="12579" max="12579" width="15" style="175" customWidth="1"/>
    <col min="12580" max="12582" width="11.33203125" style="175" customWidth="1"/>
    <col min="12583" max="12583" width="14.44140625" style="175" customWidth="1"/>
    <col min="12584" max="12584" width="19.6640625" style="175" customWidth="1"/>
    <col min="12585" max="12585" width="11.33203125" style="175" customWidth="1"/>
    <col min="12586" max="12586" width="10.44140625" style="175" customWidth="1"/>
    <col min="12587" max="12587" width="14.5546875" style="175" customWidth="1"/>
    <col min="12588" max="12588" width="38" style="175" customWidth="1"/>
    <col min="12589" max="12589" width="34.88671875" style="175" customWidth="1"/>
    <col min="12590" max="12590" width="21.6640625" style="175" customWidth="1"/>
    <col min="12591" max="12591" width="9.6640625" style="175" customWidth="1"/>
    <col min="12592" max="12593" width="9.109375" style="175"/>
    <col min="12594" max="12594" width="14.33203125" style="175" customWidth="1"/>
    <col min="12595" max="12602" width="13" style="175" customWidth="1"/>
    <col min="12603" max="12603" width="11.33203125" style="175" customWidth="1"/>
    <col min="12604" max="12604" width="9.6640625" style="175" customWidth="1"/>
    <col min="12605" max="12605" width="24.88671875" style="175" customWidth="1"/>
    <col min="12606" max="12606" width="11.33203125" style="175" customWidth="1"/>
    <col min="12607" max="12607" width="15.33203125" style="175" customWidth="1"/>
    <col min="12608" max="12608" width="28.44140625" style="175" customWidth="1"/>
    <col min="12609" max="12610" width="11.33203125" style="175" customWidth="1"/>
    <col min="12611" max="12611" width="15.88671875" style="175" customWidth="1"/>
    <col min="12612" max="12612" width="38" style="175" customWidth="1"/>
    <col min="12613" max="12613" width="34.5546875" style="175" customWidth="1"/>
    <col min="12614" max="12614" width="21.6640625" style="175" customWidth="1"/>
    <col min="12615" max="12615" width="12.5546875" style="175" customWidth="1"/>
    <col min="12616" max="12813" width="9.109375" style="175"/>
    <col min="12814" max="12815" width="24.5546875" style="175" customWidth="1"/>
    <col min="12816" max="12816" width="18.44140625" style="175" customWidth="1"/>
    <col min="12817" max="12817" width="13.6640625" style="175" customWidth="1"/>
    <col min="12818" max="12818" width="13.109375" style="175" customWidth="1"/>
    <col min="12819" max="12819" width="11.109375" style="175" customWidth="1"/>
    <col min="12820" max="12820" width="21.6640625" style="175" customWidth="1"/>
    <col min="12821" max="12821" width="16" style="175" customWidth="1"/>
    <col min="12822" max="12822" width="18.33203125" style="175" customWidth="1"/>
    <col min="12823" max="12823" width="22" style="175" customWidth="1"/>
    <col min="12824" max="12824" width="21.6640625" style="175" customWidth="1"/>
    <col min="12825" max="12825" width="13" style="175" customWidth="1"/>
    <col min="12826" max="12826" width="14.44140625" style="175" customWidth="1"/>
    <col min="12827" max="12827" width="17.88671875" style="175" customWidth="1"/>
    <col min="12828" max="12828" width="21.109375" style="175" customWidth="1"/>
    <col min="12829" max="12834" width="11.88671875" style="175" customWidth="1"/>
    <col min="12835" max="12835" width="15" style="175" customWidth="1"/>
    <col min="12836" max="12838" width="11.33203125" style="175" customWidth="1"/>
    <col min="12839" max="12839" width="14.44140625" style="175" customWidth="1"/>
    <col min="12840" max="12840" width="19.6640625" style="175" customWidth="1"/>
    <col min="12841" max="12841" width="11.33203125" style="175" customWidth="1"/>
    <col min="12842" max="12842" width="10.44140625" style="175" customWidth="1"/>
    <col min="12843" max="12843" width="14.5546875" style="175" customWidth="1"/>
    <col min="12844" max="12844" width="38" style="175" customWidth="1"/>
    <col min="12845" max="12845" width="34.88671875" style="175" customWidth="1"/>
    <col min="12846" max="12846" width="21.6640625" style="175" customWidth="1"/>
    <col min="12847" max="12847" width="9.6640625" style="175" customWidth="1"/>
    <col min="12848" max="12849" width="9.109375" style="175"/>
    <col min="12850" max="12850" width="14.33203125" style="175" customWidth="1"/>
    <col min="12851" max="12858" width="13" style="175" customWidth="1"/>
    <col min="12859" max="12859" width="11.33203125" style="175" customWidth="1"/>
    <col min="12860" max="12860" width="9.6640625" style="175" customWidth="1"/>
    <col min="12861" max="12861" width="24.88671875" style="175" customWidth="1"/>
    <col min="12862" max="12862" width="11.33203125" style="175" customWidth="1"/>
    <col min="12863" max="12863" width="15.33203125" style="175" customWidth="1"/>
    <col min="12864" max="12864" width="28.44140625" style="175" customWidth="1"/>
    <col min="12865" max="12866" width="11.33203125" style="175" customWidth="1"/>
    <col min="12867" max="12867" width="15.88671875" style="175" customWidth="1"/>
    <col min="12868" max="12868" width="38" style="175" customWidth="1"/>
    <col min="12869" max="12869" width="34.5546875" style="175" customWidth="1"/>
    <col min="12870" max="12870" width="21.6640625" style="175" customWidth="1"/>
    <col min="12871" max="12871" width="12.5546875" style="175" customWidth="1"/>
    <col min="12872" max="13069" width="9.109375" style="175"/>
    <col min="13070" max="13071" width="24.5546875" style="175" customWidth="1"/>
    <col min="13072" max="13072" width="18.44140625" style="175" customWidth="1"/>
    <col min="13073" max="13073" width="13.6640625" style="175" customWidth="1"/>
    <col min="13074" max="13074" width="13.109375" style="175" customWidth="1"/>
    <col min="13075" max="13075" width="11.109375" style="175" customWidth="1"/>
    <col min="13076" max="13076" width="21.6640625" style="175" customWidth="1"/>
    <col min="13077" max="13077" width="16" style="175" customWidth="1"/>
    <col min="13078" max="13078" width="18.33203125" style="175" customWidth="1"/>
    <col min="13079" max="13079" width="22" style="175" customWidth="1"/>
    <col min="13080" max="13080" width="21.6640625" style="175" customWidth="1"/>
    <col min="13081" max="13081" width="13" style="175" customWidth="1"/>
    <col min="13082" max="13082" width="14.44140625" style="175" customWidth="1"/>
    <col min="13083" max="13083" width="17.88671875" style="175" customWidth="1"/>
    <col min="13084" max="13084" width="21.109375" style="175" customWidth="1"/>
    <col min="13085" max="13090" width="11.88671875" style="175" customWidth="1"/>
    <col min="13091" max="13091" width="15" style="175" customWidth="1"/>
    <col min="13092" max="13094" width="11.33203125" style="175" customWidth="1"/>
    <col min="13095" max="13095" width="14.44140625" style="175" customWidth="1"/>
    <col min="13096" max="13096" width="19.6640625" style="175" customWidth="1"/>
    <col min="13097" max="13097" width="11.33203125" style="175" customWidth="1"/>
    <col min="13098" max="13098" width="10.44140625" style="175" customWidth="1"/>
    <col min="13099" max="13099" width="14.5546875" style="175" customWidth="1"/>
    <col min="13100" max="13100" width="38" style="175" customWidth="1"/>
    <col min="13101" max="13101" width="34.88671875" style="175" customWidth="1"/>
    <col min="13102" max="13102" width="21.6640625" style="175" customWidth="1"/>
    <col min="13103" max="13103" width="9.6640625" style="175" customWidth="1"/>
    <col min="13104" max="13105" width="9.109375" style="175"/>
    <col min="13106" max="13106" width="14.33203125" style="175" customWidth="1"/>
    <col min="13107" max="13114" width="13" style="175" customWidth="1"/>
    <col min="13115" max="13115" width="11.33203125" style="175" customWidth="1"/>
    <col min="13116" max="13116" width="9.6640625" style="175" customWidth="1"/>
    <col min="13117" max="13117" width="24.88671875" style="175" customWidth="1"/>
    <col min="13118" max="13118" width="11.33203125" style="175" customWidth="1"/>
    <col min="13119" max="13119" width="15.33203125" style="175" customWidth="1"/>
    <col min="13120" max="13120" width="28.44140625" style="175" customWidth="1"/>
    <col min="13121" max="13122" width="11.33203125" style="175" customWidth="1"/>
    <col min="13123" max="13123" width="15.88671875" style="175" customWidth="1"/>
    <col min="13124" max="13124" width="38" style="175" customWidth="1"/>
    <col min="13125" max="13125" width="34.5546875" style="175" customWidth="1"/>
    <col min="13126" max="13126" width="21.6640625" style="175" customWidth="1"/>
    <col min="13127" max="13127" width="12.5546875" style="175" customWidth="1"/>
    <col min="13128" max="13325" width="9.109375" style="175"/>
    <col min="13326" max="13327" width="24.5546875" style="175" customWidth="1"/>
    <col min="13328" max="13328" width="18.44140625" style="175" customWidth="1"/>
    <col min="13329" max="13329" width="13.6640625" style="175" customWidth="1"/>
    <col min="13330" max="13330" width="13.109375" style="175" customWidth="1"/>
    <col min="13331" max="13331" width="11.109375" style="175" customWidth="1"/>
    <col min="13332" max="13332" width="21.6640625" style="175" customWidth="1"/>
    <col min="13333" max="13333" width="16" style="175" customWidth="1"/>
    <col min="13334" max="13334" width="18.33203125" style="175" customWidth="1"/>
    <col min="13335" max="13335" width="22" style="175" customWidth="1"/>
    <col min="13336" max="13336" width="21.6640625" style="175" customWidth="1"/>
    <col min="13337" max="13337" width="13" style="175" customWidth="1"/>
    <col min="13338" max="13338" width="14.44140625" style="175" customWidth="1"/>
    <col min="13339" max="13339" width="17.88671875" style="175" customWidth="1"/>
    <col min="13340" max="13340" width="21.109375" style="175" customWidth="1"/>
    <col min="13341" max="13346" width="11.88671875" style="175" customWidth="1"/>
    <col min="13347" max="13347" width="15" style="175" customWidth="1"/>
    <col min="13348" max="13350" width="11.33203125" style="175" customWidth="1"/>
    <col min="13351" max="13351" width="14.44140625" style="175" customWidth="1"/>
    <col min="13352" max="13352" width="19.6640625" style="175" customWidth="1"/>
    <col min="13353" max="13353" width="11.33203125" style="175" customWidth="1"/>
    <col min="13354" max="13354" width="10.44140625" style="175" customWidth="1"/>
    <col min="13355" max="13355" width="14.5546875" style="175" customWidth="1"/>
    <col min="13356" max="13356" width="38" style="175" customWidth="1"/>
    <col min="13357" max="13357" width="34.88671875" style="175" customWidth="1"/>
    <col min="13358" max="13358" width="21.6640625" style="175" customWidth="1"/>
    <col min="13359" max="13359" width="9.6640625" style="175" customWidth="1"/>
    <col min="13360" max="13361" width="9.109375" style="175"/>
    <col min="13362" max="13362" width="14.33203125" style="175" customWidth="1"/>
    <col min="13363" max="13370" width="13" style="175" customWidth="1"/>
    <col min="13371" max="13371" width="11.33203125" style="175" customWidth="1"/>
    <col min="13372" max="13372" width="9.6640625" style="175" customWidth="1"/>
    <col min="13373" max="13373" width="24.88671875" style="175" customWidth="1"/>
    <col min="13374" max="13374" width="11.33203125" style="175" customWidth="1"/>
    <col min="13375" max="13375" width="15.33203125" style="175" customWidth="1"/>
    <col min="13376" max="13376" width="28.44140625" style="175" customWidth="1"/>
    <col min="13377" max="13378" width="11.33203125" style="175" customWidth="1"/>
    <col min="13379" max="13379" width="15.88671875" style="175" customWidth="1"/>
    <col min="13380" max="13380" width="38" style="175" customWidth="1"/>
    <col min="13381" max="13381" width="34.5546875" style="175" customWidth="1"/>
    <col min="13382" max="13382" width="21.6640625" style="175" customWidth="1"/>
    <col min="13383" max="13383" width="12.5546875" style="175" customWidth="1"/>
    <col min="13384" max="13581" width="9.109375" style="175"/>
    <col min="13582" max="13583" width="24.5546875" style="175" customWidth="1"/>
    <col min="13584" max="13584" width="18.44140625" style="175" customWidth="1"/>
    <col min="13585" max="13585" width="13.6640625" style="175" customWidth="1"/>
    <col min="13586" max="13586" width="13.109375" style="175" customWidth="1"/>
    <col min="13587" max="13587" width="11.109375" style="175" customWidth="1"/>
    <col min="13588" max="13588" width="21.6640625" style="175" customWidth="1"/>
    <col min="13589" max="13589" width="16" style="175" customWidth="1"/>
    <col min="13590" max="13590" width="18.33203125" style="175" customWidth="1"/>
    <col min="13591" max="13591" width="22" style="175" customWidth="1"/>
    <col min="13592" max="13592" width="21.6640625" style="175" customWidth="1"/>
    <col min="13593" max="13593" width="13" style="175" customWidth="1"/>
    <col min="13594" max="13594" width="14.44140625" style="175" customWidth="1"/>
    <col min="13595" max="13595" width="17.88671875" style="175" customWidth="1"/>
    <col min="13596" max="13596" width="21.109375" style="175" customWidth="1"/>
    <col min="13597" max="13602" width="11.88671875" style="175" customWidth="1"/>
    <col min="13603" max="13603" width="15" style="175" customWidth="1"/>
    <col min="13604" max="13606" width="11.33203125" style="175" customWidth="1"/>
    <col min="13607" max="13607" width="14.44140625" style="175" customWidth="1"/>
    <col min="13608" max="13608" width="19.6640625" style="175" customWidth="1"/>
    <col min="13609" max="13609" width="11.33203125" style="175" customWidth="1"/>
    <col min="13610" max="13610" width="10.44140625" style="175" customWidth="1"/>
    <col min="13611" max="13611" width="14.5546875" style="175" customWidth="1"/>
    <col min="13612" max="13612" width="38" style="175" customWidth="1"/>
    <col min="13613" max="13613" width="34.88671875" style="175" customWidth="1"/>
    <col min="13614" max="13614" width="21.6640625" style="175" customWidth="1"/>
    <col min="13615" max="13615" width="9.6640625" style="175" customWidth="1"/>
    <col min="13616" max="13617" width="9.109375" style="175"/>
    <col min="13618" max="13618" width="14.33203125" style="175" customWidth="1"/>
    <col min="13619" max="13626" width="13" style="175" customWidth="1"/>
    <col min="13627" max="13627" width="11.33203125" style="175" customWidth="1"/>
    <col min="13628" max="13628" width="9.6640625" style="175" customWidth="1"/>
    <col min="13629" max="13629" width="24.88671875" style="175" customWidth="1"/>
    <col min="13630" max="13630" width="11.33203125" style="175" customWidth="1"/>
    <col min="13631" max="13631" width="15.33203125" style="175" customWidth="1"/>
    <col min="13632" max="13632" width="28.44140625" style="175" customWidth="1"/>
    <col min="13633" max="13634" width="11.33203125" style="175" customWidth="1"/>
    <col min="13635" max="13635" width="15.88671875" style="175" customWidth="1"/>
    <col min="13636" max="13636" width="38" style="175" customWidth="1"/>
    <col min="13637" max="13637" width="34.5546875" style="175" customWidth="1"/>
    <col min="13638" max="13638" width="21.6640625" style="175" customWidth="1"/>
    <col min="13639" max="13639" width="12.5546875" style="175" customWidth="1"/>
    <col min="13640" max="13837" width="9.109375" style="175"/>
    <col min="13838" max="13839" width="24.5546875" style="175" customWidth="1"/>
    <col min="13840" max="13840" width="18.44140625" style="175" customWidth="1"/>
    <col min="13841" max="13841" width="13.6640625" style="175" customWidth="1"/>
    <col min="13842" max="13842" width="13.109375" style="175" customWidth="1"/>
    <col min="13843" max="13843" width="11.109375" style="175" customWidth="1"/>
    <col min="13844" max="13844" width="21.6640625" style="175" customWidth="1"/>
    <col min="13845" max="13845" width="16" style="175" customWidth="1"/>
    <col min="13846" max="13846" width="18.33203125" style="175" customWidth="1"/>
    <col min="13847" max="13847" width="22" style="175" customWidth="1"/>
    <col min="13848" max="13848" width="21.6640625" style="175" customWidth="1"/>
    <col min="13849" max="13849" width="13" style="175" customWidth="1"/>
    <col min="13850" max="13850" width="14.44140625" style="175" customWidth="1"/>
    <col min="13851" max="13851" width="17.88671875" style="175" customWidth="1"/>
    <col min="13852" max="13852" width="21.109375" style="175" customWidth="1"/>
    <col min="13853" max="13858" width="11.88671875" style="175" customWidth="1"/>
    <col min="13859" max="13859" width="15" style="175" customWidth="1"/>
    <col min="13860" max="13862" width="11.33203125" style="175" customWidth="1"/>
    <col min="13863" max="13863" width="14.44140625" style="175" customWidth="1"/>
    <col min="13864" max="13864" width="19.6640625" style="175" customWidth="1"/>
    <col min="13865" max="13865" width="11.33203125" style="175" customWidth="1"/>
    <col min="13866" max="13866" width="10.44140625" style="175" customWidth="1"/>
    <col min="13867" max="13867" width="14.5546875" style="175" customWidth="1"/>
    <col min="13868" max="13868" width="38" style="175" customWidth="1"/>
    <col min="13869" max="13869" width="34.88671875" style="175" customWidth="1"/>
    <col min="13870" max="13870" width="21.6640625" style="175" customWidth="1"/>
    <col min="13871" max="13871" width="9.6640625" style="175" customWidth="1"/>
    <col min="13872" max="13873" width="9.109375" style="175"/>
    <col min="13874" max="13874" width="14.33203125" style="175" customWidth="1"/>
    <col min="13875" max="13882" width="13" style="175" customWidth="1"/>
    <col min="13883" max="13883" width="11.33203125" style="175" customWidth="1"/>
    <col min="13884" max="13884" width="9.6640625" style="175" customWidth="1"/>
    <col min="13885" max="13885" width="24.88671875" style="175" customWidth="1"/>
    <col min="13886" max="13886" width="11.33203125" style="175" customWidth="1"/>
    <col min="13887" max="13887" width="15.33203125" style="175" customWidth="1"/>
    <col min="13888" max="13888" width="28.44140625" style="175" customWidth="1"/>
    <col min="13889" max="13890" width="11.33203125" style="175" customWidth="1"/>
    <col min="13891" max="13891" width="15.88671875" style="175" customWidth="1"/>
    <col min="13892" max="13892" width="38" style="175" customWidth="1"/>
    <col min="13893" max="13893" width="34.5546875" style="175" customWidth="1"/>
    <col min="13894" max="13894" width="21.6640625" style="175" customWidth="1"/>
    <col min="13895" max="13895" width="12.5546875" style="175" customWidth="1"/>
    <col min="13896" max="14093" width="9.109375" style="175"/>
    <col min="14094" max="14095" width="24.5546875" style="175" customWidth="1"/>
    <col min="14096" max="14096" width="18.44140625" style="175" customWidth="1"/>
    <col min="14097" max="14097" width="13.6640625" style="175" customWidth="1"/>
    <col min="14098" max="14098" width="13.109375" style="175" customWidth="1"/>
    <col min="14099" max="14099" width="11.109375" style="175" customWidth="1"/>
    <col min="14100" max="14100" width="21.6640625" style="175" customWidth="1"/>
    <col min="14101" max="14101" width="16" style="175" customWidth="1"/>
    <col min="14102" max="14102" width="18.33203125" style="175" customWidth="1"/>
    <col min="14103" max="14103" width="22" style="175" customWidth="1"/>
    <col min="14104" max="14104" width="21.6640625" style="175" customWidth="1"/>
    <col min="14105" max="14105" width="13" style="175" customWidth="1"/>
    <col min="14106" max="14106" width="14.44140625" style="175" customWidth="1"/>
    <col min="14107" max="14107" width="17.88671875" style="175" customWidth="1"/>
    <col min="14108" max="14108" width="21.109375" style="175" customWidth="1"/>
    <col min="14109" max="14114" width="11.88671875" style="175" customWidth="1"/>
    <col min="14115" max="14115" width="15" style="175" customWidth="1"/>
    <col min="14116" max="14118" width="11.33203125" style="175" customWidth="1"/>
    <col min="14119" max="14119" width="14.44140625" style="175" customWidth="1"/>
    <col min="14120" max="14120" width="19.6640625" style="175" customWidth="1"/>
    <col min="14121" max="14121" width="11.33203125" style="175" customWidth="1"/>
    <col min="14122" max="14122" width="10.44140625" style="175" customWidth="1"/>
    <col min="14123" max="14123" width="14.5546875" style="175" customWidth="1"/>
    <col min="14124" max="14124" width="38" style="175" customWidth="1"/>
    <col min="14125" max="14125" width="34.88671875" style="175" customWidth="1"/>
    <col min="14126" max="14126" width="21.6640625" style="175" customWidth="1"/>
    <col min="14127" max="14127" width="9.6640625" style="175" customWidth="1"/>
    <col min="14128" max="14129" width="9.109375" style="175"/>
    <col min="14130" max="14130" width="14.33203125" style="175" customWidth="1"/>
    <col min="14131" max="14138" width="13" style="175" customWidth="1"/>
    <col min="14139" max="14139" width="11.33203125" style="175" customWidth="1"/>
    <col min="14140" max="14140" width="9.6640625" style="175" customWidth="1"/>
    <col min="14141" max="14141" width="24.88671875" style="175" customWidth="1"/>
    <col min="14142" max="14142" width="11.33203125" style="175" customWidth="1"/>
    <col min="14143" max="14143" width="15.33203125" style="175" customWidth="1"/>
    <col min="14144" max="14144" width="28.44140625" style="175" customWidth="1"/>
    <col min="14145" max="14146" width="11.33203125" style="175" customWidth="1"/>
    <col min="14147" max="14147" width="15.88671875" style="175" customWidth="1"/>
    <col min="14148" max="14148" width="38" style="175" customWidth="1"/>
    <col min="14149" max="14149" width="34.5546875" style="175" customWidth="1"/>
    <col min="14150" max="14150" width="21.6640625" style="175" customWidth="1"/>
    <col min="14151" max="14151" width="12.5546875" style="175" customWidth="1"/>
    <col min="14152" max="14349" width="9.109375" style="175"/>
    <col min="14350" max="14351" width="24.5546875" style="175" customWidth="1"/>
    <col min="14352" max="14352" width="18.44140625" style="175" customWidth="1"/>
    <col min="14353" max="14353" width="13.6640625" style="175" customWidth="1"/>
    <col min="14354" max="14354" width="13.109375" style="175" customWidth="1"/>
    <col min="14355" max="14355" width="11.109375" style="175" customWidth="1"/>
    <col min="14356" max="14356" width="21.6640625" style="175" customWidth="1"/>
    <col min="14357" max="14357" width="16" style="175" customWidth="1"/>
    <col min="14358" max="14358" width="18.33203125" style="175" customWidth="1"/>
    <col min="14359" max="14359" width="22" style="175" customWidth="1"/>
    <col min="14360" max="14360" width="21.6640625" style="175" customWidth="1"/>
    <col min="14361" max="14361" width="13" style="175" customWidth="1"/>
    <col min="14362" max="14362" width="14.44140625" style="175" customWidth="1"/>
    <col min="14363" max="14363" width="17.88671875" style="175" customWidth="1"/>
    <col min="14364" max="14364" width="21.109375" style="175" customWidth="1"/>
    <col min="14365" max="14370" width="11.88671875" style="175" customWidth="1"/>
    <col min="14371" max="14371" width="15" style="175" customWidth="1"/>
    <col min="14372" max="14374" width="11.33203125" style="175" customWidth="1"/>
    <col min="14375" max="14375" width="14.44140625" style="175" customWidth="1"/>
    <col min="14376" max="14376" width="19.6640625" style="175" customWidth="1"/>
    <col min="14377" max="14377" width="11.33203125" style="175" customWidth="1"/>
    <col min="14378" max="14378" width="10.44140625" style="175" customWidth="1"/>
    <col min="14379" max="14379" width="14.5546875" style="175" customWidth="1"/>
    <col min="14380" max="14380" width="38" style="175" customWidth="1"/>
    <col min="14381" max="14381" width="34.88671875" style="175" customWidth="1"/>
    <col min="14382" max="14382" width="21.6640625" style="175" customWidth="1"/>
    <col min="14383" max="14383" width="9.6640625" style="175" customWidth="1"/>
    <col min="14384" max="14385" width="9.109375" style="175"/>
    <col min="14386" max="14386" width="14.33203125" style="175" customWidth="1"/>
    <col min="14387" max="14394" width="13" style="175" customWidth="1"/>
    <col min="14395" max="14395" width="11.33203125" style="175" customWidth="1"/>
    <col min="14396" max="14396" width="9.6640625" style="175" customWidth="1"/>
    <col min="14397" max="14397" width="24.88671875" style="175" customWidth="1"/>
    <col min="14398" max="14398" width="11.33203125" style="175" customWidth="1"/>
    <col min="14399" max="14399" width="15.33203125" style="175" customWidth="1"/>
    <col min="14400" max="14400" width="28.44140625" style="175" customWidth="1"/>
    <col min="14401" max="14402" width="11.33203125" style="175" customWidth="1"/>
    <col min="14403" max="14403" width="15.88671875" style="175" customWidth="1"/>
    <col min="14404" max="14404" width="38" style="175" customWidth="1"/>
    <col min="14405" max="14405" width="34.5546875" style="175" customWidth="1"/>
    <col min="14406" max="14406" width="21.6640625" style="175" customWidth="1"/>
    <col min="14407" max="14407" width="12.5546875" style="175" customWidth="1"/>
    <col min="14408" max="14605" width="9.109375" style="175"/>
    <col min="14606" max="14607" width="24.5546875" style="175" customWidth="1"/>
    <col min="14608" max="14608" width="18.44140625" style="175" customWidth="1"/>
    <col min="14609" max="14609" width="13.6640625" style="175" customWidth="1"/>
    <col min="14610" max="14610" width="13.109375" style="175" customWidth="1"/>
    <col min="14611" max="14611" width="11.109375" style="175" customWidth="1"/>
    <col min="14612" max="14612" width="21.6640625" style="175" customWidth="1"/>
    <col min="14613" max="14613" width="16" style="175" customWidth="1"/>
    <col min="14614" max="14614" width="18.33203125" style="175" customWidth="1"/>
    <col min="14615" max="14615" width="22" style="175" customWidth="1"/>
    <col min="14616" max="14616" width="21.6640625" style="175" customWidth="1"/>
    <col min="14617" max="14617" width="13" style="175" customWidth="1"/>
    <col min="14618" max="14618" width="14.44140625" style="175" customWidth="1"/>
    <col min="14619" max="14619" width="17.88671875" style="175" customWidth="1"/>
    <col min="14620" max="14620" width="21.109375" style="175" customWidth="1"/>
    <col min="14621" max="14626" width="11.88671875" style="175" customWidth="1"/>
    <col min="14627" max="14627" width="15" style="175" customWidth="1"/>
    <col min="14628" max="14630" width="11.33203125" style="175" customWidth="1"/>
    <col min="14631" max="14631" width="14.44140625" style="175" customWidth="1"/>
    <col min="14632" max="14632" width="19.6640625" style="175" customWidth="1"/>
    <col min="14633" max="14633" width="11.33203125" style="175" customWidth="1"/>
    <col min="14634" max="14634" width="10.44140625" style="175" customWidth="1"/>
    <col min="14635" max="14635" width="14.5546875" style="175" customWidth="1"/>
    <col min="14636" max="14636" width="38" style="175" customWidth="1"/>
    <col min="14637" max="14637" width="34.88671875" style="175" customWidth="1"/>
    <col min="14638" max="14638" width="21.6640625" style="175" customWidth="1"/>
    <col min="14639" max="14639" width="9.6640625" style="175" customWidth="1"/>
    <col min="14640" max="14641" width="9.109375" style="175"/>
    <col min="14642" max="14642" width="14.33203125" style="175" customWidth="1"/>
    <col min="14643" max="14650" width="13" style="175" customWidth="1"/>
    <col min="14651" max="14651" width="11.33203125" style="175" customWidth="1"/>
    <col min="14652" max="14652" width="9.6640625" style="175" customWidth="1"/>
    <col min="14653" max="14653" width="24.88671875" style="175" customWidth="1"/>
    <col min="14654" max="14654" width="11.33203125" style="175" customWidth="1"/>
    <col min="14655" max="14655" width="15.33203125" style="175" customWidth="1"/>
    <col min="14656" max="14656" width="28.44140625" style="175" customWidth="1"/>
    <col min="14657" max="14658" width="11.33203125" style="175" customWidth="1"/>
    <col min="14659" max="14659" width="15.88671875" style="175" customWidth="1"/>
    <col min="14660" max="14660" width="38" style="175" customWidth="1"/>
    <col min="14661" max="14661" width="34.5546875" style="175" customWidth="1"/>
    <col min="14662" max="14662" width="21.6640625" style="175" customWidth="1"/>
    <col min="14663" max="14663" width="12.5546875" style="175" customWidth="1"/>
    <col min="14664" max="14861" width="9.109375" style="175"/>
    <col min="14862" max="14863" width="24.5546875" style="175" customWidth="1"/>
    <col min="14864" max="14864" width="18.44140625" style="175" customWidth="1"/>
    <col min="14865" max="14865" width="13.6640625" style="175" customWidth="1"/>
    <col min="14866" max="14866" width="13.109375" style="175" customWidth="1"/>
    <col min="14867" max="14867" width="11.109375" style="175" customWidth="1"/>
    <col min="14868" max="14868" width="21.6640625" style="175" customWidth="1"/>
    <col min="14869" max="14869" width="16" style="175" customWidth="1"/>
    <col min="14870" max="14870" width="18.33203125" style="175" customWidth="1"/>
    <col min="14871" max="14871" width="22" style="175" customWidth="1"/>
    <col min="14872" max="14872" width="21.6640625" style="175" customWidth="1"/>
    <col min="14873" max="14873" width="13" style="175" customWidth="1"/>
    <col min="14874" max="14874" width="14.44140625" style="175" customWidth="1"/>
    <col min="14875" max="14875" width="17.88671875" style="175" customWidth="1"/>
    <col min="14876" max="14876" width="21.109375" style="175" customWidth="1"/>
    <col min="14877" max="14882" width="11.88671875" style="175" customWidth="1"/>
    <col min="14883" max="14883" width="15" style="175" customWidth="1"/>
    <col min="14884" max="14886" width="11.33203125" style="175" customWidth="1"/>
    <col min="14887" max="14887" width="14.44140625" style="175" customWidth="1"/>
    <col min="14888" max="14888" width="19.6640625" style="175" customWidth="1"/>
    <col min="14889" max="14889" width="11.33203125" style="175" customWidth="1"/>
    <col min="14890" max="14890" width="10.44140625" style="175" customWidth="1"/>
    <col min="14891" max="14891" width="14.5546875" style="175" customWidth="1"/>
    <col min="14892" max="14892" width="38" style="175" customWidth="1"/>
    <col min="14893" max="14893" width="34.88671875" style="175" customWidth="1"/>
    <col min="14894" max="14894" width="21.6640625" style="175" customWidth="1"/>
    <col min="14895" max="14895" width="9.6640625" style="175" customWidth="1"/>
    <col min="14896" max="14897" width="9.109375" style="175"/>
    <col min="14898" max="14898" width="14.33203125" style="175" customWidth="1"/>
    <col min="14899" max="14906" width="13" style="175" customWidth="1"/>
    <col min="14907" max="14907" width="11.33203125" style="175" customWidth="1"/>
    <col min="14908" max="14908" width="9.6640625" style="175" customWidth="1"/>
    <col min="14909" max="14909" width="24.88671875" style="175" customWidth="1"/>
    <col min="14910" max="14910" width="11.33203125" style="175" customWidth="1"/>
    <col min="14911" max="14911" width="15.33203125" style="175" customWidth="1"/>
    <col min="14912" max="14912" width="28.44140625" style="175" customWidth="1"/>
    <col min="14913" max="14914" width="11.33203125" style="175" customWidth="1"/>
    <col min="14915" max="14915" width="15.88671875" style="175" customWidth="1"/>
    <col min="14916" max="14916" width="38" style="175" customWidth="1"/>
    <col min="14917" max="14917" width="34.5546875" style="175" customWidth="1"/>
    <col min="14918" max="14918" width="21.6640625" style="175" customWidth="1"/>
    <col min="14919" max="14919" width="12.5546875" style="175" customWidth="1"/>
    <col min="14920" max="15117" width="9.109375" style="175"/>
    <col min="15118" max="15119" width="24.5546875" style="175" customWidth="1"/>
    <col min="15120" max="15120" width="18.44140625" style="175" customWidth="1"/>
    <col min="15121" max="15121" width="13.6640625" style="175" customWidth="1"/>
    <col min="15122" max="15122" width="13.109375" style="175" customWidth="1"/>
    <col min="15123" max="15123" width="11.109375" style="175" customWidth="1"/>
    <col min="15124" max="15124" width="21.6640625" style="175" customWidth="1"/>
    <col min="15125" max="15125" width="16" style="175" customWidth="1"/>
    <col min="15126" max="15126" width="18.33203125" style="175" customWidth="1"/>
    <col min="15127" max="15127" width="22" style="175" customWidth="1"/>
    <col min="15128" max="15128" width="21.6640625" style="175" customWidth="1"/>
    <col min="15129" max="15129" width="13" style="175" customWidth="1"/>
    <col min="15130" max="15130" width="14.44140625" style="175" customWidth="1"/>
    <col min="15131" max="15131" width="17.88671875" style="175" customWidth="1"/>
    <col min="15132" max="15132" width="21.109375" style="175" customWidth="1"/>
    <col min="15133" max="15138" width="11.88671875" style="175" customWidth="1"/>
    <col min="15139" max="15139" width="15" style="175" customWidth="1"/>
    <col min="15140" max="15142" width="11.33203125" style="175" customWidth="1"/>
    <col min="15143" max="15143" width="14.44140625" style="175" customWidth="1"/>
    <col min="15144" max="15144" width="19.6640625" style="175" customWidth="1"/>
    <col min="15145" max="15145" width="11.33203125" style="175" customWidth="1"/>
    <col min="15146" max="15146" width="10.44140625" style="175" customWidth="1"/>
    <col min="15147" max="15147" width="14.5546875" style="175" customWidth="1"/>
    <col min="15148" max="15148" width="38" style="175" customWidth="1"/>
    <col min="15149" max="15149" width="34.88671875" style="175" customWidth="1"/>
    <col min="15150" max="15150" width="21.6640625" style="175" customWidth="1"/>
    <col min="15151" max="15151" width="9.6640625" style="175" customWidth="1"/>
    <col min="15152" max="15153" width="9.109375" style="175"/>
    <col min="15154" max="15154" width="14.33203125" style="175" customWidth="1"/>
    <col min="15155" max="15162" width="13" style="175" customWidth="1"/>
    <col min="15163" max="15163" width="11.33203125" style="175" customWidth="1"/>
    <col min="15164" max="15164" width="9.6640625" style="175" customWidth="1"/>
    <col min="15165" max="15165" width="24.88671875" style="175" customWidth="1"/>
    <col min="15166" max="15166" width="11.33203125" style="175" customWidth="1"/>
    <col min="15167" max="15167" width="15.33203125" style="175" customWidth="1"/>
    <col min="15168" max="15168" width="28.44140625" style="175" customWidth="1"/>
    <col min="15169" max="15170" width="11.33203125" style="175" customWidth="1"/>
    <col min="15171" max="15171" width="15.88671875" style="175" customWidth="1"/>
    <col min="15172" max="15172" width="38" style="175" customWidth="1"/>
    <col min="15173" max="15173" width="34.5546875" style="175" customWidth="1"/>
    <col min="15174" max="15174" width="21.6640625" style="175" customWidth="1"/>
    <col min="15175" max="15175" width="12.5546875" style="175" customWidth="1"/>
    <col min="15176" max="15373" width="9.109375" style="175"/>
    <col min="15374" max="15375" width="24.5546875" style="175" customWidth="1"/>
    <col min="15376" max="15376" width="18.44140625" style="175" customWidth="1"/>
    <col min="15377" max="15377" width="13.6640625" style="175" customWidth="1"/>
    <col min="15378" max="15378" width="13.109375" style="175" customWidth="1"/>
    <col min="15379" max="15379" width="11.109375" style="175" customWidth="1"/>
    <col min="15380" max="15380" width="21.6640625" style="175" customWidth="1"/>
    <col min="15381" max="15381" width="16" style="175" customWidth="1"/>
    <col min="15382" max="15382" width="18.33203125" style="175" customWidth="1"/>
    <col min="15383" max="15383" width="22" style="175" customWidth="1"/>
    <col min="15384" max="15384" width="21.6640625" style="175" customWidth="1"/>
    <col min="15385" max="15385" width="13" style="175" customWidth="1"/>
    <col min="15386" max="15386" width="14.44140625" style="175" customWidth="1"/>
    <col min="15387" max="15387" width="17.88671875" style="175" customWidth="1"/>
    <col min="15388" max="15388" width="21.109375" style="175" customWidth="1"/>
    <col min="15389" max="15394" width="11.88671875" style="175" customWidth="1"/>
    <col min="15395" max="15395" width="15" style="175" customWidth="1"/>
    <col min="15396" max="15398" width="11.33203125" style="175" customWidth="1"/>
    <col min="15399" max="15399" width="14.44140625" style="175" customWidth="1"/>
    <col min="15400" max="15400" width="19.6640625" style="175" customWidth="1"/>
    <col min="15401" max="15401" width="11.33203125" style="175" customWidth="1"/>
    <col min="15402" max="15402" width="10.44140625" style="175" customWidth="1"/>
    <col min="15403" max="15403" width="14.5546875" style="175" customWidth="1"/>
    <col min="15404" max="15404" width="38" style="175" customWidth="1"/>
    <col min="15405" max="15405" width="34.88671875" style="175" customWidth="1"/>
    <col min="15406" max="15406" width="21.6640625" style="175" customWidth="1"/>
    <col min="15407" max="15407" width="9.6640625" style="175" customWidth="1"/>
    <col min="15408" max="15409" width="9.109375" style="175"/>
    <col min="15410" max="15410" width="14.33203125" style="175" customWidth="1"/>
    <col min="15411" max="15418" width="13" style="175" customWidth="1"/>
    <col min="15419" max="15419" width="11.33203125" style="175" customWidth="1"/>
    <col min="15420" max="15420" width="9.6640625" style="175" customWidth="1"/>
    <col min="15421" max="15421" width="24.88671875" style="175" customWidth="1"/>
    <col min="15422" max="15422" width="11.33203125" style="175" customWidth="1"/>
    <col min="15423" max="15423" width="15.33203125" style="175" customWidth="1"/>
    <col min="15424" max="15424" width="28.44140625" style="175" customWidth="1"/>
    <col min="15425" max="15426" width="11.33203125" style="175" customWidth="1"/>
    <col min="15427" max="15427" width="15.88671875" style="175" customWidth="1"/>
    <col min="15428" max="15428" width="38" style="175" customWidth="1"/>
    <col min="15429" max="15429" width="34.5546875" style="175" customWidth="1"/>
    <col min="15430" max="15430" width="21.6640625" style="175" customWidth="1"/>
    <col min="15431" max="15431" width="12.5546875" style="175" customWidth="1"/>
    <col min="15432" max="15629" width="9.109375" style="175"/>
    <col min="15630" max="15631" width="24.5546875" style="175" customWidth="1"/>
    <col min="15632" max="15632" width="18.44140625" style="175" customWidth="1"/>
    <col min="15633" max="15633" width="13.6640625" style="175" customWidth="1"/>
    <col min="15634" max="15634" width="13.109375" style="175" customWidth="1"/>
    <col min="15635" max="15635" width="11.109375" style="175" customWidth="1"/>
    <col min="15636" max="15636" width="21.6640625" style="175" customWidth="1"/>
    <col min="15637" max="15637" width="16" style="175" customWidth="1"/>
    <col min="15638" max="15638" width="18.33203125" style="175" customWidth="1"/>
    <col min="15639" max="15639" width="22" style="175" customWidth="1"/>
    <col min="15640" max="15640" width="21.6640625" style="175" customWidth="1"/>
    <col min="15641" max="15641" width="13" style="175" customWidth="1"/>
    <col min="15642" max="15642" width="14.44140625" style="175" customWidth="1"/>
    <col min="15643" max="15643" width="17.88671875" style="175" customWidth="1"/>
    <col min="15644" max="15644" width="21.109375" style="175" customWidth="1"/>
    <col min="15645" max="15650" width="11.88671875" style="175" customWidth="1"/>
    <col min="15651" max="15651" width="15" style="175" customWidth="1"/>
    <col min="15652" max="15654" width="11.33203125" style="175" customWidth="1"/>
    <col min="15655" max="15655" width="14.44140625" style="175" customWidth="1"/>
    <col min="15656" max="15656" width="19.6640625" style="175" customWidth="1"/>
    <col min="15657" max="15657" width="11.33203125" style="175" customWidth="1"/>
    <col min="15658" max="15658" width="10.44140625" style="175" customWidth="1"/>
    <col min="15659" max="15659" width="14.5546875" style="175" customWidth="1"/>
    <col min="15660" max="15660" width="38" style="175" customWidth="1"/>
    <col min="15661" max="15661" width="34.88671875" style="175" customWidth="1"/>
    <col min="15662" max="15662" width="21.6640625" style="175" customWidth="1"/>
    <col min="15663" max="15663" width="9.6640625" style="175" customWidth="1"/>
    <col min="15664" max="15665" width="9.109375" style="175"/>
    <col min="15666" max="15666" width="14.33203125" style="175" customWidth="1"/>
    <col min="15667" max="15674" width="13" style="175" customWidth="1"/>
    <col min="15675" max="15675" width="11.33203125" style="175" customWidth="1"/>
    <col min="15676" max="15676" width="9.6640625" style="175" customWidth="1"/>
    <col min="15677" max="15677" width="24.88671875" style="175" customWidth="1"/>
    <col min="15678" max="15678" width="11.33203125" style="175" customWidth="1"/>
    <col min="15679" max="15679" width="15.33203125" style="175" customWidth="1"/>
    <col min="15680" max="15680" width="28.44140625" style="175" customWidth="1"/>
    <col min="15681" max="15682" width="11.33203125" style="175" customWidth="1"/>
    <col min="15683" max="15683" width="15.88671875" style="175" customWidth="1"/>
    <col min="15684" max="15684" width="38" style="175" customWidth="1"/>
    <col min="15685" max="15685" width="34.5546875" style="175" customWidth="1"/>
    <col min="15686" max="15686" width="21.6640625" style="175" customWidth="1"/>
    <col min="15687" max="15687" width="12.5546875" style="175" customWidth="1"/>
    <col min="15688" max="15885" width="9.109375" style="175"/>
    <col min="15886" max="15887" width="24.5546875" style="175" customWidth="1"/>
    <col min="15888" max="15888" width="18.44140625" style="175" customWidth="1"/>
    <col min="15889" max="15889" width="13.6640625" style="175" customWidth="1"/>
    <col min="15890" max="15890" width="13.109375" style="175" customWidth="1"/>
    <col min="15891" max="15891" width="11.109375" style="175" customWidth="1"/>
    <col min="15892" max="15892" width="21.6640625" style="175" customWidth="1"/>
    <col min="15893" max="15893" width="16" style="175" customWidth="1"/>
    <col min="15894" max="15894" width="18.33203125" style="175" customWidth="1"/>
    <col min="15895" max="15895" width="22" style="175" customWidth="1"/>
    <col min="15896" max="15896" width="21.6640625" style="175" customWidth="1"/>
    <col min="15897" max="15897" width="13" style="175" customWidth="1"/>
    <col min="15898" max="15898" width="14.44140625" style="175" customWidth="1"/>
    <col min="15899" max="15899" width="17.88671875" style="175" customWidth="1"/>
    <col min="15900" max="15900" width="21.109375" style="175" customWidth="1"/>
    <col min="15901" max="15906" width="11.88671875" style="175" customWidth="1"/>
    <col min="15907" max="15907" width="15" style="175" customWidth="1"/>
    <col min="15908" max="15910" width="11.33203125" style="175" customWidth="1"/>
    <col min="15911" max="15911" width="14.44140625" style="175" customWidth="1"/>
    <col min="15912" max="15912" width="19.6640625" style="175" customWidth="1"/>
    <col min="15913" max="15913" width="11.33203125" style="175" customWidth="1"/>
    <col min="15914" max="15914" width="10.44140625" style="175" customWidth="1"/>
    <col min="15915" max="15915" width="14.5546875" style="175" customWidth="1"/>
    <col min="15916" max="15916" width="38" style="175" customWidth="1"/>
    <col min="15917" max="15917" width="34.88671875" style="175" customWidth="1"/>
    <col min="15918" max="15918" width="21.6640625" style="175" customWidth="1"/>
    <col min="15919" max="15919" width="9.6640625" style="175" customWidth="1"/>
    <col min="15920" max="15921" width="9.109375" style="175"/>
    <col min="15922" max="15922" width="14.33203125" style="175" customWidth="1"/>
    <col min="15923" max="15930" width="13" style="175" customWidth="1"/>
    <col min="15931" max="15931" width="11.33203125" style="175" customWidth="1"/>
    <col min="15932" max="15932" width="9.6640625" style="175" customWidth="1"/>
    <col min="15933" max="15933" width="24.88671875" style="175" customWidth="1"/>
    <col min="15934" max="15934" width="11.33203125" style="175" customWidth="1"/>
    <col min="15935" max="15935" width="15.33203125" style="175" customWidth="1"/>
    <col min="15936" max="15936" width="28.44140625" style="175" customWidth="1"/>
    <col min="15937" max="15938" width="11.33203125" style="175" customWidth="1"/>
    <col min="15939" max="15939" width="15.88671875" style="175" customWidth="1"/>
    <col min="15940" max="15940" width="38" style="175" customWidth="1"/>
    <col min="15941" max="15941" width="34.5546875" style="175" customWidth="1"/>
    <col min="15942" max="15942" width="21.6640625" style="175" customWidth="1"/>
    <col min="15943" max="15943" width="12.5546875" style="175" customWidth="1"/>
    <col min="15944" max="16141" width="9.109375" style="175"/>
    <col min="16142" max="16143" width="24.5546875" style="175" customWidth="1"/>
    <col min="16144" max="16144" width="18.44140625" style="175" customWidth="1"/>
    <col min="16145" max="16145" width="13.6640625" style="175" customWidth="1"/>
    <col min="16146" max="16146" width="13.109375" style="175" customWidth="1"/>
    <col min="16147" max="16147" width="11.109375" style="175" customWidth="1"/>
    <col min="16148" max="16148" width="21.6640625" style="175" customWidth="1"/>
    <col min="16149" max="16149" width="16" style="175" customWidth="1"/>
    <col min="16150" max="16150" width="18.33203125" style="175" customWidth="1"/>
    <col min="16151" max="16151" width="22" style="175" customWidth="1"/>
    <col min="16152" max="16152" width="21.6640625" style="175" customWidth="1"/>
    <col min="16153" max="16153" width="13" style="175" customWidth="1"/>
    <col min="16154" max="16154" width="14.44140625" style="175" customWidth="1"/>
    <col min="16155" max="16155" width="17.88671875" style="175" customWidth="1"/>
    <col min="16156" max="16156" width="21.109375" style="175" customWidth="1"/>
    <col min="16157" max="16162" width="11.88671875" style="175" customWidth="1"/>
    <col min="16163" max="16163" width="15" style="175" customWidth="1"/>
    <col min="16164" max="16166" width="11.33203125" style="175" customWidth="1"/>
    <col min="16167" max="16167" width="14.44140625" style="175" customWidth="1"/>
    <col min="16168" max="16168" width="19.6640625" style="175" customWidth="1"/>
    <col min="16169" max="16169" width="11.33203125" style="175" customWidth="1"/>
    <col min="16170" max="16170" width="10.44140625" style="175" customWidth="1"/>
    <col min="16171" max="16171" width="14.5546875" style="175" customWidth="1"/>
    <col min="16172" max="16172" width="38" style="175" customWidth="1"/>
    <col min="16173" max="16173" width="34.88671875" style="175" customWidth="1"/>
    <col min="16174" max="16174" width="21.6640625" style="175" customWidth="1"/>
    <col min="16175" max="16175" width="9.6640625" style="175" customWidth="1"/>
    <col min="16176" max="16177" width="9.109375" style="175"/>
    <col min="16178" max="16178" width="14.33203125" style="175" customWidth="1"/>
    <col min="16179" max="16186" width="13" style="175" customWidth="1"/>
    <col min="16187" max="16187" width="11.33203125" style="175" customWidth="1"/>
    <col min="16188" max="16188" width="9.6640625" style="175" customWidth="1"/>
    <col min="16189" max="16189" width="24.88671875" style="175" customWidth="1"/>
    <col min="16190" max="16190" width="11.33203125" style="175" customWidth="1"/>
    <col min="16191" max="16191" width="15.33203125" style="175" customWidth="1"/>
    <col min="16192" max="16192" width="28.44140625" style="175" customWidth="1"/>
    <col min="16193" max="16194" width="11.33203125" style="175" customWidth="1"/>
    <col min="16195" max="16195" width="15.88671875" style="175" customWidth="1"/>
    <col min="16196" max="16196" width="38" style="175" customWidth="1"/>
    <col min="16197" max="16197" width="34.5546875" style="175" customWidth="1"/>
    <col min="16198" max="16198" width="21.6640625" style="175" customWidth="1"/>
    <col min="16199" max="16199" width="12.5546875" style="175" customWidth="1"/>
    <col min="16200" max="16382" width="9.109375" style="175"/>
    <col min="16383" max="16384" width="9.109375" style="175" customWidth="1"/>
  </cols>
  <sheetData>
    <row r="1" spans="1:86" ht="39.9" customHeight="1" x14ac:dyDescent="0.3">
      <c r="A1" s="150" t="s">
        <v>180</v>
      </c>
      <c r="B1" s="213">
        <f>ROUND($V$33,0)</f>
        <v>3</v>
      </c>
      <c r="C1" s="183" t="s">
        <v>303</v>
      </c>
      <c r="D1" s="213">
        <f>ROUND($X$33,0)</f>
        <v>23</v>
      </c>
      <c r="E1" s="155"/>
      <c r="F1" s="155"/>
      <c r="G1" s="155"/>
      <c r="H1" s="213">
        <f>(D1-B1)</f>
        <v>20</v>
      </c>
      <c r="I1" s="150">
        <v>0.25</v>
      </c>
      <c r="J1" s="173">
        <v>1</v>
      </c>
      <c r="K1" s="199">
        <v>8.3333333333333329E-2</v>
      </c>
      <c r="L1" s="214" t="s">
        <v>769</v>
      </c>
      <c r="M1" s="216">
        <f>IF(ISERROR(IF(ROUNDDOWN(KURT($M$7:$M$30),0)&gt;0,1,0))," ",IF(ROUNDDOWN(KURT($M$7:$M$30),0)&gt;0,1,0))</f>
        <v>0</v>
      </c>
      <c r="N1" s="79" t="s">
        <v>1</v>
      </c>
      <c r="O1" s="79"/>
      <c r="P1" s="80" t="s">
        <v>2</v>
      </c>
      <c r="Q1" s="79"/>
      <c r="R1" s="81" t="s">
        <v>3</v>
      </c>
      <c r="S1" s="79" t="s">
        <v>4</v>
      </c>
      <c r="T1" s="82"/>
      <c r="U1" s="361" t="s">
        <v>725</v>
      </c>
      <c r="V1" s="301" t="s">
        <v>60</v>
      </c>
      <c r="W1" s="301"/>
      <c r="X1" s="302">
        <v>3</v>
      </c>
      <c r="Y1" s="302">
        <v>7</v>
      </c>
      <c r="Z1" s="302">
        <v>8</v>
      </c>
      <c r="AA1" s="302"/>
      <c r="AB1" s="174">
        <f>SUMIF($AA$7:$AA$30,"YES6",$AB$7:$AB$30)</f>
        <v>6.9036850204901079E-2</v>
      </c>
      <c r="AC1" s="343">
        <v>1</v>
      </c>
      <c r="AD1" s="343" t="e">
        <f>INDEX($L$7:$L$30,MATCH(AC1,$AC$7:$AC$30,0))</f>
        <v>#N/A</v>
      </c>
      <c r="AF1"/>
      <c r="AG1" s="370">
        <f>(AG5-AG3)/AG3</f>
        <v>0.15053213925269815</v>
      </c>
      <c r="AH1" s="370">
        <f t="shared" ref="AH1:AJ1" si="0">(AH5-AH3)/AH3</f>
        <v>0.6292194058773658</v>
      </c>
      <c r="AI1" s="370">
        <f t="shared" si="0"/>
        <v>6.7856274817143403E-2</v>
      </c>
      <c r="AJ1" s="370">
        <f t="shared" si="0"/>
        <v>0.39040678335395701</v>
      </c>
      <c r="AK1" s="370">
        <f>(AK5-AK3)/AK3</f>
        <v>0</v>
      </c>
      <c r="AL1" s="370">
        <f>SUM(AG1:AJ1)</f>
        <v>1.2380146033011643</v>
      </c>
      <c r="AM1" s="357">
        <f>LARGE($AR$2:$AT$2,1)</f>
        <v>0.23076923076923075</v>
      </c>
      <c r="AN1" s="357">
        <f>INDEX($AR$5:$AT$5,MATCH($AM$1,$AR$2:$AT$2,0))</f>
        <v>3</v>
      </c>
      <c r="AO1" s="357">
        <f>IF(SMALL($AR$5:$AT$5,1)&lt;&gt;0,SMALL($AR$5:$AT$5,1),IF(SMALL($AR$5:$AT$5,2)&lt;&gt;0,SMALL($AR$5:$AT$5,3),AN1))</f>
        <v>3</v>
      </c>
      <c r="AP1" s="382" t="str">
        <f>IF(AK5&gt;AK3,"yes AK5 is bigger AK3","NoAK5 is smaller AK3")</f>
        <v>NoAK5 is smaller AK3</v>
      </c>
      <c r="AQ1" s="383">
        <f>IF(AK5&gt;AK3,AK5-AK3,AK5-AK3)</f>
        <v>0</v>
      </c>
      <c r="AR1" s="382" t="str">
        <f>IFERROR(MODE(AQ2:AT2)," ")</f>
        <v xml:space="preserve"> </v>
      </c>
      <c r="AS1"/>
      <c r="AT1" t="s">
        <v>808</v>
      </c>
      <c r="AU1"/>
      <c r="AV1"/>
      <c r="AW1"/>
      <c r="AX1"/>
      <c r="AY1"/>
      <c r="AZ1"/>
      <c r="BA1" s="401">
        <v>0.248</v>
      </c>
      <c r="BB1" s="401">
        <v>0.56441447368421049</v>
      </c>
      <c r="BC1" s="401">
        <v>0.59578362573099419</v>
      </c>
      <c r="BD1" s="401">
        <v>0.62715277777777778</v>
      </c>
      <c r="BE1" s="401">
        <v>0.65852192982456137</v>
      </c>
      <c r="BF1" s="401">
        <v>0.68989108187134507</v>
      </c>
      <c r="BG1" s="401">
        <v>0.7</v>
      </c>
      <c r="BH1" s="401">
        <v>0.82</v>
      </c>
      <c r="BI1" s="401">
        <v>1</v>
      </c>
      <c r="BJ1" s="401">
        <v>1.1000000000000001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</row>
    <row r="2" spans="1:86" ht="39.9" customHeight="1" x14ac:dyDescent="0.3">
      <c r="A2" s="150" t="s">
        <v>181</v>
      </c>
      <c r="B2" s="213">
        <f>ROUND($V$34,0)</f>
        <v>6</v>
      </c>
      <c r="C2" s="183" t="s">
        <v>304</v>
      </c>
      <c r="D2" s="213">
        <f>ROUND($X$34,0)</f>
        <v>46</v>
      </c>
      <c r="E2" s="157"/>
      <c r="F2" s="157"/>
      <c r="G2" s="157"/>
      <c r="H2" s="213">
        <f t="shared" ref="H2:H3" si="1">(D2-B2)</f>
        <v>40</v>
      </c>
      <c r="I2" s="212">
        <v>22</v>
      </c>
      <c r="J2" s="173">
        <f>SUM(AB2:AB3)</f>
        <v>0.80729835631762681</v>
      </c>
      <c r="K2" s="371">
        <f>'Raw Data'!$B$38</f>
        <v>0</v>
      </c>
      <c r="L2" s="176">
        <v>0</v>
      </c>
      <c r="M2" s="216">
        <f>LARGE($M$7:$M$30,2)</f>
        <v>3</v>
      </c>
      <c r="N2" s="80">
        <f>SUM(N7:N47)</f>
        <v>39.608316566063046</v>
      </c>
      <c r="O2" s="85">
        <f>SUM(O7:O47)</f>
        <v>0.59604443240314275</v>
      </c>
      <c r="P2" s="86">
        <f>L3-P3</f>
        <v>43.083712909143657</v>
      </c>
      <c r="Q2" s="81"/>
      <c r="R2" s="81">
        <f>SUM(R17:R47)</f>
        <v>0</v>
      </c>
      <c r="S2" s="87">
        <f>AVERAGE(S7:S47)</f>
        <v>70.511974788708443</v>
      </c>
      <c r="T2" s="82"/>
      <c r="U2" s="213">
        <v>5</v>
      </c>
      <c r="V2" s="302">
        <v>641.45630438688795</v>
      </c>
      <c r="W2" s="302"/>
      <c r="X2" s="302">
        <v>3</v>
      </c>
      <c r="Y2" s="302">
        <v>7</v>
      </c>
      <c r="Z2" s="302">
        <v>8</v>
      </c>
      <c r="AA2" s="302"/>
      <c r="AB2" s="174">
        <f>SUMIF($AA$7:$AA$30,"YES2",$AB$7:$AB$30)</f>
        <v>0.57530708504084238</v>
      </c>
      <c r="AC2" s="343">
        <v>2</v>
      </c>
      <c r="AD2" s="343" t="e">
        <f>INDEX($L$7:$L$30,MATCH(AC2,$AC$7:$AC$30,0))</f>
        <v>#N/A</v>
      </c>
      <c r="AF2" s="262" t="str">
        <f>IF(AF3&gt;0,"SPIKE","Norm")</f>
        <v>SPIKE</v>
      </c>
      <c r="AG2" s="262" t="str">
        <f>IF(OR(AG5&gt;(AG3*1.5),AG5&lt;(AG3*-1.5)),"SPIKE","Norm")</f>
        <v>Norm</v>
      </c>
      <c r="AH2" s="262" t="str">
        <f>IF(OR(AH5&gt;(AH3*1.9),AH5&lt;(AH3*-1.9)),"SPIKE","Norm")</f>
        <v>Norm</v>
      </c>
      <c r="AI2" s="262" t="str">
        <f t="shared" ref="AI2" si="2">IF(OR(AI5&gt;(AI3*1.2),AI5&lt;(AI3*-1.2)),"SPIKE","Norm")</f>
        <v>Norm</v>
      </c>
      <c r="AJ2" s="262" t="str">
        <f>IF(OR(AJ5&gt;(AJ3*1.3),AJ5&lt;(AJ3*-1.3)),"SPIKE","Norm")</f>
        <v>SPIKE</v>
      </c>
      <c r="AK2" s="262" t="str">
        <f>IF(AK5&gt;(AK3*1.8),"SPIKE","Norm")</f>
        <v>Norm</v>
      </c>
      <c r="AL2" s="378" t="s">
        <v>221</v>
      </c>
      <c r="AM2" s="357">
        <f t="shared" ref="AM2:AQ2" si="3">IFERROR(AM4/AM5,0)</f>
        <v>0.78494623655913986</v>
      </c>
      <c r="AN2" s="357">
        <f t="shared" si="3"/>
        <v>2.7866666666666666</v>
      </c>
      <c r="AO2" s="357">
        <f t="shared" si="3"/>
        <v>0.20263157894736841</v>
      </c>
      <c r="AP2" s="357">
        <f t="shared" si="3"/>
        <v>0.10789473684210527</v>
      </c>
      <c r="AQ2" s="357">
        <f t="shared" si="3"/>
        <v>1.0041666666666667</v>
      </c>
      <c r="AR2" s="357">
        <f>IFERROR(AR4/AR5,0)</f>
        <v>8.130081300813009E-3</v>
      </c>
      <c r="AS2" s="357">
        <f t="shared" ref="AS2:AT2" si="4">IFERROR(AS4/AS5,0)</f>
        <v>0.13999999999999999</v>
      </c>
      <c r="AT2" s="357">
        <f t="shared" si="4"/>
        <v>0.23076923076923075</v>
      </c>
      <c r="AU2" t="s">
        <v>809</v>
      </c>
      <c r="AV2"/>
      <c r="AW2"/>
      <c r="AX2"/>
      <c r="AY2"/>
      <c r="AZ2"/>
      <c r="BA2" s="402">
        <v>5</v>
      </c>
      <c r="BB2" s="402">
        <v>3</v>
      </c>
      <c r="BC2" s="402">
        <v>3</v>
      </c>
      <c r="BD2" s="402">
        <v>3</v>
      </c>
      <c r="BE2" s="402">
        <v>3</v>
      </c>
      <c r="BF2" s="402">
        <v>4</v>
      </c>
      <c r="BG2" s="402">
        <v>3</v>
      </c>
      <c r="BH2" s="402">
        <v>5</v>
      </c>
      <c r="BI2" s="402">
        <v>3</v>
      </c>
      <c r="BJ2" s="402">
        <v>5</v>
      </c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</row>
    <row r="3" spans="1:86" ht="39.9" customHeight="1" x14ac:dyDescent="0.3">
      <c r="A3" s="183" t="s">
        <v>305</v>
      </c>
      <c r="B3" s="213">
        <f>ROUND($V$35,0)</f>
        <v>6</v>
      </c>
      <c r="C3" s="183" t="s">
        <v>306</v>
      </c>
      <c r="D3" s="213">
        <f>ROUND($X$35,0)</f>
        <v>662</v>
      </c>
      <c r="E3" s="78"/>
      <c r="F3" s="78"/>
      <c r="G3" s="78"/>
      <c r="H3" s="213">
        <f t="shared" si="1"/>
        <v>656</v>
      </c>
      <c r="I3" s="209">
        <f>IFERROR(H1/B1," ")</f>
        <v>6.666666666666667</v>
      </c>
      <c r="J3" s="173">
        <f>D32/B5</f>
        <v>1</v>
      </c>
      <c r="K3" s="214" t="str">
        <f xml:space="preserve">
IF($BC$36="KILL","KILL",
IF($C$5&lt;8,"KILL",
IF(AND($B$5&lt;1),"KILL",
IF($K$2&gt;0,"KILL",
IF(AND($L$6="OVERS",$K$4="TT"),"AMANDA",
IF(AND($L$6="OVERS",$I$3&gt;$I$1,$D$4&gt;=3),"AMANDA",
IF(AND($L$6="OVERS",$U$5&gt;4),"AMANDA",
IF(AND($L$6="OVERS",$U$5&gt;$I$1,$U$5&lt;4,J4="Covered"),"AMANDA",
"KILL"))))))))</f>
        <v>AMANDA</v>
      </c>
      <c r="L3" s="178">
        <v>46.245781874660899</v>
      </c>
      <c r="M3" s="216">
        <f>IF(ISERROR(IF(ROUNDDOWN(SKEW($M$7:$M$30),0)&gt;0,1,0))," ",IF(ROUNDDOWN(SKEW($M$7:$M$30),0)&gt;0,1,0))</f>
        <v>0</v>
      </c>
      <c r="N3" s="80" t="s">
        <v>7</v>
      </c>
      <c r="O3" s="80"/>
      <c r="P3" s="86">
        <f>$U$5</f>
        <v>3.1620689655172409</v>
      </c>
      <c r="Q3" s="89" t="str">
        <f>IF(S3&lt;0, "LAY","BET")</f>
        <v>BET</v>
      </c>
      <c r="R3" s="90" t="s">
        <v>6</v>
      </c>
      <c r="S3" s="89">
        <f>W5</f>
        <v>91.699999999999989</v>
      </c>
      <c r="T3" s="82"/>
      <c r="U3" s="213">
        <v>10</v>
      </c>
      <c r="V3" s="301"/>
      <c r="W3" s="301"/>
      <c r="X3" s="302"/>
      <c r="Y3" s="302"/>
      <c r="Z3" s="302"/>
      <c r="AA3" s="302"/>
      <c r="AB3" s="174">
        <f>SUMIF($AA$7:$AA$30,"YES3",$AB$7:$AB$30)</f>
        <v>0.23199127127678437</v>
      </c>
      <c r="AC3" s="343" t="s">
        <v>709</v>
      </c>
      <c r="AD3" s="343" t="str">
        <f>IFERROR(($AD1)*($AD2-1)/2," ")</f>
        <v xml:space="preserve"> </v>
      </c>
      <c r="AF3" s="364">
        <f>COUNT($AO$7:$AO$30)</f>
        <v>5</v>
      </c>
      <c r="AG3" s="174">
        <v>0.11341234083432669</v>
      </c>
      <c r="AH3" s="174">
        <v>1.1566486782192064E-2</v>
      </c>
      <c r="AI3" s="364">
        <v>1.3406848505518152</v>
      </c>
      <c r="AJ3" s="174">
        <v>7.09065003873387E-2</v>
      </c>
      <c r="AK3" s="174">
        <v>0.2112889670204342</v>
      </c>
      <c r="AL3" s="380">
        <v>5</v>
      </c>
      <c r="AM3" s="379">
        <v>0</v>
      </c>
      <c r="AN3" s="379">
        <v>1</v>
      </c>
      <c r="AO3" s="379">
        <v>2</v>
      </c>
      <c r="AP3" s="379">
        <v>3</v>
      </c>
      <c r="AQ3" s="379">
        <v>4</v>
      </c>
      <c r="AR3" s="379">
        <v>5</v>
      </c>
      <c r="AS3" s="379">
        <v>6</v>
      </c>
      <c r="AT3" s="379">
        <v>7</v>
      </c>
      <c r="AU3" s="379" t="s">
        <v>762</v>
      </c>
      <c r="AV3" s="379" t="s">
        <v>230</v>
      </c>
      <c r="AW3"/>
      <c r="AX3"/>
      <c r="AY3"/>
      <c r="AZ3"/>
      <c r="BA3" s="406">
        <v>0</v>
      </c>
      <c r="BB3" s="404">
        <v>1</v>
      </c>
      <c r="BC3" s="404">
        <v>2</v>
      </c>
      <c r="BD3" s="404">
        <v>3</v>
      </c>
      <c r="BE3" s="404">
        <v>4</v>
      </c>
      <c r="BF3" s="406">
        <v>5</v>
      </c>
      <c r="BG3" s="406">
        <v>6</v>
      </c>
      <c r="BH3" s="406">
        <v>7</v>
      </c>
      <c r="BI3" s="404">
        <v>8</v>
      </c>
      <c r="BJ3" s="406">
        <v>9</v>
      </c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</row>
    <row r="4" spans="1:86" ht="39.9" customHeight="1" x14ac:dyDescent="0.3">
      <c r="A4" s="183" t="s">
        <v>23</v>
      </c>
      <c r="B4" s="198">
        <f>IFERROR(AVERAGE($L$7:$L$30),0)</f>
        <v>16.366666666666667</v>
      </c>
      <c r="C4" s="177" t="s">
        <v>307</v>
      </c>
      <c r="D4" s="198">
        <f>MIN($BT$7:$BT$30)</f>
        <v>3</v>
      </c>
      <c r="E4" s="78"/>
      <c r="F4" s="78"/>
      <c r="G4" s="78"/>
      <c r="H4" s="323">
        <f>IFERROR(MEDIAN($BT$7:$BT$30),0)</f>
        <v>10.75</v>
      </c>
      <c r="I4" s="311" t="str">
        <f>IF(AND($AG$5&gt;$AH$5,$AR$33="small"),"NORMAL","NOTNORMAL")</f>
        <v>NOTNORMAL</v>
      </c>
      <c r="J4" s="173" t="str">
        <f xml:space="preserve">
IF(AND($K$6&gt;=0.05,$U$5&gt;=$I$1),"Covered","NIL")</f>
        <v>Covered</v>
      </c>
      <c r="K4" s="198" t="str">
        <f>IF('Raw Data'!$EV$43=2,"TT","SK")</f>
        <v>TT</v>
      </c>
      <c r="L4" s="163">
        <f>IFERROR(H4/$B$5,0)</f>
        <v>3.5833333333333335</v>
      </c>
      <c r="M4" s="216">
        <f>SMALL($M$7:$M$30,2)</f>
        <v>0</v>
      </c>
      <c r="N4" s="78" t="s">
        <v>192</v>
      </c>
      <c r="O4" s="92" t="s">
        <v>176</v>
      </c>
      <c r="P4" s="92" t="s">
        <v>171</v>
      </c>
      <c r="Q4" s="92" t="s">
        <v>174</v>
      </c>
      <c r="R4" s="93" t="s">
        <v>30</v>
      </c>
      <c r="S4" s="90" t="s">
        <v>194</v>
      </c>
      <c r="T4" s="82"/>
      <c r="U4" s="213">
        <v>50</v>
      </c>
      <c r="V4" s="302"/>
      <c r="W4" s="302"/>
      <c r="X4" s="302"/>
      <c r="Y4" s="302"/>
      <c r="Z4" s="302"/>
      <c r="AA4" s="302"/>
      <c r="AB4" s="174">
        <f>SUMIF($AA$7:$AA$30,"YES1",$AB$7:$AB$30)</f>
        <v>0.12366479347747224</v>
      </c>
      <c r="AC4" t="s">
        <v>721</v>
      </c>
      <c r="AD4" t="s">
        <v>722</v>
      </c>
      <c r="AE4" t="s">
        <v>214</v>
      </c>
      <c r="AF4" t="s">
        <v>723</v>
      </c>
      <c r="AG4" s="260" t="s">
        <v>728</v>
      </c>
      <c r="AH4" s="260" t="s">
        <v>736</v>
      </c>
      <c r="AI4" s="260" t="s">
        <v>737</v>
      </c>
      <c r="AJ4" s="260" t="s">
        <v>739</v>
      </c>
      <c r="AK4" s="260" t="s">
        <v>738</v>
      </c>
      <c r="AL4" s="380">
        <f>IFERROR(IF(AR1&lt;&gt;0,INDEX($AQ$3:$AT$3,MATCH($AM$1,$AQ$2:$AT$2,0)),INDEX($AQ$5:$AT$5,MATCH($AO$1,$AQ$3:$AT$3,0))),0)</f>
        <v>7</v>
      </c>
      <c r="AM4" s="357">
        <v>2.3548387096774195</v>
      </c>
      <c r="AN4" s="357">
        <v>2.7866666666666666</v>
      </c>
      <c r="AO4" s="357">
        <v>1.013157894736842</v>
      </c>
      <c r="AP4" s="357">
        <v>0.53947368421052633</v>
      </c>
      <c r="AQ4" s="357">
        <v>5.020833333333333</v>
      </c>
      <c r="AR4" s="357">
        <v>2.4390243902439025E-2</v>
      </c>
      <c r="AS4" s="357">
        <v>0.41999999999999993</v>
      </c>
      <c r="AT4" s="357">
        <v>0.69230769230769229</v>
      </c>
      <c r="AU4" s="357">
        <f>MEDIAN($AM$4:$AT$4)</f>
        <v>0.85273279352226716</v>
      </c>
      <c r="AV4" s="357">
        <f>AVERAGE($AM$4:$AT$4)</f>
        <v>1.6064585281043646</v>
      </c>
      <c r="AW4" t="s">
        <v>722</v>
      </c>
      <c r="AX4" s="240" t="s">
        <v>734</v>
      </c>
      <c r="AY4"/>
      <c r="AZ4"/>
      <c r="BA4" s="403" cm="1">
        <f t="array" ref="BA4">INDEX($BA$3:$BJ$3,MATCH(MIN(ABS($BA$2:$BJ$2-$BF$4)),ABS($BA$2:$BJ$2-$BF$4),0))</f>
        <v>5</v>
      </c>
      <c r="BB4" s="392">
        <f>ROUND(AC5/AB5,3)</f>
        <v>0.69799999999999995</v>
      </c>
      <c r="BC4" s="405" t="str">
        <f>IF(AND($BE$38="mean",$BH$38="SAME"),"ZONE","&lt;=K2")</f>
        <v>&lt;=K2</v>
      </c>
      <c r="BD4" s="402" t="str">
        <f>IFERROR(INDEX($BA$3:$BJ$3,MATCH($BE$4,$BA$2:$BJ$2,0)),"error")</f>
        <v>error</v>
      </c>
      <c r="BE4" s="403" cm="1">
        <f t="array" ref="BE4">INDEX($BA$3:$BJ$3,MATCH(MIN(ABS($BA$1:$BJ$1-$BB$4)),ABS($BA$1:$BJ$1-$BB$4),0))</f>
        <v>6</v>
      </c>
      <c r="BF4" s="400">
        <f>ABS($BK$47)</f>
        <v>4</v>
      </c>
      <c r="BG4" s="414" t="str">
        <f>$BE$38&amp;$BF$37&amp;$BH$38&amp;$BI$38</f>
        <v>meanSINGLEOPPOSWIDE</v>
      </c>
      <c r="BH4" s="284" t="str">
        <f xml:space="preserve">
IF(AND($BG$4="meanSINGLEOPPOSWIDE"),"BLUE",
IF(AND($BG$4="meanSINGLESAMENARROW"),"BLUE",
IF(AND($BG$4="meanNORMOPPOSWIDE"),"LITEGREEN",
IF(AND($BG$4="meanNORMSAMEWIDE"),"GREEN",
IF(AND($BG$4="meanNORMSAMENARROW"),"BROWN",
IF(AND($BG$4="meanNORMOPPOSNARROW"),"BROWN",
IF(AND($BG$4="times4NORMSAMEWIDE"),"ORANGE",
IF(AND($BG$4="times4NORMSAMENARROW"),"LITEBLUE",
IF(AND($BG$4="meanSINGLESAMEWIDE"),"LITEBLUE",
IF(AND($BG$4="times4SINGLESAMEWIDE"),"LITEBLUE",
IF(AND($BG$4="times4NORMOPPOSWIDE"),"TAN",
IF(AND($BG$4="times4SINGLEOPPOSWIDE"),"LITEBROWN",
IF(AND($BG$4="times4NORMOPPOSNARROW"),"BLUE",
IF(AND($BG$4="times4SINGLEOPPOSNARROW"),"BLUE",
IF(AND($BG$4="times4SINGLESAMENARROW"),"BLUE","EMPTY")))))))))))))))</f>
        <v>BLUE</v>
      </c>
      <c r="BI4"/>
      <c r="BJ4"/>
      <c r="BK4"/>
      <c r="BL4"/>
      <c r="BM4"/>
      <c r="BN4"/>
      <c r="BO4"/>
      <c r="BP4"/>
      <c r="BQ4"/>
      <c r="BR4" t="s">
        <v>252</v>
      </c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6" ht="24.9" customHeight="1" x14ac:dyDescent="0.3">
      <c r="A5" s="150" t="s">
        <v>29</v>
      </c>
      <c r="B5" s="184">
        <f>COUNTIF($A$7:$A$30,"YES")</f>
        <v>3</v>
      </c>
      <c r="C5" s="184">
        <f>24-COUNTIF(C7:C30," ")</f>
        <v>8</v>
      </c>
      <c r="D5" s="310">
        <f>B5/C5</f>
        <v>0.375</v>
      </c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 t="str">
        <f>X5</f>
        <v>CatRank</v>
      </c>
      <c r="M5" s="217" t="str">
        <f>IF($M$1&gt;0,COUNTIF($M$7:$M$30,"&gt;"&amp;$M$6)&amp;" "&amp;"&gt;mean",COUNTIF($M$7:$M$30,"&lt;="&amp;$M$6)&amp;" "&amp;"&lt;mean")</f>
        <v>3 &lt;mean</v>
      </c>
      <c r="N5" s="98"/>
      <c r="O5" s="99"/>
      <c r="P5" s="99"/>
      <c r="Q5" s="99"/>
      <c r="R5" s="99"/>
      <c r="S5" s="97"/>
      <c r="T5" s="82"/>
      <c r="U5" s="209">
        <f>IFERROR((V5-U6)/U6,0)</f>
        <v>3.1620689655172409</v>
      </c>
      <c r="V5" s="101">
        <f>MIN(V7:V30)</f>
        <v>120.69999999999999</v>
      </c>
      <c r="W5" s="191">
        <f>MIN(W7:W30)</f>
        <v>91.699999999999989</v>
      </c>
      <c r="X5" s="101" t="s">
        <v>279</v>
      </c>
      <c r="Y5" s="102" t="s">
        <v>280</v>
      </c>
      <c r="Z5" s="152" t="s">
        <v>264</v>
      </c>
      <c r="AA5" s="98"/>
      <c r="AB5" s="174">
        <f>AVERAGE(AB7:AB30)</f>
        <v>0.12499999999999999</v>
      </c>
      <c r="AC5" s="174">
        <f>MEDIAN(AB7:AB30)</f>
        <v>8.7311310553257249E-2</v>
      </c>
      <c r="AD5" s="174">
        <f>IFERROR(MODE(AB7:AB30),$AF$5)</f>
        <v>4.2737097745891142E-2</v>
      </c>
      <c r="AE5" s="174">
        <f>LARGE(AB7:AB30,1)</f>
        <v>0.29915968422123801</v>
      </c>
      <c r="AF5" s="174">
        <f>SMALL(AB7:AB30,1)</f>
        <v>3.8190597985689953E-2</v>
      </c>
      <c r="AG5" s="174">
        <f>_xlfn.STDEV.P(AF5,AE5)</f>
        <v>0.13048454311777402</v>
      </c>
      <c r="AH5" s="174">
        <f>_xlfn.STDEV.P(AB5:AC5)</f>
        <v>1.8844344723371358E-2</v>
      </c>
      <c r="AI5" s="364">
        <f>AB5/AC5</f>
        <v>1.43165873021404</v>
      </c>
      <c r="AJ5" s="174">
        <f>_xlfn.STDEV.P($AB$7:$AB$30)</f>
        <v>9.8588879122445711E-2</v>
      </c>
      <c r="AK5" s="174">
        <f>1-(AJ5/AB5)</f>
        <v>0.2112889670204342</v>
      </c>
      <c r="AL5" s="374">
        <v>3</v>
      </c>
      <c r="AM5" s="374">
        <f>$AJ$37</f>
        <v>3</v>
      </c>
      <c r="AN5" s="374">
        <f>$AJ$36</f>
        <v>1</v>
      </c>
      <c r="AO5" s="374">
        <f>$AJ$38</f>
        <v>5</v>
      </c>
      <c r="AP5" s="374">
        <f>$AJ$38</f>
        <v>5</v>
      </c>
      <c r="AQ5" s="374">
        <f>$AJ$40</f>
        <v>5</v>
      </c>
      <c r="AR5" s="374">
        <f>$BA$35</f>
        <v>3</v>
      </c>
      <c r="AS5" s="374">
        <f>$BB$35</f>
        <v>3</v>
      </c>
      <c r="AT5" s="374">
        <f>$AJ$41</f>
        <v>3</v>
      </c>
      <c r="AU5" s="390">
        <f>LastStart!$F$34</f>
        <v>16</v>
      </c>
      <c r="AV5"/>
      <c r="AW5" s="368" t="s">
        <v>734</v>
      </c>
      <c r="AX5" s="240" t="s">
        <v>735</v>
      </c>
      <c r="AY5"/>
      <c r="AZ5"/>
      <c r="BA5" s="373">
        <v>5</v>
      </c>
      <c r="BB5" s="373">
        <v>6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>
        <v>14</v>
      </c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</row>
    <row r="6" spans="1:86" ht="61.5" customHeight="1" x14ac:dyDescent="0.3">
      <c r="A6" s="342" t="str">
        <f>LastStart!$C$34</f>
        <v>Last Start Finish Position2</v>
      </c>
      <c r="B6" s="104" t="s">
        <v>142</v>
      </c>
      <c r="C6" s="384">
        <f>MIN($L$7:$L$30)</f>
        <v>7.1</v>
      </c>
      <c r="D6" s="197">
        <f>$D$39</f>
        <v>-9.8839615472912493E-2</v>
      </c>
      <c r="E6" s="194"/>
      <c r="F6" s="194"/>
      <c r="G6" s="194"/>
      <c r="H6" s="195" t="str">
        <f>IF(AND($H$40="SKEW",$D$41&lt;=0.99),D40,"TOP&amp;TAILS")</f>
        <v>TOP&amp;TAILS</v>
      </c>
      <c r="I6" s="195">
        <f>IF(AND($H$40="SKEW",$D$41&lt;=0.99),"SKEW WIN",D41)</f>
        <v>1.9727195187207414</v>
      </c>
      <c r="J6" s="197">
        <f>$D$38</f>
        <v>-1.3056957236057243</v>
      </c>
      <c r="K6" s="325">
        <f>$D$5*$U$5</f>
        <v>1.1857758620689653</v>
      </c>
      <c r="L6" s="418" t="str">
        <f xml:space="preserve">
IF(K2=1,"DUPLICATION",
IF(AND($U$5&gt;=$I$1),
"OVERS","UNDERS"))</f>
        <v>OVERS</v>
      </c>
      <c r="M6" s="218">
        <f>IF(ISERROR(MEDIAN(M7:M30))," ",AVERAGE(M7:M30))</f>
        <v>1.625</v>
      </c>
      <c r="N6" s="106" t="s">
        <v>8</v>
      </c>
      <c r="O6" s="106" t="s">
        <v>9</v>
      </c>
      <c r="P6" s="104" t="s">
        <v>10</v>
      </c>
      <c r="Q6" s="107" t="s">
        <v>11</v>
      </c>
      <c r="R6" s="107" t="s">
        <v>12</v>
      </c>
      <c r="S6" s="106" t="s">
        <v>13</v>
      </c>
      <c r="T6" s="82"/>
      <c r="U6" s="178">
        <f>SUM(U7:U30)</f>
        <v>29</v>
      </c>
      <c r="V6" s="108" t="s">
        <v>6</v>
      </c>
      <c r="W6" s="108" t="s">
        <v>196</v>
      </c>
      <c r="X6" s="108" t="s">
        <v>195</v>
      </c>
      <c r="Y6" s="153" t="s">
        <v>261</v>
      </c>
      <c r="Z6" s="108">
        <f>U5</f>
        <v>3.1620689655172409</v>
      </c>
      <c r="AA6" s="108" t="s">
        <v>265</v>
      </c>
      <c r="AB6" s="179" t="s">
        <v>278</v>
      </c>
      <c r="AC6" s="222" t="s">
        <v>218</v>
      </c>
      <c r="AD6" s="373" t="s">
        <v>785</v>
      </c>
      <c r="AE6" s="381">
        <v>7</v>
      </c>
      <c r="AF6" s="321" t="s">
        <v>598</v>
      </c>
      <c r="AG6" s="373" t="s">
        <v>711</v>
      </c>
      <c r="AH6" s="373" t="s">
        <v>786</v>
      </c>
      <c r="AI6" s="322" t="s">
        <v>603</v>
      </c>
      <c r="AJ6" s="322" t="s">
        <v>688</v>
      </c>
      <c r="AK6" s="373" t="s">
        <v>706</v>
      </c>
      <c r="AL6" s="373" t="s">
        <v>751</v>
      </c>
      <c r="AM6" s="373" t="s">
        <v>698</v>
      </c>
      <c r="AN6" s="322" t="s">
        <v>701</v>
      </c>
      <c r="AO6" s="373" t="s">
        <v>690</v>
      </c>
      <c r="AP6" s="373" t="s">
        <v>784</v>
      </c>
      <c r="AQ6" s="363" t="s">
        <v>750</v>
      </c>
      <c r="AR6" s="376" t="s">
        <v>765</v>
      </c>
      <c r="AS6" s="322" t="s">
        <v>720</v>
      </c>
      <c r="AT6" s="322" t="s">
        <v>719</v>
      </c>
      <c r="AU6" s="373" t="str">
        <f>LastStart!$C$34</f>
        <v>Last Start Finish Position2</v>
      </c>
      <c r="AV6" s="322">
        <f>COUNTIF($AV$7:$AV$30,"&lt;&gt;"&amp;" ")</f>
        <v>8</v>
      </c>
      <c r="AW6" s="375" t="s">
        <v>729</v>
      </c>
      <c r="AX6" s="322" t="s">
        <v>722</v>
      </c>
      <c r="AY6" s="322" t="s">
        <v>148</v>
      </c>
      <c r="AZ6" s="373">
        <f>IF($AC$5&gt;$AB$5,6,5)</f>
        <v>5</v>
      </c>
      <c r="BA6" s="373" t="s">
        <v>767</v>
      </c>
      <c r="BB6" s="373" t="s">
        <v>768</v>
      </c>
      <c r="BC6" s="411" t="str">
        <f>BC32&amp;" "&amp;BC33</f>
        <v xml:space="preserve">C  1J1, ,NC  2K2,times3, , ,C  5J1, , , , , , , , , , , , , , , , , , , , ,Dups 6n2 </v>
      </c>
      <c r="BD6" s="125" t="s">
        <v>787</v>
      </c>
      <c r="BE6" s="125" t="s">
        <v>831</v>
      </c>
      <c r="BF6" s="125" t="s">
        <v>788</v>
      </c>
      <c r="BG6" s="125" t="s">
        <v>697</v>
      </c>
      <c r="BH6" s="125" t="s">
        <v>791</v>
      </c>
      <c r="BI6" s="125" t="s">
        <v>834</v>
      </c>
      <c r="BJ6" s="125" t="s">
        <v>810</v>
      </c>
      <c r="BK6" s="125" t="s">
        <v>811</v>
      </c>
      <c r="BL6" s="125" t="s">
        <v>230</v>
      </c>
      <c r="BM6" s="125" t="s">
        <v>837</v>
      </c>
      <c r="BN6" s="125" t="s">
        <v>840</v>
      </c>
      <c r="BO6" s="125" t="s">
        <v>841</v>
      </c>
      <c r="BP6" s="125" t="s">
        <v>842</v>
      </c>
      <c r="BQ6" s="125" t="s">
        <v>843</v>
      </c>
      <c r="BR6" s="125" t="s">
        <v>851</v>
      </c>
      <c r="BS6" s="125" t="s">
        <v>852</v>
      </c>
      <c r="BT6" s="125" t="s">
        <v>820</v>
      </c>
      <c r="BU6" s="125" t="s">
        <v>855</v>
      </c>
      <c r="BV6" s="410" t="s">
        <v>830</v>
      </c>
      <c r="BW6" s="125" t="s">
        <v>824</v>
      </c>
      <c r="BX6" s="125" t="s">
        <v>825</v>
      </c>
      <c r="BY6" s="125" t="s">
        <v>826</v>
      </c>
      <c r="BZ6"/>
      <c r="CA6"/>
      <c r="CB6"/>
      <c r="CC6"/>
      <c r="CD6"/>
      <c r="CE6"/>
      <c r="CF6"/>
      <c r="CG6"/>
      <c r="CH6"/>
    </row>
    <row r="7" spans="1:86" ht="18.899999999999999" customHeight="1" x14ac:dyDescent="0.3">
      <c r="A7" s="208" t="str">
        <f>IF(AND(AR7&lt;&gt;" ",AW7&lt;&gt;" "),"YES"," ")</f>
        <v>YES</v>
      </c>
      <c r="B7" s="109">
        <v>1</v>
      </c>
      <c r="C7" s="111" t="str">
        <f>IFERROR(VLOOKUP(B7,'Raw Data'!$A$3:$EA$30,2,0)," ")</f>
        <v>I Do Care</v>
      </c>
      <c r="D7" s="200">
        <f>IF(C7=" "," ",VLOOKUP(B7,LastStart!$A$3:$AN$28,$AU$5,FALSE))</f>
        <v>1</v>
      </c>
      <c r="E7" s="111">
        <f>IF(ISERROR(STANDARDIZE(D7,D$33,D$36))," ",(STANDARDIZE(D7,D$33,D$36)))</f>
        <v>-1.1471385674583483</v>
      </c>
      <c r="F7" s="111">
        <f>IF(E7=" "," ",$E7-$D$38)</f>
        <v>0.15855715614737598</v>
      </c>
      <c r="G7" s="112">
        <f>IF(E7=" "," ",$E7-$D$39)</f>
        <v>-1.0482989519854358</v>
      </c>
      <c r="H7" s="113">
        <f>IF(F7&lt;&gt;" ",RANK(F7,F$7:F$30,1)," ")</f>
        <v>1</v>
      </c>
      <c r="I7" s="113">
        <f>IF(C7=" "," ",VLOOKUP(B7,LastStart!$A$3:$AN$28,40,FALSE))</f>
        <v>3</v>
      </c>
      <c r="J7" s="166">
        <f>IFERROR(RANK(D7,$D$7:$D$30,1),"")</f>
        <v>1</v>
      </c>
      <c r="K7" s="113">
        <f>IFERROR(RANK(AB7,$AB$7:$AB$30,0)," ")</f>
        <v>6</v>
      </c>
      <c r="L7" s="146">
        <f xml:space="preserve">
IF($A7=" "," ",
IF(AND($A7="YES",VLOOKUP($B7,'Raw Data'!$A$3:$W$30,'SPORTSBET FIXED ODDS FOR PARLAY'!$I$2,FALSE)&gt;0),VLOOKUP($B7,'Raw Data'!$A$3:$W$30,'SPORTSBET FIXED ODDS FOR PARLAY'!$I$2,FALSE),
" "))</f>
        <v>21</v>
      </c>
      <c r="M7" s="124">
        <f>IF(ISERROR((ROUNDDOWN(STDEV(J7:K7),0)))," ",(ROUNDDOWN(STDEV(J7:K7),0)))</f>
        <v>3</v>
      </c>
      <c r="N7" s="114">
        <f t="shared" ref="N7:N30" si="5">IF(ISERROR(100/L7),0,100/L7)</f>
        <v>4.7619047619047619</v>
      </c>
      <c r="O7" s="115">
        <f>IF(ISERROR(N7/$N$2)," ",(N7/$N$2))</f>
        <v>0.12022487130858846</v>
      </c>
      <c r="P7" s="114">
        <f>IF(ISERROR($L$2/L7),0,$L$2/L7)</f>
        <v>0</v>
      </c>
      <c r="Q7" s="116">
        <f>IF(ISERROR((L7*P7))," ",(L7*P7))</f>
        <v>0</v>
      </c>
      <c r="R7" s="116">
        <f>IF(ISERROR((O7*$L$3))," ",((O7*$L$3)))</f>
        <v>5.5598931744461595</v>
      </c>
      <c r="S7" s="117">
        <f>IF(ISERROR(IF(L7&gt;0,(R7*L7)-$L$3,0))," ",IF(L7&gt;0,(R7*L7)-$L$3,0))</f>
        <v>70.511974788708443</v>
      </c>
      <c r="T7" s="82"/>
      <c r="U7" s="118">
        <f>IF(R7&gt;0,ROUNDUP(R7,0)," ")</f>
        <v>6</v>
      </c>
      <c r="V7" s="119">
        <f>IF(ISERROR(U7*L7)," ",U7*L7)</f>
        <v>126</v>
      </c>
      <c r="W7" s="119">
        <f>IF(ISERROR(V7-$U$6)," ",V7-$U$6)</f>
        <v>97</v>
      </c>
      <c r="X7" s="120">
        <f>IF(ISERROR((V7-$U$6)/$U$6)," ",(V7-$U$6)/$U$6)</f>
        <v>3.3448275862068964</v>
      </c>
      <c r="Y7" s="152">
        <f>IF(D7=" "," ",IFERROR(VLOOKUP($B7,'Raw Data'!$A$3:$X$32,$I$2,0)," "))</f>
        <v>21</v>
      </c>
      <c r="Z7" s="233" t="str">
        <f>VLOOKUP(B7,'S31.ODDS'!$B$7:$Y$30,24,0)</f>
        <v>YES2</v>
      </c>
      <c r="AA7" s="119" t="str">
        <f>VLOOKUP(B7,'A1. PICKS'!$B$7:$Y$30,24,0)</f>
        <v>YES1</v>
      </c>
      <c r="AB7" s="174">
        <f>IF(ISERROR(VLOOKUP(B7,'Dashboard '!$A$3:$AF$26,32,FALSE))," ",VLOOKUP(B7,'Dashboard '!$A$3:$AF$26,32,FALSE))</f>
        <v>4.2737097745891142E-2</v>
      </c>
      <c r="AC7" s="343">
        <f>IFERROR(VLOOKUP(B7,Results!$A$3:$DY$29,129,FALSE)," ")</f>
        <v>0</v>
      </c>
      <c r="AD7" s="343">
        <f>IFERROR(VLOOKUP($B7,'cluster'!$A$20:$CI$45,87,0)," ")</f>
        <v>6</v>
      </c>
      <c r="AE7" s="343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>1</v>
      </c>
      <c r="AF7" s="343" t="str">
        <f>IF(A7="YES",$B7&amp;",","")</f>
        <v>1,</v>
      </c>
      <c r="AG7" s="367">
        <f>IF(ISERROR(VLOOKUP(B7,'Raw Data'!$A$3:$EA$29,131,FALSE))," ",VLOOKUP(B7,'Raw Data'!$A$3:$EA$29,131,FALSE))</f>
        <v>2</v>
      </c>
      <c r="AH7" s="343">
        <f>IF(C7=" "," ",IF(AND($BC$37&gt;=2,K7=$BC$36),$B7,IF(AND(K7=1),$B7,IF(AND(J7&lt;=3),$B7,IF(AND(AP7=$AP$32),$B7," ")))))</f>
        <v>1</v>
      </c>
      <c r="AI7" s="343" t="str">
        <f>IF(AND($AC7&lt;=3,$AC7&gt;0)," "&amp;$B7&amp;"("&amp;$AC7&amp;")"&amp;"i"&amp;I7&amp;","&amp;"J"&amp;J7&amp;","&amp;"K"&amp;K7&amp;" "&amp;",","")</f>
        <v/>
      </c>
      <c r="AJ7" s="343">
        <f>IF($C7=" "," ",IF(VLOOKUP($B7,'Raw Data'!$A$3:$EI$31,139,FALSE)=" "," ",IF(VLOOKUP($B7,'Raw Data'!$A$3:$EI$31,139,FALSE)&gt;0,VLOOKUP($B7,'Raw Data'!$A$3:$EI$31,139,FALSE)," ")))</f>
        <v>2</v>
      </c>
      <c r="AK7" s="393" t="str">
        <f>IF(AND(AJ7=1),$B7," ")</f>
        <v xml:space="preserve"> </v>
      </c>
      <c r="AL7" s="393">
        <f>IF(AND(AD7&lt;&gt;" "),$B7," ")</f>
        <v>1</v>
      </c>
      <c r="AM7" s="393" t="str">
        <f>IF(C7=" "," ",IF(AND(VLOOKUP($B7,'cluster'!$A$20:$DN$45,118,0)="NOW"),$B7," "))</f>
        <v xml:space="preserve"> </v>
      </c>
      <c r="AN7" s="343" t="str">
        <f>IF(AND($AC7&lt;=4,$AC7&gt;0),","&amp;" "&amp;$B7&amp;"("&amp;$AC7&amp;")","")</f>
        <v/>
      </c>
      <c r="AO7" s="393">
        <f>IF(AND(AJ7=1),B7,IF(AND(AD7&lt;=$AD$36,K7&gt;=$K$33),B7," "))</f>
        <v>1</v>
      </c>
      <c r="AP7" s="393">
        <f>IF(COUNTIF($AK7:$AO7,$B7)&gt;0,COUNTIF($AK7:$AO7,$B7)," ")</f>
        <v>2</v>
      </c>
      <c r="AQ7" s="343">
        <f>IFERROR(ROUND(AVERAGE(AJ7),0)," ")</f>
        <v>2</v>
      </c>
      <c r="AR7" s="360" t="str">
        <f xml:space="preserve">
IF(AND($I$4="NOTNORMAL",$D7&lt;&gt;" ",$AL$3=3,$AL7&lt;&gt;" "),$B7&amp;",",
IF(AND($I$4="NOTNORMAL",$D7&lt;&gt;" ",$AL$3=1,$AK7&lt;&gt;" "),$B7&amp;",",
IF(AND($I$4="NOTNORMAL",$D7&lt;&gt;" ",$AL$3=0,$AM7&lt;&gt;" "),$B7&amp;",",
IF(AND($I$4="NOTNORMAL",$D7&lt;&gt;" ",$AL$3=2,$AO7&lt;&gt;" "),$B7&amp;",",
IF(AND($I$4="NOTNORMAL",$D7&lt;&gt;" ",$AL$3=4,$AH7&lt;&gt;" "),$B7&amp;",",
IF(AND($I$4="NOTNORMAL",$D7&lt;&gt;" ",$AL$3=5,$BA7&lt;&gt;" "),$B7&amp;",",
IF(AND($I$4="NOTNORMAL",$D7&lt;&gt;" ",$AL$3=6,$BB7&lt;&gt;" "),$B7&amp;",",
IF(AND($I$4="NOTNORMAL",$D7&lt;&gt;" ",$AL$3=7,$AE7&lt;&gt;" "),$B7&amp;",",
" "))))))))</f>
        <v>1,</v>
      </c>
      <c r="AS7" s="343">
        <f>IFERROR(ABS(STANDARDIZE($AB7,$AB$5,$AJ$5))," ")</f>
        <v>0.83440346402498111</v>
      </c>
      <c r="AT7" s="343">
        <f>IFERROR(RANK(AS7,$AS$7:$AS$30,0)," ")</f>
        <v>4</v>
      </c>
      <c r="AU7" s="360">
        <f>IF(C7=" "," ",VLOOKUP(B7,LastStart!$A$3:$AI$28,$AU$5,FALSE))</f>
        <v>1</v>
      </c>
      <c r="AV7" s="343" t="str">
        <f t="shared" ref="AV7" si="6">IF(AR7&lt;&gt;" ","yes",IF(AU7&lt;&gt;" ","YES"," "))</f>
        <v>yes</v>
      </c>
      <c r="AW7" s="360" t="str">
        <f xml:space="preserve">
IF(AND($I$4="NOTNORMAL",$D7&lt;&gt;" ",$AL$3=3,$AL7&lt;&gt;" "),"88_AL_Cluster&lt;K35",
IF(AND($I$4="NOTNORMAL",$D7&lt;&gt;" ",$AL$3=1,$AK7&lt;&gt;" "),"88_AK_LC&lt;K35",
IF(AND($I$4="NOTNORMAL",$D7&lt;&gt;" ",$AL$3=0,$AM7&lt;&gt;" "),"88_AM_Now&gt;K35",
IF(AND($I$4="NOTNORMAL",$D7&lt;&gt;" ",$AL$3=2,$AO7&lt;&gt;" "),"88_AO_Watch&gt;K35",
IF(AND($I$4="NOTNORMAL",$D7&lt;&gt;" ",$AL$3=4,$AH7&lt;&gt;" "),"88_AH_Picks&gt;K35",
IF(AND($I$4="NOTNORMAL",$D7&lt;&gt;" ",$AL$3=5,$BA7&lt;&gt;" "),"ALT&lt;K35",
IF(AND($I$4="NOTNORMAL",$D7&lt;&gt;" ",$AL$3=6,$BB7&lt;&gt;" "),"Commons 1+3",
IF(AND($I$4="NOTNORMAL",$D7&lt;&gt;" ",$AL$3=7,$AE7&lt;&gt;" "),"ALT&gt;K35",
" "))))))))</f>
        <v>ALT&lt;K35</v>
      </c>
      <c r="AX7" s="343" t="str">
        <f>RIGHT(AW7,9)</f>
        <v>ALT&lt;K35</v>
      </c>
      <c r="AY7" s="343" t="str">
        <f>IF(AND($AC7&lt;=1,$AC7&gt;0),"$I"&amp;$I7&amp;"$K"&amp;$K7&amp;BG7&amp;"$J"&amp;J7,IF(AND($AC7&lt;=1,$AC7&gt;0,AX7&lt;&gt;" "),"$I"&amp;$I7&amp;"$K"&amp;$K7&amp;BG7&amp;"$J"&amp;J7,IF(AND($AC7&lt;=1,$AC7&gt;0),"$I"&amp;$I7&amp;"$K"&amp;$K7&amp;BG7&amp;"$J"&amp;J7," ")))</f>
        <v xml:space="preserve"> </v>
      </c>
      <c r="AZ7" s="343">
        <f>IF(C7=" "," ",IF(AND(K7&gt;$K$35,AT7&lt;=2),6,5))</f>
        <v>5</v>
      </c>
      <c r="BA7" s="360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>1</v>
      </c>
      <c r="BB7" s="360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>1</v>
      </c>
      <c r="BC7" s="412" t="str">
        <f>IF(C7=" "," ",IF(AND(AW7&lt;&gt;" ",K7&lt;=2),"C",IF(AND(AW7&lt;&gt;" ",J7&lt;=2),"C","NC")))</f>
        <v>C</v>
      </c>
      <c r="BD7" s="413" t="str">
        <f>IF($K7=1,$B7&amp;"K"&amp;K7&amp;BC7&amp;","&amp;BF7,IF($J7=1,$B7&amp;"J"&amp;J7&amp;BC7&amp;","&amp;BF7," "))</f>
        <v xml:space="preserve">1J1C, </v>
      </c>
      <c r="BE7" s="413" t="str">
        <f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f>
        <v xml:space="preserve">C  1J1, </v>
      </c>
      <c r="BF7" s="413" t="str">
        <f>IF(K7=2,"times3",IF(AP7=4,"times4",IF(AP7=3,"times3"," ")))</f>
        <v xml:space="preserve"> </v>
      </c>
      <c r="BG7" s="413" t="str">
        <f t="shared" ref="BG7:BG30" si="7">IF(AND($AM$37&lt;=0.65,AP7&lt;&gt;" ",AM7&lt;&gt;" "),"now"&amp;" "&amp;B7," ")</f>
        <v xml:space="preserve"> </v>
      </c>
      <c r="BH7" s="413" t="str">
        <f t="shared" ref="BH7:BH30" si="8">IF(BG7&lt;&gt;" ",1," ")</f>
        <v xml:space="preserve"> </v>
      </c>
      <c r="BI7" s="413" t="str">
        <f t="shared" ref="BI7:BI30" si="9">IF(C7=" "," ",IF(AND(K7&lt;=$K$37,BF7="times4"),1,IF(AND(K7&gt;$K$37,BF7="times4"),2,IF(AND(K7&gt;$BH$36),3," "))))</f>
        <v xml:space="preserve"> </v>
      </c>
      <c r="BJ7" s="413">
        <f t="shared" ref="BJ7:BJ30" si="10">IF(C7=" "," ",MEDIAN(I7:J7))</f>
        <v>2</v>
      </c>
      <c r="BK7" s="413">
        <f t="shared" ref="BK7:BK30" si="11">IF(AND(C7&lt;&gt;" ",BJ7&lt;=$BJ$34,$BN$38="NARROW"),1,IF(AND(I7&lt;=$I$38,$BN$38&lt;&gt;"NARROW"),1," "))</f>
        <v>1</v>
      </c>
      <c r="BL7" s="413">
        <f t="shared" ref="BL7:BL30" si="12">IF(C7=" "," ",IF(AND(K7&gt;($K$36-1),K7&lt;=$K$40+1),2," "))</f>
        <v>2</v>
      </c>
      <c r="BM7" s="413">
        <f t="shared" ref="BM7:BM30" si="13">IF(C7=" "," ",IF(AND(K7&gt;=$K$40),3," "))</f>
        <v>3</v>
      </c>
      <c r="BN7" s="413">
        <f t="shared" ref="BN7:BN30" si="14">IF(D7=" "," ",IF(AND(K7&lt;=($K$36+1)),1,IF(AND(BQ7=1,J7&lt;=2),1," ")))</f>
        <v>1</v>
      </c>
      <c r="BO7" s="413" t="str">
        <f t="shared" ref="BO7:BO30" si="15">IF(C7=" "," ",IF(AND(J7&gt;($J$36-1),J7&lt;=$J$40+1),2," "))</f>
        <v xml:space="preserve"> </v>
      </c>
      <c r="BP7" s="413" t="str">
        <f t="shared" ref="BP7:BP30" si="16">IF(C7=" "," ",IF(AND(J7&gt;=$J$40),3," "))</f>
        <v xml:space="preserve"> </v>
      </c>
      <c r="BQ7" s="413">
        <f>IF(C7=" "," ",IF(AND(J7&lt;=($J$36+1)),1," "))</f>
        <v>1</v>
      </c>
      <c r="BR7" s="413" t="str">
        <f>IF($AJ$37&lt;$BW$32,"NOW","PICK1")</f>
        <v>NOW</v>
      </c>
      <c r="BS7" s="413" t="str">
        <f>IF(Table7[[#This Row],[NOW vs PICK1]]="PICK1",Table7[[#This Row],[PICK 1]],Table7[[#This Row],[Now Count]])</f>
        <v xml:space="preserve"> </v>
      </c>
      <c r="BT7" s="413">
        <f>IFERROR(VLOOKUP($B7,'Raw Data'!$A$3:$W$30,'SPORTSBET FIXED ODDS FOR PARLAY'!$I$2,FALSE)," ")</f>
        <v>21</v>
      </c>
      <c r="BU7" s="413">
        <f t="shared" ref="BU7:BU30" si="17">IF(I7&lt;=$I$40,1," ")</f>
        <v>1</v>
      </c>
      <c r="BV7" s="413">
        <f>IF(C7=" "," ",K7/$C$5)</f>
        <v>0.75</v>
      </c>
      <c r="BW7" s="413">
        <f t="shared" ref="BW7:BW30" si="18">IF(AND(BV7&lt;&gt;" ",I7&lt;=$I$38,$K$4="TT"),1,IF(AND(BH7=1,$K$4&lt;&gt;"TT"),1,IF(AND(BV7&lt;&gt;" ",BV7&gt;$BV$33,BV7&lt;$BV$34,$K$4&lt;&gt;"TT"),1,IF(AND(BV7&gt;=$BV$32,BV7&lt;=$BV$34,$BN$38&lt;&gt;"WIDE",$K$4="TT"),1," "))))</f>
        <v>1</v>
      </c>
      <c r="BX7" s="413">
        <f t="shared" ref="BX7:BX30" si="19">IF(AND(BV7&gt;=$BV$32,BV7&lt;=$BV$34),2," ")</f>
        <v>2</v>
      </c>
      <c r="BY7" s="413">
        <f>IF(C7=" "," ",IF(AND(BV7&gt;=$BV$34),1,IF(AND($K$4="TT",$BN$38="NARROW",Table7[[#This Row],[J7-K7 Count]]=1),1," ")))</f>
        <v>1</v>
      </c>
      <c r="BZ7"/>
      <c r="CA7"/>
      <c r="CB7"/>
      <c r="CC7"/>
      <c r="CD7"/>
      <c r="CE7"/>
      <c r="CF7"/>
      <c r="CG7"/>
      <c r="CH7"/>
    </row>
    <row r="8" spans="1:86" ht="18.899999999999999" customHeight="1" x14ac:dyDescent="0.3">
      <c r="A8" s="208" t="str">
        <f t="shared" ref="A8:A30" si="20">IF(AND(AR8&lt;&gt;" ",AW8&lt;&gt;" "),"YES"," ")</f>
        <v xml:space="preserve"> </v>
      </c>
      <c r="B8" s="109">
        <v>2</v>
      </c>
      <c r="C8" s="111" t="str">
        <f>IFERROR(VLOOKUP(B8,'Raw Data'!$A$3:$EA$30,2,0)," ")</f>
        <v>Brave Dazzler</v>
      </c>
      <c r="D8" s="200">
        <f>IF(C8=" "," ",VLOOKUP(B8,LastStart!$A$3:$AI$28,$AU$5,FALSE))</f>
        <v>5</v>
      </c>
      <c r="E8" s="111">
        <f t="shared" ref="E8:E30" si="21">IF(ISERROR(STANDARDIZE(D8,D$33,D$36))," ",(STANDARDIZE(D8,D$33,D$36)))</f>
        <v>0.38237952248611612</v>
      </c>
      <c r="F8" s="111">
        <f t="shared" ref="F8:F30" si="22">IF(E8=" "," ",$E8-$D$38)</f>
        <v>1.6880752460918405</v>
      </c>
      <c r="G8" s="112">
        <f t="shared" ref="G8:G30" si="23">IF(E8=" "," ",$E8-$D$39)</f>
        <v>0.4812191379590286</v>
      </c>
      <c r="H8" s="113">
        <f t="shared" ref="H8:H30" si="24">IF(F8&lt;&gt;" ",RANK(F8,F$7:F$30,1)," ")</f>
        <v>5</v>
      </c>
      <c r="I8" s="113">
        <f>IF(C8=" "," ",VLOOKUP(B8,LastStart!$A$3:$AN$28,40,FALSE))</f>
        <v>5</v>
      </c>
      <c r="J8" s="166">
        <f t="shared" ref="J8:J30" si="25">IFERROR(RANK(D8,$D$7:$D$30,1),"")</f>
        <v>5</v>
      </c>
      <c r="K8" s="113">
        <f t="shared" ref="K8:K30" si="26">IFERROR(RANK(AB8,$AB$7:$AB$30,0)," ")</f>
        <v>2</v>
      </c>
      <c r="L8" s="338" t="str">
        <f xml:space="preserve">
IF($A8=" "," ",
IF(AND($A8="YES",VLOOKUP($B8,'Raw Data'!$A$3:$W$30,'SPORTSBET FIXED ODDS FOR PARLAY'!$I$2,FALSE)&gt;0),VLOOKUP($B8,'Raw Data'!$A$3:$W$30,'SPORTSBET FIXED ODDS FOR PARLAY'!$I$2,FALSE),
" "))</f>
        <v xml:space="preserve"> </v>
      </c>
      <c r="M8" s="124">
        <f t="shared" ref="M8:M30" si="27">IF(ISERROR((ROUNDDOWN(STDEV(J8:K8),0)))," ",(ROUNDDOWN(STDEV(J8:K8),0)))</f>
        <v>2</v>
      </c>
      <c r="N8" s="114">
        <f t="shared" si="5"/>
        <v>0</v>
      </c>
      <c r="O8" s="115">
        <f t="shared" ref="O8:O30" si="28">IF(ISERROR(N8/$N$2)," ",(N8/$N$2))</f>
        <v>0</v>
      </c>
      <c r="P8" s="114">
        <f t="shared" ref="P8:P22" si="29">IF(ISERROR($L$2/L8),0,$L$2/L8)</f>
        <v>0</v>
      </c>
      <c r="Q8" s="116" t="str">
        <f t="shared" ref="Q8:Q30" si="30">IF(ISERROR((L8*P8))," ",(L8*P8))</f>
        <v xml:space="preserve"> </v>
      </c>
      <c r="R8" s="116">
        <f t="shared" ref="R8:R30" si="31">IF(ISERROR((O8*$L$3))," ",((O8*$L$3)))</f>
        <v>0</v>
      </c>
      <c r="S8" s="117" t="str">
        <f t="shared" ref="S8:S22" si="32">IF(ISERROR(IF(L8&gt;0,(R8*L8)-$L$3,0))," ",IF(L8&gt;0,(R8*L8)-$L$3,0))</f>
        <v xml:space="preserve"> </v>
      </c>
      <c r="T8" s="82"/>
      <c r="U8" s="118" t="str">
        <f t="shared" ref="U8:U30" si="33">IF(R8&gt;0,ROUNDUP(R8,0)," ")</f>
        <v xml:space="preserve"> </v>
      </c>
      <c r="V8" s="119" t="str">
        <f t="shared" ref="V8:V16" si="34">IF(ISERROR(U8*L8)," ",U8*L8)</f>
        <v xml:space="preserve"> </v>
      </c>
      <c r="W8" s="119" t="str">
        <f t="shared" ref="W8:W16" si="35">IF(ISERROR(V8-$U$6)," ",V8-$U$6)</f>
        <v xml:space="preserve"> </v>
      </c>
      <c r="X8" s="120" t="str">
        <f>IF(ISERROR((V8-$U$6)/$U$6)," ",(V8-$U$6)/$U$6)</f>
        <v xml:space="preserve"> </v>
      </c>
      <c r="Y8" s="152">
        <f>IF(D8=" "," ",IFERROR(VLOOKUP($B8,'Raw Data'!$A$3:$X$32,$I$2,0)," "))</f>
        <v>3.25</v>
      </c>
      <c r="Z8" s="233" t="str">
        <f>VLOOKUP(B8,'S31.ODDS'!$B$7:$Y$30,24,0)</f>
        <v>YES2</v>
      </c>
      <c r="AA8" s="119" t="str">
        <f>VLOOKUP(B8,'A1. PICKS'!$B$7:$Y$30,24,0)</f>
        <v>YES2</v>
      </c>
      <c r="AB8" s="174">
        <f>IF(ISERROR(VLOOKUP(B8,'Dashboard '!$A$3:$AF$26,32,FALSE))," ",VLOOKUP(B8,'Dashboard '!$A$3:$AF$26,32,FALSE))</f>
        <v>0.27614740081960432</v>
      </c>
      <c r="AC8" s="343">
        <f>IFERROR(VLOOKUP(B8,Results!$A$3:$DY$29,129,FALSE)," ")</f>
        <v>0</v>
      </c>
      <c r="AD8" s="343">
        <f>IFERROR(VLOOKUP($B8,'cluster'!$A$20:$CI$45,87,0)," ")</f>
        <v>2</v>
      </c>
      <c r="AE8" s="343" t="str">
        <f t="shared" ref="AE8:AE30" si="36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AF8" s="343" t="str">
        <f t="shared" ref="AF8:AF30" si="37">IF(A8="YES",$B8&amp;",","")</f>
        <v/>
      </c>
      <c r="AG8" s="367">
        <f>IF(ISERROR(VLOOKUP(B8,'Raw Data'!$A$3:$EA$29,131,FALSE))," ",VLOOKUP(B8,'Raw Data'!$A$3:$EA$29,131,FALSE))</f>
        <v>1</v>
      </c>
      <c r="AH8" s="343" t="str">
        <f t="shared" ref="AH8:AH30" si="38">IF(C8=" "," ",IF(AND($BC$37&gt;=2,K8=$BC$36),$B8,IF(AND(K8=1),$B8,IF(AND(J8&lt;=3),$B8,IF(AND(AP8=$AP$32),$B8," ")))))</f>
        <v xml:space="preserve"> </v>
      </c>
      <c r="AI8" s="343" t="str">
        <f t="shared" ref="AI8:AI30" si="39">IF(AND($AC8&lt;=3,$AC8&gt;0)," "&amp;$B8&amp;"("&amp;$AC8&amp;")"&amp;"i"&amp;I8&amp;","&amp;"J"&amp;J8&amp;","&amp;"K"&amp;K8&amp;" "&amp;",","")</f>
        <v/>
      </c>
      <c r="AJ8" s="343">
        <f>IF($C8=" "," ",IF(VLOOKUP($B8,'Raw Data'!$A$3:$EI$31,139,FALSE)=" "," ",IF(VLOOKUP($B8,'Raw Data'!$A$3:$EI$31,139,FALSE)&gt;0,VLOOKUP($B8,'Raw Data'!$A$3:$EI$31,139,FALSE)," ")))</f>
        <v>6</v>
      </c>
      <c r="AK8" s="393" t="str">
        <f t="shared" ref="AK8:AK30" si="40">IF(AND(AJ8=1),$B8," ")</f>
        <v xml:space="preserve"> </v>
      </c>
      <c r="AL8" s="393">
        <f t="shared" ref="AL8:AL30" si="41">IF(AND(AD8&lt;&gt;" "),$B8," ")</f>
        <v>2</v>
      </c>
      <c r="AM8" s="393" t="str">
        <f>IF(C8=" "," ",IF(AND(VLOOKUP($B8,'cluster'!$A$20:$DN$45,118,0)="NOW"),$B8," "))</f>
        <v xml:space="preserve"> </v>
      </c>
      <c r="AN8" s="343" t="str">
        <f t="shared" ref="AN8:AN30" si="42">IF(AND($AC8&lt;=4,$AC8&gt;0),","&amp;" "&amp;$B8&amp;"("&amp;$AC8&amp;")","")</f>
        <v/>
      </c>
      <c r="AO8" s="393" t="str">
        <f t="shared" ref="AO8:AO30" si="43">IF(AND(AJ8=1),B8,IF(AND(AD8&lt;=$AD$36,K8&gt;=$K$33),B8," "))</f>
        <v xml:space="preserve"> </v>
      </c>
      <c r="AP8" s="393">
        <f t="shared" ref="AP8:AP30" si="44">IF(COUNTIF($AK8:$AO8,$B8)&gt;0,COUNTIF($AK8:$AO8,$B8)," ")</f>
        <v>1</v>
      </c>
      <c r="AQ8" s="343">
        <f t="shared" ref="AQ8:AQ30" si="45">IFERROR(ROUND(AVERAGE(AJ8),0)," ")</f>
        <v>6</v>
      </c>
      <c r="AR8" s="360" t="str">
        <f t="shared" ref="AR8:AR30" si="46" xml:space="preserve">
IF(AND($I$4="NOTNORMAL",$D8&lt;&gt;" ",$AL$3=3,$AL8&lt;&gt;" "),$B8&amp;",",
IF(AND($I$4="NOTNORMAL",$D8&lt;&gt;" ",$AL$3=1,$AK8&lt;&gt;" "),$B8&amp;",",
IF(AND($I$4="NOTNORMAL",$D8&lt;&gt;" ",$AL$3=0,$AM8&lt;&gt;" "),$B8&amp;",",
IF(AND($I$4="NOTNORMAL",$D8&lt;&gt;" ",$AL$3=2,$AO8&lt;&gt;" "),$B8&amp;",",
IF(AND($I$4="NOTNORMAL",$D8&lt;&gt;" ",$AL$3=4,$AH8&lt;&gt;" "),$B8&amp;",",
IF(AND($I$4="NOTNORMAL",$D8&lt;&gt;" ",$AL$3=5,$BA8&lt;&gt;" "),$B8&amp;",",
IF(AND($I$4="NOTNORMAL",$D8&lt;&gt;" ",$AL$3=6,$BB8&lt;&gt;" "),$B8&amp;",",
IF(AND($I$4="NOTNORMAL",$D8&lt;&gt;" ",$AL$3=7,$AE8&lt;&gt;" "),$B8&amp;",",
" "))))))))</f>
        <v xml:space="preserve"> </v>
      </c>
      <c r="AS8" s="343">
        <f t="shared" ref="AS8:AS30" si="47">IFERROR(ABS(STANDARDIZE($AB8,$AB$5,$AJ$5))," ")</f>
        <v>1.5331080154779102</v>
      </c>
      <c r="AT8" s="343">
        <f t="shared" ref="AT8:AT30" si="48">IFERROR(RANK(AS8,$AS$7:$AS$30,0)," ")</f>
        <v>2</v>
      </c>
      <c r="AU8" s="360">
        <f>IF(C8=" "," ",VLOOKUP(B8,LastStart!$A$3:$AI$28,$AU$5,FALSE))</f>
        <v>5</v>
      </c>
      <c r="AV8" s="343" t="str">
        <f t="shared" ref="AV8:AV30" si="49">IF(AR8&lt;&gt;" ","yes",IF(AU8&lt;&gt;" ","YES"," "))</f>
        <v>YES</v>
      </c>
      <c r="AW8" s="360" t="str">
        <f t="shared" ref="AW8:AW30" si="50" xml:space="preserve">
IF(AND($I$4="NOTNORMAL",$D8&lt;&gt;" ",$AL$3=3,$AL8&lt;&gt;" "),"88_AL_Cluster&lt;K35",
IF(AND($I$4="NOTNORMAL",$D8&lt;&gt;" ",$AL$3=1,$AK8&lt;&gt;" "),"88_AK_LC&lt;K35",
IF(AND($I$4="NOTNORMAL",$D8&lt;&gt;" ",$AL$3=0,$AM8&lt;&gt;" "),"88_AM_Now&gt;K35",
IF(AND($I$4="NOTNORMAL",$D8&lt;&gt;" ",$AL$3=2,$AO8&lt;&gt;" "),"88_AO_Watch&gt;K35",
IF(AND($I$4="NOTNORMAL",$D8&lt;&gt;" ",$AL$3=4,$AH8&lt;&gt;" "),"88_AH_Picks&gt;K35",
IF(AND($I$4="NOTNORMAL",$D8&lt;&gt;" ",$AL$3=5,$BA8&lt;&gt;" "),"ALT&lt;K35",
IF(AND($I$4="NOTNORMAL",$D8&lt;&gt;" ",$AL$3=6,$BB8&lt;&gt;" "),"Commons 1+3",
IF(AND($I$4="NOTNORMAL",$D8&lt;&gt;" ",$AL$3=7,$AE8&lt;&gt;" "),"ALT&gt;K35",
" "))))))))</f>
        <v xml:space="preserve"> </v>
      </c>
      <c r="AX8" s="343" t="str">
        <f t="shared" ref="AX8:AX30" si="51">RIGHT(AW8,9)</f>
        <v xml:space="preserve"> </v>
      </c>
      <c r="AY8" s="343" t="str">
        <f t="shared" ref="AY8:AY30" si="52">IF(AND($AC8&lt;=1,$AC8&gt;0),"$I"&amp;$I8&amp;"$K"&amp;$K8&amp;BG8&amp;"$J"&amp;J8,IF(AND($AC8&lt;=1,$AC8&gt;0,AX8&lt;&gt;" "),"$I"&amp;$I8&amp;"$K"&amp;$K8&amp;BG8&amp;"$J"&amp;J8,IF(AND($AC8&lt;=1,$AC8&gt;0),"$I"&amp;$I8&amp;"$K"&amp;$K8&amp;BG8&amp;"$J"&amp;J8," ")))</f>
        <v xml:space="preserve"> </v>
      </c>
      <c r="AZ8" s="343">
        <f t="shared" ref="AZ8:AZ30" si="53">IF(C8=" "," ",IF(AND(K8&gt;$K$35,AT8&lt;=2),6,5))</f>
        <v>5</v>
      </c>
      <c r="BA8" s="360" t="str">
        <f t="shared" ref="BA8:BA30" si="54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BB8" s="360" t="str">
        <f t="shared" ref="BB8:BB30" si="55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BC8" s="412" t="str">
        <f t="shared" ref="BC8:BC30" si="56">IF(C8=" "," ",IF(AND(AW8&lt;&gt;" ",K8&lt;=2),"C",IF(AND(AW8&lt;&gt;" ",J8&lt;=2),"C","NC")))</f>
        <v>NC</v>
      </c>
      <c r="BD8" s="413" t="str">
        <f t="shared" ref="BD8:BD30" si="57">IF($K8=1,$B8&amp;"K"&amp;K8&amp;BC8&amp;","&amp;BF8,IF($J8=1,$B8&amp;"J"&amp;J8&amp;BC8&amp;","&amp;BF8," "))</f>
        <v xml:space="preserve"> </v>
      </c>
      <c r="BE8" s="413" t="str">
        <f t="shared" ref="BE8:BE30" si="58">IF(AND(K8&lt;=2,BC8="C"),"C "&amp;" "&amp;$B8&amp;"K"&amp;K8&amp;","&amp;BF8,IF(BC8="C","C "&amp;" "&amp;$B8&amp;"J"&amp;J8&amp;","&amp;BF8,IF(AND(K8=2,BC8="NC"),"NC "&amp;" "&amp;$B8&amp;"K"&amp;K8&amp;","&amp;BF8,IF(AND(J8&lt;=2,BC8="NC"),"NC "&amp;" "&amp;$B8&amp;"J"&amp;J8&amp;","&amp;BF8," "))))</f>
        <v>NC  2K2,times3</v>
      </c>
      <c r="BF8" s="413" t="str">
        <f t="shared" ref="BF8:BF30" si="59">IF(K8=2,"times3",IF(AP8=4,"times4",IF(AP8=3,"times3"," ")))</f>
        <v>times3</v>
      </c>
      <c r="BG8" s="413" t="str">
        <f t="shared" si="7"/>
        <v xml:space="preserve"> </v>
      </c>
      <c r="BH8" s="413" t="str">
        <f t="shared" si="8"/>
        <v xml:space="preserve"> </v>
      </c>
      <c r="BI8" s="413" t="str">
        <f t="shared" si="9"/>
        <v xml:space="preserve"> </v>
      </c>
      <c r="BJ8" s="413">
        <f t="shared" si="10"/>
        <v>5</v>
      </c>
      <c r="BK8" s="413" t="str">
        <f t="shared" si="11"/>
        <v xml:space="preserve"> </v>
      </c>
      <c r="BL8" s="413">
        <f t="shared" si="12"/>
        <v>2</v>
      </c>
      <c r="BM8" s="413" t="str">
        <f t="shared" si="13"/>
        <v xml:space="preserve"> </v>
      </c>
      <c r="BN8" s="413">
        <f t="shared" si="14"/>
        <v>1</v>
      </c>
      <c r="BO8" s="413">
        <f t="shared" si="15"/>
        <v>2</v>
      </c>
      <c r="BP8" s="413">
        <f t="shared" si="16"/>
        <v>3</v>
      </c>
      <c r="BQ8" s="413" t="str">
        <f t="shared" ref="BQ8:BQ30" si="60">IF(C8=" "," ",IF(AND(J8&lt;=($J$36+1)),1," "))</f>
        <v xml:space="preserve"> </v>
      </c>
      <c r="BR8" s="413" t="str">
        <f t="shared" ref="BR8:BR30" si="61">IF($AJ$37&lt;$BW$32,"NOW","PICK1")</f>
        <v>NOW</v>
      </c>
      <c r="BS8" s="413" t="str">
        <f>IF(Table7[[#This Row],[NOW vs PICK1]]="PICK1",Table7[[#This Row],[PICK 1]],Table7[[#This Row],[Now Count]])</f>
        <v xml:space="preserve"> </v>
      </c>
      <c r="BT8" s="413">
        <f>IFERROR(VLOOKUP($B8,'Raw Data'!$A$3:$W$30,'SPORTSBET FIXED ODDS FOR PARLAY'!$I$2,FALSE)," ")</f>
        <v>3.25</v>
      </c>
      <c r="BU8" s="413">
        <f t="shared" si="17"/>
        <v>1</v>
      </c>
      <c r="BV8" s="413">
        <f t="shared" ref="BV8:BV30" si="62">IF(C8=" "," ",K8/$C$5)</f>
        <v>0.25</v>
      </c>
      <c r="BW8" s="413" t="str">
        <f t="shared" si="18"/>
        <v xml:space="preserve"> </v>
      </c>
      <c r="BX8" s="413" t="str">
        <f t="shared" si="19"/>
        <v xml:space="preserve"> </v>
      </c>
      <c r="BY8" s="413" t="str">
        <f>IF(C8=" "," ",IF(AND(BV8&gt;=$BV$34),1,IF(AND($K$4="TT",$BN$38="NARROW",Table7[[#This Row],[J7-K7 Count]]=1),1," ")))</f>
        <v xml:space="preserve"> </v>
      </c>
      <c r="BZ8"/>
      <c r="CA8"/>
      <c r="CB8"/>
      <c r="CC8"/>
      <c r="CD8"/>
      <c r="CE8"/>
      <c r="CF8"/>
      <c r="CG8"/>
      <c r="CH8"/>
    </row>
    <row r="9" spans="1:86" ht="18.899999999999999" customHeight="1" x14ac:dyDescent="0.3">
      <c r="A9" s="208" t="str">
        <f t="shared" si="20"/>
        <v xml:space="preserve"> </v>
      </c>
      <c r="B9" s="109">
        <v>3</v>
      </c>
      <c r="C9" s="111" t="str">
        <f>IFERROR(VLOOKUP(B9,'Raw Data'!$A$3:$EA$30,2,0)," ")</f>
        <v>Ol' Brown Eyes</v>
      </c>
      <c r="D9" s="200">
        <f>IF(C9=" "," ",VLOOKUP(B9,LastStart!$A$3:$AI$28,$AU$5,FALSE))</f>
        <v>6</v>
      </c>
      <c r="E9" s="111">
        <f t="shared" si="21"/>
        <v>0.76475904497223224</v>
      </c>
      <c r="F9" s="111">
        <f t="shared" si="22"/>
        <v>2.0704547685779566</v>
      </c>
      <c r="G9" s="112">
        <f t="shared" si="23"/>
        <v>0.86359866044514477</v>
      </c>
      <c r="H9" s="113">
        <f t="shared" si="24"/>
        <v>6</v>
      </c>
      <c r="I9" s="113">
        <f>IF(C9=" "," ",VLOOKUP(B9,LastStart!$A$3:$AN$28,40,FALSE))</f>
        <v>4</v>
      </c>
      <c r="J9" s="166">
        <f t="shared" si="25"/>
        <v>6</v>
      </c>
      <c r="K9" s="113">
        <f t="shared" si="26"/>
        <v>1</v>
      </c>
      <c r="L9" s="338" t="str">
        <f xml:space="preserve">
IF($A9=" "," ",
IF(AND($A9="YES",VLOOKUP($B9,'Raw Data'!$A$3:$W$30,'SPORTSBET FIXED ODDS FOR PARLAY'!$I$2,FALSE)&gt;0),VLOOKUP($B9,'Raw Data'!$A$3:$W$30,'SPORTSBET FIXED ODDS FOR PARLAY'!$I$2,FALSE),
" "))</f>
        <v xml:space="preserve"> </v>
      </c>
      <c r="M9" s="124">
        <f t="shared" si="27"/>
        <v>3</v>
      </c>
      <c r="N9" s="114">
        <f t="shared" si="5"/>
        <v>0</v>
      </c>
      <c r="O9" s="115">
        <f t="shared" si="28"/>
        <v>0</v>
      </c>
      <c r="P9" s="114">
        <f t="shared" si="29"/>
        <v>0</v>
      </c>
      <c r="Q9" s="116" t="str">
        <f t="shared" si="30"/>
        <v xml:space="preserve"> </v>
      </c>
      <c r="R9" s="116">
        <f t="shared" si="31"/>
        <v>0</v>
      </c>
      <c r="S9" s="117" t="str">
        <f t="shared" si="32"/>
        <v xml:space="preserve"> </v>
      </c>
      <c r="T9" s="82"/>
      <c r="U9" s="118" t="str">
        <f t="shared" si="33"/>
        <v xml:space="preserve"> </v>
      </c>
      <c r="V9" s="119" t="str">
        <f t="shared" si="34"/>
        <v xml:space="preserve"> </v>
      </c>
      <c r="W9" s="119" t="str">
        <f t="shared" si="35"/>
        <v xml:space="preserve"> </v>
      </c>
      <c r="X9" s="120" t="str">
        <f t="shared" ref="X9:X30" si="63">IF(ISERROR((V9-$U$6)/$U$6)," ",(V9-$U$6)/$U$6)</f>
        <v xml:space="preserve"> </v>
      </c>
      <c r="Y9" s="152">
        <f>IF(D9=" "," ",IFERROR(VLOOKUP($B9,'Raw Data'!$A$3:$X$32,$I$2,0)," "))</f>
        <v>3</v>
      </c>
      <c r="Z9" s="233" t="str">
        <f>VLOOKUP(B9,'S31.ODDS'!$B$7:$Y$30,24,0)</f>
        <v>YES2</v>
      </c>
      <c r="AA9" s="119" t="str">
        <f>VLOOKUP(B9,'A1. PICKS'!$B$7:$Y$30,24,0)</f>
        <v>YES2</v>
      </c>
      <c r="AB9" s="174">
        <f>IF(ISERROR(VLOOKUP(B9,'Dashboard '!$A$3:$AF$26,32,FALSE))," ",VLOOKUP(B9,'Dashboard '!$A$3:$AF$26,32,FALSE))</f>
        <v>0.29915968422123801</v>
      </c>
      <c r="AC9" s="343">
        <f>IFERROR(VLOOKUP(B9,Results!$A$3:$DY$29,129,FALSE)," ")</f>
        <v>0</v>
      </c>
      <c r="AD9" s="343">
        <f>IFERROR(VLOOKUP($B9,'cluster'!$A$20:$CI$45,87,0)," ")</f>
        <v>1</v>
      </c>
      <c r="AE9" s="343" t="str">
        <f t="shared" si="36"/>
        <v xml:space="preserve"> </v>
      </c>
      <c r="AF9" s="343" t="str">
        <f t="shared" si="37"/>
        <v/>
      </c>
      <c r="AG9" s="367">
        <f>IF(ISERROR(VLOOKUP(B9,'Raw Data'!$A$3:$EA$29,131,FALSE))," ",VLOOKUP(B9,'Raw Data'!$A$3:$EA$29,131,FALSE))</f>
        <v>8</v>
      </c>
      <c r="AH9" s="343">
        <f t="shared" si="38"/>
        <v>3</v>
      </c>
      <c r="AI9" s="343" t="str">
        <f t="shared" si="39"/>
        <v/>
      </c>
      <c r="AJ9" s="343">
        <f>IF($C9=" "," ",IF(VLOOKUP($B9,'Raw Data'!$A$3:$EI$31,139,FALSE)=" "," ",IF(VLOOKUP($B9,'Raw Data'!$A$3:$EI$31,139,FALSE)&gt;0,VLOOKUP($B9,'Raw Data'!$A$3:$EI$31,139,FALSE)," ")))</f>
        <v>7</v>
      </c>
      <c r="AK9" s="393" t="str">
        <f t="shared" si="40"/>
        <v xml:space="preserve"> </v>
      </c>
      <c r="AL9" s="393">
        <f t="shared" si="41"/>
        <v>3</v>
      </c>
      <c r="AM9" s="393" t="str">
        <f>IF(C9=" "," ",IF(AND(VLOOKUP($B9,'cluster'!$A$20:$DN$45,118,0)="NOW"),$B9," "))</f>
        <v xml:space="preserve"> </v>
      </c>
      <c r="AN9" s="343" t="str">
        <f t="shared" si="42"/>
        <v/>
      </c>
      <c r="AO9" s="393" t="str">
        <f t="shared" si="43"/>
        <v xml:space="preserve"> </v>
      </c>
      <c r="AP9" s="393">
        <f t="shared" si="44"/>
        <v>1</v>
      </c>
      <c r="AQ9" s="343">
        <f t="shared" si="45"/>
        <v>7</v>
      </c>
      <c r="AR9" s="360" t="str">
        <f t="shared" si="46"/>
        <v xml:space="preserve"> </v>
      </c>
      <c r="AS9" s="343">
        <f t="shared" si="47"/>
        <v>1.766524640217632</v>
      </c>
      <c r="AT9" s="343">
        <f t="shared" si="48"/>
        <v>1</v>
      </c>
      <c r="AU9" s="360">
        <f>IF(C9=" "," ",VLOOKUP(B9,LastStart!$A$3:$AI$28,$AU$5,FALSE))</f>
        <v>6</v>
      </c>
      <c r="AV9" s="343" t="str">
        <f t="shared" si="49"/>
        <v>YES</v>
      </c>
      <c r="AW9" s="360" t="str">
        <f t="shared" si="50"/>
        <v xml:space="preserve"> </v>
      </c>
      <c r="AX9" s="343" t="str">
        <f t="shared" si="51"/>
        <v xml:space="preserve"> </v>
      </c>
      <c r="AY9" s="343" t="str">
        <f t="shared" si="52"/>
        <v xml:space="preserve"> </v>
      </c>
      <c r="AZ9" s="343">
        <f t="shared" si="53"/>
        <v>5</v>
      </c>
      <c r="BA9" s="360" t="str">
        <f t="shared" si="54"/>
        <v xml:space="preserve"> </v>
      </c>
      <c r="BB9" s="360" t="str">
        <f t="shared" si="55"/>
        <v xml:space="preserve"> </v>
      </c>
      <c r="BC9" s="412" t="str">
        <f t="shared" si="56"/>
        <v>NC</v>
      </c>
      <c r="BD9" s="413" t="str">
        <f t="shared" si="57"/>
        <v xml:space="preserve">3K1NC, </v>
      </c>
      <c r="BE9" s="413" t="str">
        <f t="shared" si="58"/>
        <v xml:space="preserve"> </v>
      </c>
      <c r="BF9" s="413" t="str">
        <f t="shared" si="59"/>
        <v xml:space="preserve"> </v>
      </c>
      <c r="BG9" s="413" t="str">
        <f t="shared" si="7"/>
        <v xml:space="preserve"> </v>
      </c>
      <c r="BH9" s="413" t="str">
        <f t="shared" si="8"/>
        <v xml:space="preserve"> </v>
      </c>
      <c r="BI9" s="413" t="str">
        <f t="shared" si="9"/>
        <v xml:space="preserve"> </v>
      </c>
      <c r="BJ9" s="413">
        <f t="shared" si="10"/>
        <v>5</v>
      </c>
      <c r="BK9" s="413" t="str">
        <f t="shared" si="11"/>
        <v xml:space="preserve"> </v>
      </c>
      <c r="BL9" s="413" t="str">
        <f t="shared" si="12"/>
        <v xml:space="preserve"> </v>
      </c>
      <c r="BM9" s="413" t="str">
        <f t="shared" si="13"/>
        <v xml:space="preserve"> </v>
      </c>
      <c r="BN9" s="413">
        <f t="shared" si="14"/>
        <v>1</v>
      </c>
      <c r="BO9" s="413" t="str">
        <f t="shared" si="15"/>
        <v xml:space="preserve"> </v>
      </c>
      <c r="BP9" s="413">
        <f t="shared" si="16"/>
        <v>3</v>
      </c>
      <c r="BQ9" s="413" t="str">
        <f t="shared" si="60"/>
        <v xml:space="preserve"> </v>
      </c>
      <c r="BR9" s="413" t="str">
        <f t="shared" si="61"/>
        <v>NOW</v>
      </c>
      <c r="BS9" s="413" t="str">
        <f>IF(Table7[[#This Row],[NOW vs PICK1]]="PICK1",Table7[[#This Row],[PICK 1]],Table7[[#This Row],[Now Count]])</f>
        <v xml:space="preserve"> </v>
      </c>
      <c r="BT9" s="413">
        <f>IFERROR(VLOOKUP($B9,'Raw Data'!$A$3:$W$30,'SPORTSBET FIXED ODDS FOR PARLAY'!$I$2,FALSE)," ")</f>
        <v>3</v>
      </c>
      <c r="BU9" s="413">
        <f t="shared" si="17"/>
        <v>1</v>
      </c>
      <c r="BV9" s="413">
        <f t="shared" si="62"/>
        <v>0.125</v>
      </c>
      <c r="BW9" s="413" t="str">
        <f t="shared" si="18"/>
        <v xml:space="preserve"> </v>
      </c>
      <c r="BX9" s="413" t="str">
        <f t="shared" si="19"/>
        <v xml:space="preserve"> </v>
      </c>
      <c r="BY9" s="413" t="str">
        <f>IF(C9=" "," ",IF(AND(BV9&gt;=$BV$34),1,IF(AND($K$4="TT",$BN$38="NARROW",Table7[[#This Row],[J7-K7 Count]]=1),1," ")))</f>
        <v xml:space="preserve"> </v>
      </c>
      <c r="BZ9"/>
      <c r="CA9"/>
      <c r="CB9"/>
      <c r="CC9"/>
      <c r="CD9"/>
      <c r="CE9"/>
      <c r="CF9"/>
      <c r="CG9"/>
      <c r="CH9"/>
    </row>
    <row r="10" spans="1:86" ht="18.899999999999999" customHeight="1" x14ac:dyDescent="0.3">
      <c r="A10" s="208" t="str">
        <f t="shared" si="20"/>
        <v xml:space="preserve"> </v>
      </c>
      <c r="B10" s="109">
        <v>4</v>
      </c>
      <c r="C10" s="111" t="str">
        <f>IFERROR(VLOOKUP(B10,'Raw Data'!$A$3:$EA$30,2,0)," ")</f>
        <v xml:space="preserve"> </v>
      </c>
      <c r="D10" s="200" t="str">
        <f>IF(C10=" "," ",VLOOKUP(B10,LastStart!$A$3:$AI$28,$AU$5,FALSE))</f>
        <v xml:space="preserve"> </v>
      </c>
      <c r="E10" s="111" t="str">
        <f t="shared" si="21"/>
        <v xml:space="preserve"> </v>
      </c>
      <c r="F10" s="111" t="str">
        <f t="shared" si="22"/>
        <v xml:space="preserve"> </v>
      </c>
      <c r="G10" s="112" t="str">
        <f t="shared" si="23"/>
        <v xml:space="preserve"> </v>
      </c>
      <c r="H10" s="113" t="str">
        <f t="shared" si="24"/>
        <v xml:space="preserve"> </v>
      </c>
      <c r="I10" s="113" t="str">
        <f>IF(C10=" "," ",VLOOKUP(B10,LastStart!$A$3:$AN$28,40,FALSE))</f>
        <v xml:space="preserve"> </v>
      </c>
      <c r="J10" s="166" t="str">
        <f t="shared" si="25"/>
        <v/>
      </c>
      <c r="K10" s="113" t="str">
        <f t="shared" si="26"/>
        <v xml:space="preserve"> </v>
      </c>
      <c r="L10" s="338" t="str">
        <f xml:space="preserve">
IF($A10=" "," ",
IF(AND($A10="YES",VLOOKUP($B10,'Raw Data'!$A$3:$W$30,'SPORTSBET FIXED ODDS FOR PARLAY'!$I$2,FALSE)&gt;0),VLOOKUP($B10,'Raw Data'!$A$3:$W$30,'SPORTSBET FIXED ODDS FOR PARLAY'!$I$2,FALSE),
" "))</f>
        <v xml:space="preserve"> </v>
      </c>
      <c r="M10" s="124" t="str">
        <f t="shared" si="27"/>
        <v xml:space="preserve"> </v>
      </c>
      <c r="N10" s="114">
        <f t="shared" si="5"/>
        <v>0</v>
      </c>
      <c r="O10" s="115">
        <f t="shared" si="28"/>
        <v>0</v>
      </c>
      <c r="P10" s="114">
        <f t="shared" si="29"/>
        <v>0</v>
      </c>
      <c r="Q10" s="116" t="str">
        <f t="shared" si="30"/>
        <v xml:space="preserve"> </v>
      </c>
      <c r="R10" s="116">
        <f t="shared" si="31"/>
        <v>0</v>
      </c>
      <c r="S10" s="117" t="str">
        <f t="shared" si="32"/>
        <v xml:space="preserve"> </v>
      </c>
      <c r="T10" s="82"/>
      <c r="U10" s="118" t="str">
        <f t="shared" si="33"/>
        <v xml:space="preserve"> </v>
      </c>
      <c r="V10" s="119" t="str">
        <f t="shared" si="34"/>
        <v xml:space="preserve"> </v>
      </c>
      <c r="W10" s="119" t="str">
        <f t="shared" si="35"/>
        <v xml:space="preserve"> </v>
      </c>
      <c r="X10" s="120" t="str">
        <f t="shared" si="63"/>
        <v xml:space="preserve"> </v>
      </c>
      <c r="Y10" s="152" t="str">
        <f>IF(D10=" "," ",IFERROR(VLOOKUP($B10,'Raw Data'!$A$3:$X$32,$I$2,0)," "))</f>
        <v xml:space="preserve"> </v>
      </c>
      <c r="Z10" s="233" t="str">
        <f>VLOOKUP(B10,'S31.ODDS'!$B$7:$Y$30,24,0)</f>
        <v xml:space="preserve"> </v>
      </c>
      <c r="AA10" s="119" t="str">
        <f>VLOOKUP(B10,'A1. PICKS'!$B$7:$Y$30,24,0)</f>
        <v xml:space="preserve"> </v>
      </c>
      <c r="AB10" s="174" t="str">
        <f>IF(ISERROR(VLOOKUP(B10,'Dashboard '!$A$3:$AF$26,32,FALSE))," ",VLOOKUP(B10,'Dashboard '!$A$3:$AF$26,32,FALSE))</f>
        <v xml:space="preserve"> </v>
      </c>
      <c r="AC10" s="343" t="str">
        <f>IFERROR(VLOOKUP(B10,Results!$A$3:$DY$29,129,FALSE)," ")</f>
        <v xml:space="preserve"> </v>
      </c>
      <c r="AD10" s="343" t="str">
        <f>IFERROR(VLOOKUP($B10,'cluster'!$A$20:$CI$45,87,0)," ")</f>
        <v xml:space="preserve"> </v>
      </c>
      <c r="AE10" s="343" t="str">
        <f t="shared" si="36"/>
        <v xml:space="preserve"> </v>
      </c>
      <c r="AF10" s="343" t="str">
        <f t="shared" si="37"/>
        <v/>
      </c>
      <c r="AG10" s="367" t="str">
        <f>IF(ISERROR(VLOOKUP(B10,'Raw Data'!$A$3:$EA$29,131,FALSE))," ",VLOOKUP(B10,'Raw Data'!$A$3:$EA$29,131,FALSE))</f>
        <v xml:space="preserve"> </v>
      </c>
      <c r="AH10" s="343" t="str">
        <f t="shared" si="38"/>
        <v xml:space="preserve"> </v>
      </c>
      <c r="AI10" s="343" t="str">
        <f t="shared" si="39"/>
        <v/>
      </c>
      <c r="AJ10" s="343" t="str">
        <f>IF($C10=" "," ",IF(VLOOKUP($B10,'Raw Data'!$A$3:$EI$31,139,FALSE)=" "," ",IF(VLOOKUP($B10,'Raw Data'!$A$3:$EI$31,139,FALSE)&gt;0,VLOOKUP($B10,'Raw Data'!$A$3:$EI$31,139,FALSE)," ")))</f>
        <v xml:space="preserve"> </v>
      </c>
      <c r="AK10" s="393" t="str">
        <f t="shared" si="40"/>
        <v xml:space="preserve"> </v>
      </c>
      <c r="AL10" s="393" t="str">
        <f t="shared" si="41"/>
        <v xml:space="preserve"> </v>
      </c>
      <c r="AM10" s="393" t="str">
        <f>IF(C10=" "," ",IF(AND(VLOOKUP($B10,'cluster'!$A$20:$DN$45,118,0)="NOW"),$B10," "))</f>
        <v xml:space="preserve"> </v>
      </c>
      <c r="AN10" s="343" t="str">
        <f t="shared" si="42"/>
        <v/>
      </c>
      <c r="AO10" s="393" t="str">
        <f t="shared" si="43"/>
        <v xml:space="preserve"> </v>
      </c>
      <c r="AP10" s="393" t="str">
        <f t="shared" si="44"/>
        <v xml:space="preserve"> </v>
      </c>
      <c r="AQ10" s="343" t="str">
        <f t="shared" si="45"/>
        <v xml:space="preserve"> </v>
      </c>
      <c r="AR10" s="360" t="str">
        <f t="shared" si="46"/>
        <v xml:space="preserve"> </v>
      </c>
      <c r="AS10" s="343" t="str">
        <f t="shared" si="47"/>
        <v xml:space="preserve"> </v>
      </c>
      <c r="AT10" s="343" t="str">
        <f t="shared" si="48"/>
        <v xml:space="preserve"> </v>
      </c>
      <c r="AU10" s="360" t="str">
        <f>IF(C10=" "," ",VLOOKUP(B10,LastStart!$A$3:$AI$28,$AU$5,FALSE))</f>
        <v xml:space="preserve"> </v>
      </c>
      <c r="AV10" s="343" t="str">
        <f t="shared" si="49"/>
        <v xml:space="preserve"> </v>
      </c>
      <c r="AW10" s="360" t="str">
        <f t="shared" si="50"/>
        <v xml:space="preserve"> </v>
      </c>
      <c r="AX10" s="343" t="str">
        <f t="shared" si="51"/>
        <v xml:space="preserve"> </v>
      </c>
      <c r="AY10" s="343" t="str">
        <f t="shared" si="52"/>
        <v xml:space="preserve"> </v>
      </c>
      <c r="AZ10" s="343" t="str">
        <f t="shared" si="53"/>
        <v xml:space="preserve"> </v>
      </c>
      <c r="BA10" s="360" t="str">
        <f t="shared" si="54"/>
        <v xml:space="preserve"> </v>
      </c>
      <c r="BB10" s="360" t="str">
        <f t="shared" si="55"/>
        <v xml:space="preserve"> </v>
      </c>
      <c r="BC10" s="412" t="str">
        <f t="shared" si="56"/>
        <v xml:space="preserve"> </v>
      </c>
      <c r="BD10" s="413" t="str">
        <f t="shared" si="57"/>
        <v xml:space="preserve"> </v>
      </c>
      <c r="BE10" s="413" t="str">
        <f t="shared" si="58"/>
        <v xml:space="preserve"> </v>
      </c>
      <c r="BF10" s="413" t="str">
        <f t="shared" si="59"/>
        <v xml:space="preserve"> </v>
      </c>
      <c r="BG10" s="413" t="str">
        <f t="shared" si="7"/>
        <v xml:space="preserve"> </v>
      </c>
      <c r="BH10" s="413" t="str">
        <f t="shared" si="8"/>
        <v xml:space="preserve"> </v>
      </c>
      <c r="BI10" s="413" t="str">
        <f t="shared" si="9"/>
        <v xml:space="preserve"> </v>
      </c>
      <c r="BJ10" s="413" t="str">
        <f t="shared" si="10"/>
        <v xml:space="preserve"> </v>
      </c>
      <c r="BK10" s="413" t="str">
        <f t="shared" si="11"/>
        <v xml:space="preserve"> </v>
      </c>
      <c r="BL10" s="413" t="str">
        <f t="shared" si="12"/>
        <v xml:space="preserve"> </v>
      </c>
      <c r="BM10" s="413" t="str">
        <f t="shared" si="13"/>
        <v xml:space="preserve"> </v>
      </c>
      <c r="BN10" s="413" t="str">
        <f t="shared" si="14"/>
        <v xml:space="preserve"> </v>
      </c>
      <c r="BO10" s="413" t="str">
        <f t="shared" si="15"/>
        <v xml:space="preserve"> </v>
      </c>
      <c r="BP10" s="413" t="str">
        <f t="shared" si="16"/>
        <v xml:space="preserve"> </v>
      </c>
      <c r="BQ10" s="413" t="str">
        <f t="shared" si="60"/>
        <v xml:space="preserve"> </v>
      </c>
      <c r="BR10" s="413" t="str">
        <f t="shared" si="61"/>
        <v>NOW</v>
      </c>
      <c r="BS10" s="413" t="str">
        <f>IF(Table7[[#This Row],[NOW vs PICK1]]="PICK1",Table7[[#This Row],[PICK 1]],Table7[[#This Row],[Now Count]])</f>
        <v xml:space="preserve"> </v>
      </c>
      <c r="BT10" s="413" t="str">
        <f>IFERROR(VLOOKUP($B10,'Raw Data'!$A$3:$W$30,'SPORTSBET FIXED ODDS FOR PARLAY'!$I$2,FALSE)," ")</f>
        <v xml:space="preserve"> </v>
      </c>
      <c r="BU10" s="413" t="str">
        <f t="shared" si="17"/>
        <v xml:space="preserve"> </v>
      </c>
      <c r="BV10" s="413" t="str">
        <f t="shared" si="62"/>
        <v xml:space="preserve"> </v>
      </c>
      <c r="BW10" s="413" t="str">
        <f t="shared" si="18"/>
        <v xml:space="preserve"> </v>
      </c>
      <c r="BX10" s="413" t="str">
        <f t="shared" si="19"/>
        <v xml:space="preserve"> </v>
      </c>
      <c r="BY10" s="413" t="str">
        <f>IF(C10=" "," ",IF(AND(BV10&gt;=$BV$34),1,IF(AND($K$4="TT",$BN$38="NARROW",Table7[[#This Row],[J7-K7 Count]]=1),1," ")))</f>
        <v xml:space="preserve"> </v>
      </c>
      <c r="BZ10"/>
      <c r="CA10"/>
      <c r="CB10"/>
      <c r="CC10"/>
      <c r="CD10"/>
      <c r="CE10"/>
      <c r="CF10"/>
      <c r="CG10"/>
      <c r="CH10"/>
    </row>
    <row r="11" spans="1:86" ht="18.899999999999999" customHeight="1" x14ac:dyDescent="0.3">
      <c r="A11" s="208" t="str">
        <f t="shared" si="20"/>
        <v>YES</v>
      </c>
      <c r="B11" s="109">
        <v>5</v>
      </c>
      <c r="C11" s="111" t="str">
        <f>IFERROR(VLOOKUP(B11,'Raw Data'!$A$3:$EA$30,2,0)," ")</f>
        <v>Dragon Street</v>
      </c>
      <c r="D11" s="200">
        <f>IF(C11=" "," ",VLOOKUP(B11,LastStart!$A$3:$AI$28,$AU$5,FALSE))</f>
        <v>1</v>
      </c>
      <c r="E11" s="111">
        <f t="shared" si="21"/>
        <v>-1.1471385674583483</v>
      </c>
      <c r="F11" s="111">
        <f t="shared" si="22"/>
        <v>0.15855715614737598</v>
      </c>
      <c r="G11" s="112">
        <f t="shared" si="23"/>
        <v>-1.0482989519854358</v>
      </c>
      <c r="H11" s="113">
        <f t="shared" si="24"/>
        <v>1</v>
      </c>
      <c r="I11" s="113">
        <f>IF(C11=" "," ",VLOOKUP(B11,LastStart!$A$3:$AN$28,40,FALSE))</f>
        <v>1</v>
      </c>
      <c r="J11" s="166">
        <f t="shared" si="25"/>
        <v>1</v>
      </c>
      <c r="K11" s="113">
        <f t="shared" si="26"/>
        <v>3</v>
      </c>
      <c r="L11" s="338">
        <f xml:space="preserve">
IF($A11=" "," ",
IF(AND($A11="YES",VLOOKUP($B11,'Raw Data'!$A$3:$W$30,'SPORTSBET FIXED ODDS FOR PARLAY'!$I$2,FALSE)&gt;0),VLOOKUP($B11,'Raw Data'!$A$3:$W$30,'SPORTSBET FIXED ODDS FOR PARLAY'!$I$2,FALSE),
" "))</f>
        <v>7.1</v>
      </c>
      <c r="M11" s="124">
        <f t="shared" si="27"/>
        <v>1</v>
      </c>
      <c r="N11" s="114">
        <f t="shared" si="5"/>
        <v>14.084507042253522</v>
      </c>
      <c r="O11" s="115">
        <f t="shared" si="28"/>
        <v>0.35559468978596587</v>
      </c>
      <c r="P11" s="114">
        <f t="shared" si="29"/>
        <v>0</v>
      </c>
      <c r="Q11" s="116">
        <f t="shared" si="30"/>
        <v>0</v>
      </c>
      <c r="R11" s="116">
        <f t="shared" si="31"/>
        <v>16.444754459629486</v>
      </c>
      <c r="S11" s="117">
        <f t="shared" si="32"/>
        <v>70.511974788708443</v>
      </c>
      <c r="T11" s="82"/>
      <c r="U11" s="118">
        <f t="shared" si="33"/>
        <v>17</v>
      </c>
      <c r="V11" s="119">
        <f t="shared" si="34"/>
        <v>120.69999999999999</v>
      </c>
      <c r="W11" s="119">
        <f t="shared" si="35"/>
        <v>91.699999999999989</v>
      </c>
      <c r="X11" s="120">
        <f t="shared" si="63"/>
        <v>3.1620689655172409</v>
      </c>
      <c r="Y11" s="152">
        <f>IF(D11=" "," ",IFERROR(VLOOKUP($B11,'Raw Data'!$A$3:$X$32,$I$2,0)," "))</f>
        <v>7.1</v>
      </c>
      <c r="Z11" s="233" t="str">
        <f>VLOOKUP(B11,'S31.ODDS'!$B$7:$Y$30,24,0)</f>
        <v xml:space="preserve"> </v>
      </c>
      <c r="AA11" s="119" t="str">
        <f>VLOOKUP(B11,'A1. PICKS'!$B$7:$Y$30,24,0)</f>
        <v>YES3</v>
      </c>
      <c r="AB11" s="174">
        <f>IF(ISERROR(VLOOKUP(B11,'Dashboard '!$A$3:$AF$26,32,FALSE))," ",VLOOKUP(B11,'Dashboard '!$A$3:$AF$26,32,FALSE))</f>
        <v>0.12640550037517098</v>
      </c>
      <c r="AC11" s="343">
        <f>IFERROR(VLOOKUP(B11,Results!$A$3:$DY$29,129,FALSE)," ")</f>
        <v>0</v>
      </c>
      <c r="AD11" s="343" t="str">
        <f>IFERROR(VLOOKUP($B11,'cluster'!$A$20:$CI$45,87,0)," ")</f>
        <v xml:space="preserve"> </v>
      </c>
      <c r="AE11" s="343">
        <f t="shared" si="36"/>
        <v>5</v>
      </c>
      <c r="AF11" s="343" t="str">
        <f t="shared" si="37"/>
        <v>5,</v>
      </c>
      <c r="AG11" s="367">
        <f>IF(ISERROR(VLOOKUP(B11,'Raw Data'!$A$3:$EA$29,131,FALSE))," ",VLOOKUP(B11,'Raw Data'!$A$3:$EA$29,131,FALSE))</f>
        <v>6</v>
      </c>
      <c r="AH11" s="343">
        <f t="shared" si="38"/>
        <v>5</v>
      </c>
      <c r="AI11" s="343" t="str">
        <f t="shared" si="39"/>
        <v/>
      </c>
      <c r="AJ11" s="343">
        <f>IF($C11=" "," ",IF(VLOOKUP($B11,'Raw Data'!$A$3:$EI$31,139,FALSE)=" "," ",IF(VLOOKUP($B11,'Raw Data'!$A$3:$EI$31,139,FALSE)&gt;0,VLOOKUP($B11,'Raw Data'!$A$3:$EI$31,139,FALSE)," ")))</f>
        <v>2</v>
      </c>
      <c r="AK11" s="393" t="str">
        <f t="shared" si="40"/>
        <v xml:space="preserve"> </v>
      </c>
      <c r="AL11" s="393" t="str">
        <f t="shared" si="41"/>
        <v xml:space="preserve"> </v>
      </c>
      <c r="AM11" s="393">
        <f>IF(C11=" "," ",IF(AND(VLOOKUP($B11,'cluster'!$A$20:$DN$45,118,0)="NOW"),$B11," "))</f>
        <v>5</v>
      </c>
      <c r="AN11" s="343" t="str">
        <f t="shared" si="42"/>
        <v/>
      </c>
      <c r="AO11" s="393" t="str">
        <f t="shared" si="43"/>
        <v xml:space="preserve"> </v>
      </c>
      <c r="AP11" s="393">
        <f t="shared" si="44"/>
        <v>1</v>
      </c>
      <c r="AQ11" s="343">
        <f t="shared" si="45"/>
        <v>2</v>
      </c>
      <c r="AR11" s="360" t="str">
        <f t="shared" si="46"/>
        <v>5,</v>
      </c>
      <c r="AS11" s="343">
        <f t="shared" si="47"/>
        <v>1.4256175622256419E-2</v>
      </c>
      <c r="AT11" s="343">
        <f t="shared" si="48"/>
        <v>8</v>
      </c>
      <c r="AU11" s="360">
        <f>IF(C11=" "," ",VLOOKUP(B11,LastStart!$A$3:$AI$28,$AU$5,FALSE))</f>
        <v>1</v>
      </c>
      <c r="AV11" s="343" t="str">
        <f t="shared" si="49"/>
        <v>yes</v>
      </c>
      <c r="AW11" s="360" t="str">
        <f t="shared" si="50"/>
        <v>ALT&lt;K35</v>
      </c>
      <c r="AX11" s="343" t="str">
        <f t="shared" si="51"/>
        <v>ALT&lt;K35</v>
      </c>
      <c r="AY11" s="343" t="str">
        <f t="shared" si="52"/>
        <v xml:space="preserve"> </v>
      </c>
      <c r="AZ11" s="343">
        <f t="shared" si="53"/>
        <v>5</v>
      </c>
      <c r="BA11" s="360">
        <f t="shared" si="54"/>
        <v>5</v>
      </c>
      <c r="BB11" s="360">
        <f t="shared" si="55"/>
        <v>5</v>
      </c>
      <c r="BC11" s="412" t="str">
        <f t="shared" si="56"/>
        <v>C</v>
      </c>
      <c r="BD11" s="413" t="str">
        <f t="shared" si="57"/>
        <v xml:space="preserve">5J1C, </v>
      </c>
      <c r="BE11" s="413" t="str">
        <f t="shared" si="58"/>
        <v xml:space="preserve">C  5J1, </v>
      </c>
      <c r="BF11" s="413" t="str">
        <f t="shared" si="59"/>
        <v xml:space="preserve"> </v>
      </c>
      <c r="BG11" s="413" t="str">
        <f t="shared" si="7"/>
        <v>now 5</v>
      </c>
      <c r="BH11" s="413">
        <f t="shared" si="8"/>
        <v>1</v>
      </c>
      <c r="BI11" s="413" t="str">
        <f t="shared" si="9"/>
        <v xml:space="preserve"> </v>
      </c>
      <c r="BJ11" s="413">
        <f t="shared" si="10"/>
        <v>1</v>
      </c>
      <c r="BK11" s="413">
        <f t="shared" si="11"/>
        <v>1</v>
      </c>
      <c r="BL11" s="413">
        <f t="shared" si="12"/>
        <v>2</v>
      </c>
      <c r="BM11" s="413" t="str">
        <f t="shared" si="13"/>
        <v xml:space="preserve"> </v>
      </c>
      <c r="BN11" s="413">
        <f t="shared" si="14"/>
        <v>1</v>
      </c>
      <c r="BO11" s="413" t="str">
        <f t="shared" si="15"/>
        <v xml:space="preserve"> </v>
      </c>
      <c r="BP11" s="413" t="str">
        <f t="shared" si="16"/>
        <v xml:space="preserve"> </v>
      </c>
      <c r="BQ11" s="413">
        <f t="shared" si="60"/>
        <v>1</v>
      </c>
      <c r="BR11" s="413" t="str">
        <f t="shared" si="61"/>
        <v>NOW</v>
      </c>
      <c r="BS11" s="413">
        <f>IF(Table7[[#This Row],[NOW vs PICK1]]="PICK1",Table7[[#This Row],[PICK 1]],Table7[[#This Row],[Now Count]])</f>
        <v>1</v>
      </c>
      <c r="BT11" s="413">
        <f>IFERROR(VLOOKUP($B11,'Raw Data'!$A$3:$W$30,'SPORTSBET FIXED ODDS FOR PARLAY'!$I$2,FALSE)," ")</f>
        <v>7.1</v>
      </c>
      <c r="BU11" s="413">
        <f t="shared" si="17"/>
        <v>1</v>
      </c>
      <c r="BV11" s="413">
        <f t="shared" si="62"/>
        <v>0.375</v>
      </c>
      <c r="BW11" s="413">
        <f t="shared" si="18"/>
        <v>1</v>
      </c>
      <c r="BX11" s="413" t="str">
        <f t="shared" si="19"/>
        <v xml:space="preserve"> </v>
      </c>
      <c r="BY11" s="413">
        <f>IF(C11=" "," ",IF(AND(BV11&gt;=$BV$34),1,IF(AND($K$4="TT",$BN$38="NARROW",Table7[[#This Row],[J7-K7 Count]]=1),1," ")))</f>
        <v>1</v>
      </c>
      <c r="BZ11"/>
      <c r="CA11"/>
      <c r="CB11"/>
      <c r="CC11"/>
      <c r="CD11"/>
      <c r="CE11"/>
      <c r="CF11"/>
      <c r="CG11"/>
      <c r="CH11"/>
    </row>
    <row r="12" spans="1:86" ht="18.899999999999999" customHeight="1" x14ac:dyDescent="0.3">
      <c r="A12" s="208" t="str">
        <f t="shared" si="20"/>
        <v>YES</v>
      </c>
      <c r="B12" s="109">
        <v>6</v>
      </c>
      <c r="C12" s="111" t="str">
        <f>IFERROR(VLOOKUP(B12,'Raw Data'!$A$3:$EA$30,2,0)," ")</f>
        <v>Noor Dropper</v>
      </c>
      <c r="D12" s="200">
        <f>IF(C12=" "," ",VLOOKUP(B12,LastStart!$A$3:$AI$28,$AU$5,FALSE))</f>
        <v>3</v>
      </c>
      <c r="E12" s="111">
        <f t="shared" si="21"/>
        <v>-0.38237952248611612</v>
      </c>
      <c r="F12" s="111">
        <f t="shared" si="22"/>
        <v>0.9233162011196081</v>
      </c>
      <c r="G12" s="112">
        <f t="shared" si="23"/>
        <v>-0.28353990701320364</v>
      </c>
      <c r="H12" s="113">
        <f t="shared" si="24"/>
        <v>3</v>
      </c>
      <c r="I12" s="113">
        <f>IF(C12=" "," ",VLOOKUP(B12,LastStart!$A$3:$AN$28,40,FALSE))</f>
        <v>2</v>
      </c>
      <c r="J12" s="166">
        <f t="shared" si="25"/>
        <v>3</v>
      </c>
      <c r="K12" s="113">
        <f t="shared" si="26"/>
        <v>6</v>
      </c>
      <c r="L12" s="338">
        <f xml:space="preserve">
IF($A12=" "," ",
IF(AND($A12="YES",VLOOKUP($B12,'Raw Data'!$A$3:$W$30,'SPORTSBET FIXED ODDS FOR PARLAY'!$I$2,FALSE)&gt;0),VLOOKUP($B12,'Raw Data'!$A$3:$W$30,'SPORTSBET FIXED ODDS FOR PARLAY'!$I$2,FALSE),
" "))</f>
        <v>21</v>
      </c>
      <c r="M12" s="124">
        <f t="shared" si="27"/>
        <v>2</v>
      </c>
      <c r="N12" s="114">
        <f t="shared" si="5"/>
        <v>4.7619047619047619</v>
      </c>
      <c r="O12" s="115">
        <f t="shared" si="28"/>
        <v>0.12022487130858846</v>
      </c>
      <c r="P12" s="114">
        <f t="shared" si="29"/>
        <v>0</v>
      </c>
      <c r="Q12" s="116">
        <f t="shared" si="30"/>
        <v>0</v>
      </c>
      <c r="R12" s="116">
        <f t="shared" si="31"/>
        <v>5.5598931744461595</v>
      </c>
      <c r="S12" s="117">
        <f t="shared" si="32"/>
        <v>70.511974788708443</v>
      </c>
      <c r="T12" s="82"/>
      <c r="U12" s="118">
        <f t="shared" si="33"/>
        <v>6</v>
      </c>
      <c r="V12" s="119">
        <f t="shared" si="34"/>
        <v>126</v>
      </c>
      <c r="W12" s="119">
        <f t="shared" si="35"/>
        <v>97</v>
      </c>
      <c r="X12" s="120">
        <f t="shared" si="63"/>
        <v>3.3448275862068964</v>
      </c>
      <c r="Y12" s="152">
        <f>IF(D12=" "," ",IFERROR(VLOOKUP($B12,'Raw Data'!$A$3:$X$32,$I$2,0)," "))</f>
        <v>21</v>
      </c>
      <c r="Z12" s="233" t="str">
        <f>VLOOKUP(B12,'S31.ODDS'!$B$7:$Y$30,24,0)</f>
        <v>YES2</v>
      </c>
      <c r="AA12" s="119" t="str">
        <f>VLOOKUP(B12,'A1. PICKS'!$B$7:$Y$30,24,0)</f>
        <v>YES1</v>
      </c>
      <c r="AB12" s="174">
        <f>IF(ISERROR(VLOOKUP(B12,'Dashboard '!$A$3:$AF$26,32,FALSE))," ",VLOOKUP(B12,'Dashboard '!$A$3:$AF$26,32,FALSE))</f>
        <v>4.2737097745891142E-2</v>
      </c>
      <c r="AC12" s="343">
        <f>IFERROR(VLOOKUP(B12,Results!$A$3:$DY$29,129,FALSE)," ")</f>
        <v>0</v>
      </c>
      <c r="AD12" s="343">
        <f>IFERROR(VLOOKUP($B12,'cluster'!$A$20:$CI$45,87,0)," ")</f>
        <v>6</v>
      </c>
      <c r="AE12" s="343">
        <f t="shared" si="36"/>
        <v>6</v>
      </c>
      <c r="AF12" s="343" t="str">
        <f t="shared" si="37"/>
        <v>6,</v>
      </c>
      <c r="AG12" s="367">
        <f>IF(ISERROR(VLOOKUP(B12,'Raw Data'!$A$3:$EA$29,131,FALSE))," ",VLOOKUP(B12,'Raw Data'!$A$3:$EA$29,131,FALSE))</f>
        <v>7</v>
      </c>
      <c r="AH12" s="343">
        <f t="shared" si="38"/>
        <v>6</v>
      </c>
      <c r="AI12" s="343" t="str">
        <f t="shared" si="39"/>
        <v/>
      </c>
      <c r="AJ12" s="343">
        <f>IF($C12=" "," ",IF(VLOOKUP($B12,'Raw Data'!$A$3:$EI$31,139,FALSE)=" "," ",IF(VLOOKUP($B12,'Raw Data'!$A$3:$EI$31,139,FALSE)&gt;0,VLOOKUP($B12,'Raw Data'!$A$3:$EI$31,139,FALSE)," ")))</f>
        <v>3</v>
      </c>
      <c r="AK12" s="393" t="str">
        <f t="shared" si="40"/>
        <v xml:space="preserve"> </v>
      </c>
      <c r="AL12" s="393">
        <f t="shared" si="41"/>
        <v>6</v>
      </c>
      <c r="AM12" s="393">
        <f>IF(C12=" "," ",IF(AND(VLOOKUP($B12,'cluster'!$A$20:$DN$45,118,0)="NOW"),$B12," "))</f>
        <v>6</v>
      </c>
      <c r="AN12" s="343" t="str">
        <f t="shared" si="42"/>
        <v/>
      </c>
      <c r="AO12" s="393">
        <f t="shared" si="43"/>
        <v>6</v>
      </c>
      <c r="AP12" s="393">
        <f t="shared" si="44"/>
        <v>3</v>
      </c>
      <c r="AQ12" s="343">
        <f t="shared" si="45"/>
        <v>3</v>
      </c>
      <c r="AR12" s="360" t="str">
        <f t="shared" si="46"/>
        <v>6,</v>
      </c>
      <c r="AS12" s="343">
        <f t="shared" si="47"/>
        <v>0.83440346402498111</v>
      </c>
      <c r="AT12" s="343">
        <f t="shared" si="48"/>
        <v>4</v>
      </c>
      <c r="AU12" s="360">
        <f>IF(C12=" "," ",VLOOKUP(B12,LastStart!$A$3:$AI$28,$AU$5,FALSE))</f>
        <v>3</v>
      </c>
      <c r="AV12" s="343" t="str">
        <f t="shared" si="49"/>
        <v>yes</v>
      </c>
      <c r="AW12" s="360" t="str">
        <f t="shared" si="50"/>
        <v>ALT&lt;K35</v>
      </c>
      <c r="AX12" s="343" t="str">
        <f t="shared" si="51"/>
        <v>ALT&lt;K35</v>
      </c>
      <c r="AY12" s="343" t="str">
        <f t="shared" si="52"/>
        <v xml:space="preserve"> </v>
      </c>
      <c r="AZ12" s="343">
        <f t="shared" si="53"/>
        <v>5</v>
      </c>
      <c r="BA12" s="360">
        <f t="shared" si="54"/>
        <v>6</v>
      </c>
      <c r="BB12" s="360">
        <f t="shared" si="55"/>
        <v>6</v>
      </c>
      <c r="BC12" s="412" t="str">
        <f t="shared" si="56"/>
        <v>NC</v>
      </c>
      <c r="BD12" s="413" t="str">
        <f t="shared" si="57"/>
        <v xml:space="preserve"> </v>
      </c>
      <c r="BE12" s="413" t="str">
        <f t="shared" si="58"/>
        <v xml:space="preserve"> </v>
      </c>
      <c r="BF12" s="413" t="str">
        <f t="shared" si="59"/>
        <v>times3</v>
      </c>
      <c r="BG12" s="413" t="str">
        <f t="shared" si="7"/>
        <v>now 6</v>
      </c>
      <c r="BH12" s="413">
        <f t="shared" si="8"/>
        <v>1</v>
      </c>
      <c r="BI12" s="413" t="str">
        <f t="shared" si="9"/>
        <v xml:space="preserve"> </v>
      </c>
      <c r="BJ12" s="413">
        <f t="shared" si="10"/>
        <v>2.5</v>
      </c>
      <c r="BK12" s="413">
        <f t="shared" si="11"/>
        <v>1</v>
      </c>
      <c r="BL12" s="413">
        <f t="shared" si="12"/>
        <v>2</v>
      </c>
      <c r="BM12" s="413">
        <f t="shared" si="13"/>
        <v>3</v>
      </c>
      <c r="BN12" s="413" t="str">
        <f t="shared" si="14"/>
        <v xml:space="preserve"> </v>
      </c>
      <c r="BO12" s="413">
        <f t="shared" si="15"/>
        <v>2</v>
      </c>
      <c r="BP12" s="413" t="str">
        <f t="shared" si="16"/>
        <v xml:space="preserve"> </v>
      </c>
      <c r="BQ12" s="413">
        <f t="shared" si="60"/>
        <v>1</v>
      </c>
      <c r="BR12" s="413" t="str">
        <f t="shared" si="61"/>
        <v>NOW</v>
      </c>
      <c r="BS12" s="413">
        <f>IF(Table7[[#This Row],[NOW vs PICK1]]="PICK1",Table7[[#This Row],[PICK 1]],Table7[[#This Row],[Now Count]])</f>
        <v>1</v>
      </c>
      <c r="BT12" s="413">
        <f>IFERROR(VLOOKUP($B12,'Raw Data'!$A$3:$W$30,'SPORTSBET FIXED ODDS FOR PARLAY'!$I$2,FALSE)," ")</f>
        <v>21</v>
      </c>
      <c r="BU12" s="413">
        <f t="shared" si="17"/>
        <v>1</v>
      </c>
      <c r="BV12" s="413">
        <f t="shared" si="62"/>
        <v>0.75</v>
      </c>
      <c r="BW12" s="413">
        <f t="shared" si="18"/>
        <v>1</v>
      </c>
      <c r="BX12" s="413">
        <f t="shared" si="19"/>
        <v>2</v>
      </c>
      <c r="BY12" s="413">
        <f>IF(C12=" "," ",IF(AND(BV12&gt;=$BV$34),1,IF(AND($K$4="TT",$BN$38="NARROW",Table7[[#This Row],[J7-K7 Count]]=1),1," ")))</f>
        <v>1</v>
      </c>
      <c r="BZ12"/>
      <c r="CA12"/>
      <c r="CB12"/>
      <c r="CC12"/>
      <c r="CD12"/>
      <c r="CE12"/>
      <c r="CF12"/>
      <c r="CG12"/>
      <c r="CH12"/>
    </row>
    <row r="13" spans="1:86" ht="18.899999999999999" customHeight="1" x14ac:dyDescent="0.3">
      <c r="A13" s="208" t="str">
        <f t="shared" si="20"/>
        <v xml:space="preserve"> </v>
      </c>
      <c r="B13" s="109">
        <v>7</v>
      </c>
      <c r="C13" s="111" t="str">
        <f>IFERROR(VLOOKUP(B13,'Raw Data'!$A$3:$EA$30,2,0)," ")</f>
        <v>Golfing</v>
      </c>
      <c r="D13" s="200">
        <f>IF(C13=" "," ",VLOOKUP(B13,LastStart!$A$3:$AI$28,$AU$5,FALSE))</f>
        <v>7</v>
      </c>
      <c r="E13" s="111">
        <f t="shared" si="21"/>
        <v>1.1471385674583483</v>
      </c>
      <c r="F13" s="111">
        <f>IF(E13=" "," ",$E13-$D$38)</f>
        <v>2.4528342910640726</v>
      </c>
      <c r="G13" s="112">
        <f t="shared" si="23"/>
        <v>1.2459781829312608</v>
      </c>
      <c r="H13" s="113">
        <f t="shared" si="24"/>
        <v>7</v>
      </c>
      <c r="I13" s="113">
        <f>IF(C13=" "," ",VLOOKUP(B13,LastStart!$A$3:$AN$28,40,FALSE))</f>
        <v>5</v>
      </c>
      <c r="J13" s="166">
        <f t="shared" si="25"/>
        <v>7</v>
      </c>
      <c r="K13" s="113">
        <f t="shared" si="26"/>
        <v>8</v>
      </c>
      <c r="L13" s="338" t="str">
        <f xml:space="preserve">
IF($A13=" "," ",
IF(AND($A13="YES",VLOOKUP($B13,'Raw Data'!$A$3:$W$30,'SPORTSBET FIXED ODDS FOR PARLAY'!$I$2,FALSE)&gt;0),VLOOKUP($B13,'Raw Data'!$A$3:$W$30,'SPORTSBET FIXED ODDS FOR PARLAY'!$I$2,FALSE),
" "))</f>
        <v xml:space="preserve"> </v>
      </c>
      <c r="M13" s="124">
        <f t="shared" si="27"/>
        <v>0</v>
      </c>
      <c r="N13" s="114">
        <f t="shared" si="5"/>
        <v>0</v>
      </c>
      <c r="O13" s="115">
        <f t="shared" si="28"/>
        <v>0</v>
      </c>
      <c r="P13" s="114">
        <f t="shared" si="29"/>
        <v>0</v>
      </c>
      <c r="Q13" s="116" t="str">
        <f t="shared" si="30"/>
        <v xml:space="preserve"> </v>
      </c>
      <c r="R13" s="116">
        <f t="shared" si="31"/>
        <v>0</v>
      </c>
      <c r="S13" s="117" t="str">
        <f t="shared" si="32"/>
        <v xml:space="preserve"> </v>
      </c>
      <c r="T13" s="82"/>
      <c r="U13" s="118" t="str">
        <f t="shared" si="33"/>
        <v xml:space="preserve"> </v>
      </c>
      <c r="V13" s="119" t="str">
        <f t="shared" si="34"/>
        <v xml:space="preserve"> </v>
      </c>
      <c r="W13" s="119" t="str">
        <f t="shared" si="35"/>
        <v xml:space="preserve"> </v>
      </c>
      <c r="X13" s="120" t="str">
        <f t="shared" si="63"/>
        <v xml:space="preserve"> </v>
      </c>
      <c r="Y13" s="152">
        <f>IF(D13=" "," ",IFERROR(VLOOKUP($B13,'Raw Data'!$A$3:$X$32,$I$2,0)," "))</f>
        <v>23.5</v>
      </c>
      <c r="Z13" s="233" t="str">
        <f>VLOOKUP(B13,'S31.ODDS'!$B$7:$Y$30,24,0)</f>
        <v>YES2</v>
      </c>
      <c r="AA13" s="119" t="str">
        <f>VLOOKUP(B13,'A1. PICKS'!$B$7:$Y$30,24,0)</f>
        <v>YES1</v>
      </c>
      <c r="AB13" s="174">
        <f>IF(ISERROR(VLOOKUP(B13,'Dashboard '!$A$3:$AF$26,32,FALSE))," ",VLOOKUP(B13,'Dashboard '!$A$3:$AF$26,32,FALSE))</f>
        <v>3.8190597985689953E-2</v>
      </c>
      <c r="AC13" s="343">
        <f>IFERROR(VLOOKUP(B13,Results!$A$3:$DY$29,129,FALSE)," ")</f>
        <v>0</v>
      </c>
      <c r="AD13" s="343">
        <f>IFERROR(VLOOKUP($B13,'cluster'!$A$20:$CI$45,87,0)," ")</f>
        <v>8</v>
      </c>
      <c r="AE13" s="343" t="str">
        <f t="shared" si="36"/>
        <v xml:space="preserve"> </v>
      </c>
      <c r="AF13" s="343" t="str">
        <f t="shared" si="37"/>
        <v/>
      </c>
      <c r="AG13" s="367">
        <f>IF(ISERROR(VLOOKUP(B13,'Raw Data'!$A$3:$EA$29,131,FALSE))," ",VLOOKUP(B13,'Raw Data'!$A$3:$EA$29,131,FALSE))</f>
        <v>4</v>
      </c>
      <c r="AH13" s="343" t="str">
        <f t="shared" si="38"/>
        <v xml:space="preserve"> </v>
      </c>
      <c r="AI13" s="343" t="str">
        <f t="shared" si="39"/>
        <v/>
      </c>
      <c r="AJ13" s="343">
        <f>IF($C13=" "," ",IF(VLOOKUP($B13,'Raw Data'!$A$3:$EI$31,139,FALSE)=" "," ",IF(VLOOKUP($B13,'Raw Data'!$A$3:$EI$31,139,FALSE)&gt;0,VLOOKUP($B13,'Raw Data'!$A$3:$EI$31,139,FALSE)," ")))</f>
        <v>8</v>
      </c>
      <c r="AK13" s="393" t="str">
        <f t="shared" si="40"/>
        <v xml:space="preserve"> </v>
      </c>
      <c r="AL13" s="393">
        <f t="shared" si="41"/>
        <v>7</v>
      </c>
      <c r="AM13" s="393" t="str">
        <f>IF(C13=" "," ",IF(AND(VLOOKUP($B13,'cluster'!$A$20:$DN$45,118,0)="NOW"),$B13," "))</f>
        <v xml:space="preserve"> </v>
      </c>
      <c r="AN13" s="343" t="str">
        <f t="shared" si="42"/>
        <v/>
      </c>
      <c r="AO13" s="393">
        <f t="shared" si="43"/>
        <v>7</v>
      </c>
      <c r="AP13" s="393">
        <f t="shared" si="44"/>
        <v>2</v>
      </c>
      <c r="AQ13" s="343">
        <f t="shared" si="45"/>
        <v>8</v>
      </c>
      <c r="AR13" s="360" t="str">
        <f t="shared" si="46"/>
        <v xml:space="preserve"> </v>
      </c>
      <c r="AS13" s="343">
        <f t="shared" si="47"/>
        <v>0.88051921055410554</v>
      </c>
      <c r="AT13" s="343">
        <f t="shared" si="48"/>
        <v>3</v>
      </c>
      <c r="AU13" s="360">
        <f>IF(C13=" "," ",VLOOKUP(B13,LastStart!$A$3:$AI$28,$AU$5,FALSE))</f>
        <v>7</v>
      </c>
      <c r="AV13" s="343" t="str">
        <f t="shared" si="49"/>
        <v>YES</v>
      </c>
      <c r="AW13" s="360" t="str">
        <f t="shared" si="50"/>
        <v xml:space="preserve"> </v>
      </c>
      <c r="AX13" s="343" t="str">
        <f t="shared" si="51"/>
        <v xml:space="preserve"> </v>
      </c>
      <c r="AY13" s="343" t="str">
        <f t="shared" si="52"/>
        <v xml:space="preserve"> </v>
      </c>
      <c r="AZ13" s="343">
        <f t="shared" si="53"/>
        <v>5</v>
      </c>
      <c r="BA13" s="360" t="str">
        <f t="shared" si="54"/>
        <v xml:space="preserve"> </v>
      </c>
      <c r="BB13" s="360" t="str">
        <f t="shared" si="55"/>
        <v xml:space="preserve"> </v>
      </c>
      <c r="BC13" s="412" t="str">
        <f t="shared" si="56"/>
        <v>NC</v>
      </c>
      <c r="BD13" s="413" t="str">
        <f t="shared" si="57"/>
        <v xml:space="preserve"> </v>
      </c>
      <c r="BE13" s="413" t="str">
        <f t="shared" si="58"/>
        <v xml:space="preserve"> </v>
      </c>
      <c r="BF13" s="413" t="str">
        <f t="shared" si="59"/>
        <v xml:space="preserve"> </v>
      </c>
      <c r="BG13" s="413" t="str">
        <f t="shared" si="7"/>
        <v xml:space="preserve"> </v>
      </c>
      <c r="BH13" s="413" t="str">
        <f t="shared" si="8"/>
        <v xml:space="preserve"> </v>
      </c>
      <c r="BI13" s="413">
        <f t="shared" si="9"/>
        <v>3</v>
      </c>
      <c r="BJ13" s="413">
        <f t="shared" si="10"/>
        <v>6</v>
      </c>
      <c r="BK13" s="413" t="str">
        <f t="shared" si="11"/>
        <v xml:space="preserve"> </v>
      </c>
      <c r="BL13" s="413" t="str">
        <f t="shared" si="12"/>
        <v xml:space="preserve"> </v>
      </c>
      <c r="BM13" s="413">
        <f t="shared" si="13"/>
        <v>3</v>
      </c>
      <c r="BN13" s="413" t="str">
        <f t="shared" si="14"/>
        <v xml:space="preserve"> </v>
      </c>
      <c r="BO13" s="413" t="str">
        <f t="shared" si="15"/>
        <v xml:space="preserve"> </v>
      </c>
      <c r="BP13" s="413">
        <f t="shared" si="16"/>
        <v>3</v>
      </c>
      <c r="BQ13" s="413" t="str">
        <f t="shared" si="60"/>
        <v xml:space="preserve"> </v>
      </c>
      <c r="BR13" s="413" t="str">
        <f t="shared" si="61"/>
        <v>NOW</v>
      </c>
      <c r="BS13" s="413" t="str">
        <f>IF(Table7[[#This Row],[NOW vs PICK1]]="PICK1",Table7[[#This Row],[PICK 1]],Table7[[#This Row],[Now Count]])</f>
        <v xml:space="preserve"> </v>
      </c>
      <c r="BT13" s="413">
        <f>IFERROR(VLOOKUP($B13,'Raw Data'!$A$3:$W$30,'SPORTSBET FIXED ODDS FOR PARLAY'!$I$2,FALSE)," ")</f>
        <v>23.5</v>
      </c>
      <c r="BU13" s="413">
        <f t="shared" si="17"/>
        <v>1</v>
      </c>
      <c r="BV13" s="413">
        <f t="shared" si="62"/>
        <v>1</v>
      </c>
      <c r="BW13" s="413" t="str">
        <f t="shared" si="18"/>
        <v xml:space="preserve"> </v>
      </c>
      <c r="BX13" s="413" t="str">
        <f t="shared" si="19"/>
        <v xml:space="preserve"> </v>
      </c>
      <c r="BY13" s="413">
        <f>IF(C13=" "," ",IF(AND(BV13&gt;=$BV$34),1,IF(AND($K$4="TT",$BN$38="NARROW",Table7[[#This Row],[J7-K7 Count]]=1),1," ")))</f>
        <v>1</v>
      </c>
      <c r="BZ13"/>
      <c r="CA13"/>
      <c r="CB13"/>
      <c r="CC13"/>
      <c r="CD13"/>
      <c r="CE13"/>
      <c r="CF13"/>
      <c r="CG13"/>
      <c r="CH13"/>
    </row>
    <row r="14" spans="1:86" ht="18.899999999999999" customHeight="1" x14ac:dyDescent="0.3">
      <c r="A14" s="208" t="str">
        <f t="shared" si="20"/>
        <v xml:space="preserve"> </v>
      </c>
      <c r="B14" s="109">
        <v>8</v>
      </c>
      <c r="C14" s="111" t="str">
        <f>IFERROR(VLOOKUP(B14,'Raw Data'!$A$3:$EA$30,2,0)," ")</f>
        <v>Society Queen</v>
      </c>
      <c r="D14" s="200">
        <f>IF(C14=" "," ",VLOOKUP(B14,LastStart!$A$3:$AI$28,$AU$5,FALSE))</f>
        <v>4</v>
      </c>
      <c r="E14" s="111">
        <f t="shared" si="21"/>
        <v>0</v>
      </c>
      <c r="F14" s="111">
        <f t="shared" si="22"/>
        <v>1.3056957236057243</v>
      </c>
      <c r="G14" s="112">
        <f t="shared" si="23"/>
        <v>9.8839615472912493E-2</v>
      </c>
      <c r="H14" s="113">
        <f t="shared" si="24"/>
        <v>4</v>
      </c>
      <c r="I14" s="113">
        <f>IF(C14=" "," ",VLOOKUP(B14,LastStart!$A$3:$AN$28,40,FALSE))</f>
        <v>7</v>
      </c>
      <c r="J14" s="166">
        <f t="shared" si="25"/>
        <v>4</v>
      </c>
      <c r="K14" s="113">
        <f t="shared" si="26"/>
        <v>5</v>
      </c>
      <c r="L14" s="338" t="str">
        <f xml:space="preserve">
IF($A14=" "," ",
IF(AND($A14="YES",VLOOKUP($B14,'Raw Data'!$A$3:$W$30,'SPORTSBET FIXED ODDS FOR PARLAY'!$I$2,FALSE)&gt;0),VLOOKUP($B14,'Raw Data'!$A$3:$W$30,'SPORTSBET FIXED ODDS FOR PARLAY'!$I$2,FALSE),
" "))</f>
        <v xml:space="preserve"> </v>
      </c>
      <c r="M14" s="124">
        <f t="shared" si="27"/>
        <v>0</v>
      </c>
      <c r="N14" s="114">
        <f t="shared" si="5"/>
        <v>0</v>
      </c>
      <c r="O14" s="115">
        <f t="shared" si="28"/>
        <v>0</v>
      </c>
      <c r="P14" s="114">
        <f t="shared" si="29"/>
        <v>0</v>
      </c>
      <c r="Q14" s="116" t="str">
        <f t="shared" si="30"/>
        <v xml:space="preserve"> </v>
      </c>
      <c r="R14" s="116">
        <f t="shared" si="31"/>
        <v>0</v>
      </c>
      <c r="S14" s="117" t="str">
        <f t="shared" si="32"/>
        <v xml:space="preserve"> </v>
      </c>
      <c r="T14" s="82"/>
      <c r="U14" s="118" t="str">
        <f t="shared" si="33"/>
        <v xml:space="preserve"> </v>
      </c>
      <c r="V14" s="119" t="str">
        <f t="shared" si="34"/>
        <v xml:space="preserve"> </v>
      </c>
      <c r="W14" s="119" t="str">
        <f t="shared" si="35"/>
        <v xml:space="preserve"> </v>
      </c>
      <c r="X14" s="120" t="str">
        <f t="shared" si="63"/>
        <v xml:space="preserve"> </v>
      </c>
      <c r="Y14" s="152">
        <f>IF(D14=" "," ",IFERROR(VLOOKUP($B14,'Raw Data'!$A$3:$X$32,$I$2,0)," "))</f>
        <v>13</v>
      </c>
      <c r="Z14" s="233" t="str">
        <f>VLOOKUP(B14,'S31.ODDS'!$B$7:$Y$30,24,0)</f>
        <v>YES2</v>
      </c>
      <c r="AA14" s="119" t="str">
        <f>VLOOKUP(B14,'A1. PICKS'!$B$7:$Y$30,24,0)</f>
        <v>YES6</v>
      </c>
      <c r="AB14" s="174">
        <f>IF(ISERROR(VLOOKUP(B14,'Dashboard '!$A$3:$AF$26,32,FALSE))," ",VLOOKUP(B14,'Dashboard '!$A$3:$AF$26,32,FALSE))</f>
        <v>6.9036850204901079E-2</v>
      </c>
      <c r="AC14" s="343">
        <f>IFERROR(VLOOKUP(B14,Results!$A$3:$DY$29,129,FALSE)," ")</f>
        <v>0</v>
      </c>
      <c r="AD14" s="343">
        <f>IFERROR(VLOOKUP($B14,'cluster'!$A$20:$CI$45,87,0)," ")</f>
        <v>5</v>
      </c>
      <c r="AE14" s="343" t="str">
        <f t="shared" si="36"/>
        <v xml:space="preserve"> </v>
      </c>
      <c r="AF14" s="343" t="str">
        <f t="shared" si="37"/>
        <v/>
      </c>
      <c r="AG14" s="367">
        <f>IF(ISERROR(VLOOKUP(B14,'Raw Data'!$A$3:$EA$29,131,FALSE))," ",VLOOKUP(B14,'Raw Data'!$A$3:$EA$29,131,FALSE))</f>
        <v>5</v>
      </c>
      <c r="AH14" s="343" t="str">
        <f t="shared" si="38"/>
        <v xml:space="preserve"> </v>
      </c>
      <c r="AI14" s="343" t="str">
        <f t="shared" si="39"/>
        <v/>
      </c>
      <c r="AJ14" s="343">
        <f>IF($C14=" "," ",IF(VLOOKUP($B14,'Raw Data'!$A$3:$EI$31,139,FALSE)=" "," ",IF(VLOOKUP($B14,'Raw Data'!$A$3:$EI$31,139,FALSE)&gt;0,VLOOKUP($B14,'Raw Data'!$A$3:$EI$31,139,FALSE)," ")))</f>
        <v>5</v>
      </c>
      <c r="AK14" s="393" t="str">
        <f t="shared" si="40"/>
        <v xml:space="preserve"> </v>
      </c>
      <c r="AL14" s="393">
        <f t="shared" si="41"/>
        <v>8</v>
      </c>
      <c r="AM14" s="393" t="str">
        <f>IF(C14=" "," ",IF(AND(VLOOKUP($B14,'cluster'!$A$20:$DN$45,118,0)="NOW"),$B14," "))</f>
        <v xml:space="preserve"> </v>
      </c>
      <c r="AN14" s="343" t="str">
        <f t="shared" si="42"/>
        <v/>
      </c>
      <c r="AO14" s="393">
        <f t="shared" si="43"/>
        <v>8</v>
      </c>
      <c r="AP14" s="393">
        <f t="shared" si="44"/>
        <v>2</v>
      </c>
      <c r="AQ14" s="343">
        <f t="shared" si="45"/>
        <v>5</v>
      </c>
      <c r="AR14" s="360" t="str">
        <f t="shared" si="46"/>
        <v xml:space="preserve"> </v>
      </c>
      <c r="AS14" s="343">
        <f t="shared" si="47"/>
        <v>0.56764160717958489</v>
      </c>
      <c r="AT14" s="343">
        <f t="shared" si="48"/>
        <v>6</v>
      </c>
      <c r="AU14" s="360">
        <f>IF(C14=" "," ",VLOOKUP(B14,LastStart!$A$3:$AI$28,$AU$5,FALSE))</f>
        <v>4</v>
      </c>
      <c r="AV14" s="343" t="str">
        <f t="shared" si="49"/>
        <v>YES</v>
      </c>
      <c r="AW14" s="360" t="str">
        <f t="shared" si="50"/>
        <v xml:space="preserve"> </v>
      </c>
      <c r="AX14" s="343" t="str">
        <f t="shared" si="51"/>
        <v xml:space="preserve"> </v>
      </c>
      <c r="AY14" s="343" t="str">
        <f t="shared" si="52"/>
        <v xml:space="preserve"> </v>
      </c>
      <c r="AZ14" s="343">
        <f t="shared" si="53"/>
        <v>5</v>
      </c>
      <c r="BA14" s="360" t="str">
        <f t="shared" si="54"/>
        <v xml:space="preserve"> </v>
      </c>
      <c r="BB14" s="360" t="str">
        <f t="shared" si="55"/>
        <v xml:space="preserve"> </v>
      </c>
      <c r="BC14" s="412" t="str">
        <f t="shared" si="56"/>
        <v>NC</v>
      </c>
      <c r="BD14" s="413" t="str">
        <f t="shared" si="57"/>
        <v xml:space="preserve"> </v>
      </c>
      <c r="BE14" s="413" t="str">
        <f t="shared" si="58"/>
        <v xml:space="preserve"> </v>
      </c>
      <c r="BF14" s="413" t="str">
        <f t="shared" si="59"/>
        <v xml:space="preserve"> </v>
      </c>
      <c r="BG14" s="413" t="str">
        <f t="shared" si="7"/>
        <v xml:space="preserve"> </v>
      </c>
      <c r="BH14" s="413" t="str">
        <f t="shared" si="8"/>
        <v xml:space="preserve"> </v>
      </c>
      <c r="BI14" s="413" t="str">
        <f t="shared" si="9"/>
        <v xml:space="preserve"> </v>
      </c>
      <c r="BJ14" s="413">
        <f t="shared" si="10"/>
        <v>5.5</v>
      </c>
      <c r="BK14" s="413" t="str">
        <f t="shared" si="11"/>
        <v xml:space="preserve"> </v>
      </c>
      <c r="BL14" s="413">
        <f t="shared" si="12"/>
        <v>2</v>
      </c>
      <c r="BM14" s="413">
        <f t="shared" si="13"/>
        <v>3</v>
      </c>
      <c r="BN14" s="413" t="str">
        <f t="shared" si="14"/>
        <v xml:space="preserve"> </v>
      </c>
      <c r="BO14" s="413">
        <f t="shared" si="15"/>
        <v>2</v>
      </c>
      <c r="BP14" s="413">
        <f t="shared" si="16"/>
        <v>3</v>
      </c>
      <c r="BQ14" s="413" t="str">
        <f t="shared" si="60"/>
        <v xml:space="preserve"> </v>
      </c>
      <c r="BR14" s="413" t="str">
        <f t="shared" si="61"/>
        <v>NOW</v>
      </c>
      <c r="BS14" s="413" t="str">
        <f>IF(Table7[[#This Row],[NOW vs PICK1]]="PICK1",Table7[[#This Row],[PICK 1]],Table7[[#This Row],[Now Count]])</f>
        <v xml:space="preserve"> </v>
      </c>
      <c r="BT14" s="413">
        <f>IFERROR(VLOOKUP($B14,'Raw Data'!$A$3:$W$30,'SPORTSBET FIXED ODDS FOR PARLAY'!$I$2,FALSE)," ")</f>
        <v>13</v>
      </c>
      <c r="BU14" s="413" t="str">
        <f t="shared" si="17"/>
        <v xml:space="preserve"> </v>
      </c>
      <c r="BV14" s="413">
        <f t="shared" si="62"/>
        <v>0.625</v>
      </c>
      <c r="BW14" s="413">
        <f t="shared" si="18"/>
        <v>1</v>
      </c>
      <c r="BX14" s="413">
        <f t="shared" si="19"/>
        <v>2</v>
      </c>
      <c r="BY14" s="413" t="str">
        <f>IF(C14=" "," ",IF(AND(BV14&gt;=$BV$34),1,IF(AND($K$4="TT",$BN$38="NARROW",Table7[[#This Row],[J7-K7 Count]]=1),1," ")))</f>
        <v xml:space="preserve"> </v>
      </c>
      <c r="BZ14"/>
      <c r="CA14"/>
      <c r="CB14"/>
      <c r="CC14"/>
      <c r="CD14"/>
      <c r="CE14"/>
      <c r="CF14"/>
      <c r="CG14"/>
      <c r="CH14"/>
    </row>
    <row r="15" spans="1:86" ht="18.899999999999999" customHeight="1" x14ac:dyDescent="0.3">
      <c r="A15" s="208" t="str">
        <f t="shared" si="20"/>
        <v xml:space="preserve"> </v>
      </c>
      <c r="B15" s="109">
        <v>9</v>
      </c>
      <c r="C15" s="111" t="str">
        <f>IFERROR(VLOOKUP(B15,'Raw Data'!$A$3:$EA$30,2,0)," ")</f>
        <v>Toecanargie Man</v>
      </c>
      <c r="D15" s="200">
        <f>IF(C15=" "," ",VLOOKUP(B15,LastStart!$A$3:$AI$28,$AU$5,FALSE))</f>
        <v>8</v>
      </c>
      <c r="E15" s="111">
        <f t="shared" si="21"/>
        <v>1.5295180899444645</v>
      </c>
      <c r="F15" s="111">
        <f t="shared" si="22"/>
        <v>2.8352138135501885</v>
      </c>
      <c r="G15" s="112">
        <f t="shared" si="23"/>
        <v>1.628357705417377</v>
      </c>
      <c r="H15" s="113">
        <f t="shared" si="24"/>
        <v>8</v>
      </c>
      <c r="I15" s="113">
        <f>IF(C15=" "," ",VLOOKUP(B15,LastStart!$A$3:$AN$28,40,FALSE))</f>
        <v>7</v>
      </c>
      <c r="J15" s="166">
        <f t="shared" si="25"/>
        <v>8</v>
      </c>
      <c r="K15" s="113">
        <f t="shared" si="26"/>
        <v>4</v>
      </c>
      <c r="L15" s="338" t="str">
        <f xml:space="preserve">
IF($A15=" "," ",
IF(AND($A15="YES",VLOOKUP($B15,'Raw Data'!$A$3:$W$30,'SPORTSBET FIXED ODDS FOR PARLAY'!$I$2,FALSE)&gt;0),VLOOKUP($B15,'Raw Data'!$A$3:$W$30,'SPORTSBET FIXED ODDS FOR PARLAY'!$I$2,FALSE),
" "))</f>
        <v xml:space="preserve"> </v>
      </c>
      <c r="M15" s="124">
        <f t="shared" si="27"/>
        <v>2</v>
      </c>
      <c r="N15" s="114">
        <f t="shared" si="5"/>
        <v>0</v>
      </c>
      <c r="O15" s="115">
        <f t="shared" si="28"/>
        <v>0</v>
      </c>
      <c r="P15" s="114">
        <f t="shared" si="29"/>
        <v>0</v>
      </c>
      <c r="Q15" s="116" t="str">
        <f t="shared" si="30"/>
        <v xml:space="preserve"> </v>
      </c>
      <c r="R15" s="116">
        <f t="shared" si="31"/>
        <v>0</v>
      </c>
      <c r="S15" s="117" t="str">
        <f t="shared" si="32"/>
        <v xml:space="preserve"> </v>
      </c>
      <c r="T15" s="82"/>
      <c r="U15" s="118" t="str">
        <f t="shared" si="33"/>
        <v xml:space="preserve"> </v>
      </c>
      <c r="V15" s="119" t="str">
        <f t="shared" si="34"/>
        <v xml:space="preserve"> </v>
      </c>
      <c r="W15" s="119" t="str">
        <f t="shared" si="35"/>
        <v xml:space="preserve"> </v>
      </c>
      <c r="X15" s="120" t="str">
        <f t="shared" si="63"/>
        <v xml:space="preserve"> </v>
      </c>
      <c r="Y15" s="152">
        <f>IF(D15=" "," ",IFERROR(VLOOKUP($B15,'Raw Data'!$A$3:$X$32,$I$2,0)," "))</f>
        <v>8.5</v>
      </c>
      <c r="Z15" s="233" t="str">
        <f>VLOOKUP(B15,'S31.ODDS'!$B$7:$Y$30,24,0)</f>
        <v xml:space="preserve"> </v>
      </c>
      <c r="AA15" s="119" t="str">
        <f>VLOOKUP(B15,'A1. PICKS'!$B$7:$Y$30,24,0)</f>
        <v>YES3</v>
      </c>
      <c r="AB15" s="174">
        <f>IF(ISERROR(VLOOKUP(B15,'Dashboard '!$A$3:$AF$26,32,FALSE))," ",VLOOKUP(B15,'Dashboard '!$A$3:$AF$26,32,FALSE))</f>
        <v>0.1055857709016134</v>
      </c>
      <c r="AC15" s="343">
        <f>IFERROR(VLOOKUP(B15,Results!$A$3:$DY$29,129,FALSE)," ")</f>
        <v>0</v>
      </c>
      <c r="AD15" s="343" t="str">
        <f>IFERROR(VLOOKUP($B15,'cluster'!$A$20:$CI$45,87,0)," ")</f>
        <v xml:space="preserve"> </v>
      </c>
      <c r="AE15" s="343" t="str">
        <f t="shared" si="36"/>
        <v xml:space="preserve"> </v>
      </c>
      <c r="AF15" s="343" t="str">
        <f t="shared" si="37"/>
        <v/>
      </c>
      <c r="AG15" s="367">
        <f>IF(ISERROR(VLOOKUP(B15,'Raw Data'!$A$3:$EA$29,131,FALSE))," ",VLOOKUP(B15,'Raw Data'!$A$3:$EA$29,131,FALSE))</f>
        <v>3</v>
      </c>
      <c r="AH15" s="343">
        <f t="shared" si="38"/>
        <v>9</v>
      </c>
      <c r="AI15" s="343" t="str">
        <f t="shared" si="39"/>
        <v/>
      </c>
      <c r="AJ15" s="343">
        <f>IF($C15=" "," ",IF(VLOOKUP($B15,'Raw Data'!$A$3:$EI$31,139,FALSE)=" "," ",IF(VLOOKUP($B15,'Raw Data'!$A$3:$EI$31,139,FALSE)&gt;0,VLOOKUP($B15,'Raw Data'!$A$3:$EI$31,139,FALSE)," ")))</f>
        <v>1</v>
      </c>
      <c r="AK15" s="393">
        <f t="shared" si="40"/>
        <v>9</v>
      </c>
      <c r="AL15" s="393" t="str">
        <f t="shared" si="41"/>
        <v xml:space="preserve"> </v>
      </c>
      <c r="AM15" s="393">
        <f>IF(C15=" "," ",IF(AND(VLOOKUP($B15,'cluster'!$A$20:$DN$45,118,0)="NOW"),$B15," "))</f>
        <v>9</v>
      </c>
      <c r="AN15" s="343" t="str">
        <f t="shared" si="42"/>
        <v/>
      </c>
      <c r="AO15" s="393">
        <f t="shared" si="43"/>
        <v>9</v>
      </c>
      <c r="AP15" s="393">
        <f t="shared" si="44"/>
        <v>3</v>
      </c>
      <c r="AQ15" s="343">
        <f t="shared" si="45"/>
        <v>1</v>
      </c>
      <c r="AR15" s="360" t="str">
        <f t="shared" si="46"/>
        <v xml:space="preserve"> </v>
      </c>
      <c r="AS15" s="343">
        <f t="shared" si="47"/>
        <v>0.19692108553414467</v>
      </c>
      <c r="AT15" s="343">
        <f t="shared" si="48"/>
        <v>7</v>
      </c>
      <c r="AU15" s="360">
        <f>IF(C15=" "," ",VLOOKUP(B15,LastStart!$A$3:$AI$28,$AU$5,FALSE))</f>
        <v>8</v>
      </c>
      <c r="AV15" s="343" t="str">
        <f t="shared" si="49"/>
        <v>YES</v>
      </c>
      <c r="AW15" s="360" t="str">
        <f t="shared" si="50"/>
        <v xml:space="preserve"> </v>
      </c>
      <c r="AX15" s="343" t="str">
        <f t="shared" si="51"/>
        <v xml:space="preserve"> </v>
      </c>
      <c r="AY15" s="343" t="str">
        <f t="shared" si="52"/>
        <v xml:space="preserve"> </v>
      </c>
      <c r="AZ15" s="343">
        <f t="shared" si="53"/>
        <v>5</v>
      </c>
      <c r="BA15" s="360" t="str">
        <f t="shared" si="54"/>
        <v xml:space="preserve"> </v>
      </c>
      <c r="BB15" s="360" t="str">
        <f t="shared" si="55"/>
        <v xml:space="preserve"> </v>
      </c>
      <c r="BC15" s="412" t="str">
        <f t="shared" si="56"/>
        <v>NC</v>
      </c>
      <c r="BD15" s="413" t="str">
        <f t="shared" si="57"/>
        <v xml:space="preserve"> </v>
      </c>
      <c r="BE15" s="413" t="str">
        <f t="shared" si="58"/>
        <v xml:space="preserve"> </v>
      </c>
      <c r="BF15" s="413" t="str">
        <f t="shared" si="59"/>
        <v>times3</v>
      </c>
      <c r="BG15" s="413" t="str">
        <f t="shared" si="7"/>
        <v>now 9</v>
      </c>
      <c r="BH15" s="413">
        <f t="shared" si="8"/>
        <v>1</v>
      </c>
      <c r="BI15" s="413" t="str">
        <f t="shared" si="9"/>
        <v xml:space="preserve"> </v>
      </c>
      <c r="BJ15" s="413">
        <f t="shared" si="10"/>
        <v>7.5</v>
      </c>
      <c r="BK15" s="413" t="str">
        <f t="shared" si="11"/>
        <v xml:space="preserve"> </v>
      </c>
      <c r="BL15" s="413">
        <f t="shared" si="12"/>
        <v>2</v>
      </c>
      <c r="BM15" s="413" t="str">
        <f t="shared" si="13"/>
        <v xml:space="preserve"> </v>
      </c>
      <c r="BN15" s="413" t="str">
        <f t="shared" si="14"/>
        <v xml:space="preserve"> </v>
      </c>
      <c r="BO15" s="413" t="str">
        <f t="shared" si="15"/>
        <v xml:space="preserve"> </v>
      </c>
      <c r="BP15" s="413">
        <f t="shared" si="16"/>
        <v>3</v>
      </c>
      <c r="BQ15" s="413" t="str">
        <f t="shared" si="60"/>
        <v xml:space="preserve"> </v>
      </c>
      <c r="BR15" s="413" t="str">
        <f t="shared" si="61"/>
        <v>NOW</v>
      </c>
      <c r="BS15" s="413">
        <f>IF(Table7[[#This Row],[NOW vs PICK1]]="PICK1",Table7[[#This Row],[PICK 1]],Table7[[#This Row],[Now Count]])</f>
        <v>1</v>
      </c>
      <c r="BT15" s="413">
        <f>IFERROR(VLOOKUP($B15,'Raw Data'!$A$3:$W$30,'SPORTSBET FIXED ODDS FOR PARLAY'!$I$2,FALSE)," ")</f>
        <v>8.5</v>
      </c>
      <c r="BU15" s="413" t="str">
        <f t="shared" si="17"/>
        <v xml:space="preserve"> </v>
      </c>
      <c r="BV15" s="413">
        <f t="shared" si="62"/>
        <v>0.5</v>
      </c>
      <c r="BW15" s="413">
        <f t="shared" si="18"/>
        <v>1</v>
      </c>
      <c r="BX15" s="413">
        <f t="shared" si="19"/>
        <v>2</v>
      </c>
      <c r="BY15" s="413" t="str">
        <f>IF(C15=" "," ",IF(AND(BV15&gt;=$BV$34),1,IF(AND($K$4="TT",$BN$38="NARROW",Table7[[#This Row],[J7-K7 Count]]=1),1," ")))</f>
        <v xml:space="preserve"> </v>
      </c>
      <c r="BZ15"/>
      <c r="CA15"/>
      <c r="CB15"/>
      <c r="CC15"/>
      <c r="CD15"/>
      <c r="CE15"/>
      <c r="CF15"/>
      <c r="CG15"/>
      <c r="CH15"/>
    </row>
    <row r="16" spans="1:86" ht="18.899999999999999" customHeight="1" x14ac:dyDescent="0.3">
      <c r="A16" s="208" t="str">
        <f t="shared" si="20"/>
        <v xml:space="preserve"> </v>
      </c>
      <c r="B16" s="109">
        <v>10</v>
      </c>
      <c r="C16" s="111" t="str">
        <f>IFERROR(VLOOKUP(B16,'Raw Data'!$A$3:$EA$30,2,0)," ")</f>
        <v xml:space="preserve"> </v>
      </c>
      <c r="D16" s="200" t="str">
        <f>IF(C16=" "," ",VLOOKUP(B16,LastStart!$A$3:$AI$28,$AU$5,FALSE))</f>
        <v xml:space="preserve"> </v>
      </c>
      <c r="E16" s="111" t="str">
        <f t="shared" si="21"/>
        <v xml:space="preserve"> </v>
      </c>
      <c r="F16" s="111" t="str">
        <f t="shared" si="22"/>
        <v xml:space="preserve"> </v>
      </c>
      <c r="G16" s="112" t="str">
        <f t="shared" si="23"/>
        <v xml:space="preserve"> </v>
      </c>
      <c r="H16" s="113" t="str">
        <f t="shared" si="24"/>
        <v xml:space="preserve"> </v>
      </c>
      <c r="I16" s="113" t="str">
        <f>IF(C16=" "," ",VLOOKUP(B16,LastStart!$A$3:$AN$28,40,FALSE))</f>
        <v xml:space="preserve"> </v>
      </c>
      <c r="J16" s="166" t="str">
        <f t="shared" si="25"/>
        <v/>
      </c>
      <c r="K16" s="113" t="str">
        <f t="shared" si="26"/>
        <v xml:space="preserve"> </v>
      </c>
      <c r="L16" s="338" t="str">
        <f xml:space="preserve">
IF($A16=" "," ",
IF(AND($A16="YES",VLOOKUP($B16,'Raw Data'!$A$3:$W$30,'SPORTSBET FIXED ODDS FOR PARLAY'!$I$2,FALSE)&gt;0),VLOOKUP($B16,'Raw Data'!$A$3:$W$30,'SPORTSBET FIXED ODDS FOR PARLAY'!$I$2,FALSE),
" "))</f>
        <v xml:space="preserve"> </v>
      </c>
      <c r="M16" s="124" t="str">
        <f t="shared" si="27"/>
        <v xml:space="preserve"> </v>
      </c>
      <c r="N16" s="114">
        <f t="shared" si="5"/>
        <v>0</v>
      </c>
      <c r="O16" s="115">
        <f t="shared" si="28"/>
        <v>0</v>
      </c>
      <c r="P16" s="114">
        <f t="shared" si="29"/>
        <v>0</v>
      </c>
      <c r="Q16" s="116" t="str">
        <f t="shared" si="30"/>
        <v xml:space="preserve"> </v>
      </c>
      <c r="R16" s="116">
        <f t="shared" si="31"/>
        <v>0</v>
      </c>
      <c r="S16" s="117" t="str">
        <f t="shared" si="32"/>
        <v xml:space="preserve"> </v>
      </c>
      <c r="T16" s="82"/>
      <c r="U16" s="118" t="str">
        <f t="shared" si="33"/>
        <v xml:space="preserve"> </v>
      </c>
      <c r="V16" s="119" t="str">
        <f t="shared" si="34"/>
        <v xml:space="preserve"> </v>
      </c>
      <c r="W16" s="119" t="str">
        <f t="shared" si="35"/>
        <v xml:space="preserve"> </v>
      </c>
      <c r="X16" s="120" t="str">
        <f t="shared" si="63"/>
        <v xml:space="preserve"> </v>
      </c>
      <c r="Y16" s="152" t="str">
        <f>IF(D16=" "," ",IFERROR(VLOOKUP($B16,'Raw Data'!$A$3:$X$32,$I$2,0)," "))</f>
        <v xml:space="preserve"> </v>
      </c>
      <c r="Z16" s="233" t="str">
        <f>VLOOKUP(B16,'S31.ODDS'!$B$7:$Y$30,24,0)</f>
        <v xml:space="preserve"> </v>
      </c>
      <c r="AA16" s="119" t="str">
        <f>VLOOKUP(B16,'A1. PICKS'!$B$7:$Y$30,24,0)</f>
        <v xml:space="preserve"> </v>
      </c>
      <c r="AB16" s="174" t="str">
        <f>IF(ISERROR(VLOOKUP(B16,'Dashboard '!$A$3:$AF$26,32,FALSE))," ",VLOOKUP(B16,'Dashboard '!$A$3:$AF$26,32,FALSE))</f>
        <v xml:space="preserve"> </v>
      </c>
      <c r="AC16" s="343" t="str">
        <f>IFERROR(VLOOKUP(B16,Results!$A$3:$DY$29,129,FALSE)," ")</f>
        <v xml:space="preserve"> </v>
      </c>
      <c r="AD16" s="343" t="str">
        <f>IFERROR(VLOOKUP($B16,'cluster'!$A$20:$CI$45,87,0)," ")</f>
        <v xml:space="preserve"> </v>
      </c>
      <c r="AE16" s="343" t="str">
        <f t="shared" si="36"/>
        <v xml:space="preserve"> </v>
      </c>
      <c r="AF16" s="343" t="str">
        <f t="shared" si="37"/>
        <v/>
      </c>
      <c r="AG16" s="367" t="str">
        <f>IF(ISERROR(VLOOKUP(B16,'Raw Data'!$A$3:$EA$29,131,FALSE))," ",VLOOKUP(B16,'Raw Data'!$A$3:$EA$29,131,FALSE))</f>
        <v xml:space="preserve"> </v>
      </c>
      <c r="AH16" s="343" t="str">
        <f t="shared" si="38"/>
        <v xml:space="preserve"> </v>
      </c>
      <c r="AI16" s="343" t="str">
        <f t="shared" si="39"/>
        <v/>
      </c>
      <c r="AJ16" s="343" t="str">
        <f>IF($C16=" "," ",IF(VLOOKUP($B16,'Raw Data'!$A$3:$EI$31,139,FALSE)=" "," ",IF(VLOOKUP($B16,'Raw Data'!$A$3:$EI$31,139,FALSE)&gt;0,VLOOKUP($B16,'Raw Data'!$A$3:$EI$31,139,FALSE)," ")))</f>
        <v xml:space="preserve"> </v>
      </c>
      <c r="AK16" s="393" t="str">
        <f t="shared" si="40"/>
        <v xml:space="preserve"> </v>
      </c>
      <c r="AL16" s="393" t="str">
        <f t="shared" si="41"/>
        <v xml:space="preserve"> </v>
      </c>
      <c r="AM16" s="393" t="str">
        <f>IF(C16=" "," ",IF(AND(VLOOKUP($B16,'cluster'!$A$20:$DN$45,118,0)="NOW"),$B16," "))</f>
        <v xml:space="preserve"> </v>
      </c>
      <c r="AN16" s="343" t="str">
        <f t="shared" si="42"/>
        <v/>
      </c>
      <c r="AO16" s="393" t="str">
        <f t="shared" si="43"/>
        <v xml:space="preserve"> </v>
      </c>
      <c r="AP16" s="393" t="str">
        <f t="shared" si="44"/>
        <v xml:space="preserve"> </v>
      </c>
      <c r="AQ16" s="343" t="str">
        <f t="shared" si="45"/>
        <v xml:space="preserve"> </v>
      </c>
      <c r="AR16" s="360" t="str">
        <f t="shared" si="46"/>
        <v xml:space="preserve"> </v>
      </c>
      <c r="AS16" s="343" t="str">
        <f t="shared" si="47"/>
        <v xml:space="preserve"> </v>
      </c>
      <c r="AT16" s="343" t="str">
        <f t="shared" si="48"/>
        <v xml:space="preserve"> </v>
      </c>
      <c r="AU16" s="360" t="str">
        <f>IF(C16=" "," ",VLOOKUP(B16,LastStart!$A$3:$AI$28,$AU$5,FALSE))</f>
        <v xml:space="preserve"> </v>
      </c>
      <c r="AV16" s="343" t="str">
        <f t="shared" si="49"/>
        <v xml:space="preserve"> </v>
      </c>
      <c r="AW16" s="360" t="str">
        <f t="shared" si="50"/>
        <v xml:space="preserve"> </v>
      </c>
      <c r="AX16" s="343" t="str">
        <f t="shared" si="51"/>
        <v xml:space="preserve"> </v>
      </c>
      <c r="AY16" s="343" t="str">
        <f t="shared" si="52"/>
        <v xml:space="preserve"> </v>
      </c>
      <c r="AZ16" s="343" t="str">
        <f t="shared" si="53"/>
        <v xml:space="preserve"> </v>
      </c>
      <c r="BA16" s="360" t="str">
        <f t="shared" si="54"/>
        <v xml:space="preserve"> </v>
      </c>
      <c r="BB16" s="360" t="str">
        <f t="shared" si="55"/>
        <v xml:space="preserve"> </v>
      </c>
      <c r="BC16" s="412" t="str">
        <f t="shared" si="56"/>
        <v xml:space="preserve"> </v>
      </c>
      <c r="BD16" s="413" t="str">
        <f t="shared" si="57"/>
        <v xml:space="preserve"> </v>
      </c>
      <c r="BE16" s="413" t="str">
        <f t="shared" si="58"/>
        <v xml:space="preserve"> </v>
      </c>
      <c r="BF16" s="413" t="str">
        <f t="shared" si="59"/>
        <v xml:space="preserve"> </v>
      </c>
      <c r="BG16" s="413" t="str">
        <f t="shared" si="7"/>
        <v xml:space="preserve"> </v>
      </c>
      <c r="BH16" s="413" t="str">
        <f t="shared" si="8"/>
        <v xml:space="preserve"> </v>
      </c>
      <c r="BI16" s="413" t="str">
        <f t="shared" si="9"/>
        <v xml:space="preserve"> </v>
      </c>
      <c r="BJ16" s="413" t="str">
        <f t="shared" si="10"/>
        <v xml:space="preserve"> </v>
      </c>
      <c r="BK16" s="413" t="str">
        <f t="shared" si="11"/>
        <v xml:space="preserve"> </v>
      </c>
      <c r="BL16" s="413" t="str">
        <f t="shared" si="12"/>
        <v xml:space="preserve"> </v>
      </c>
      <c r="BM16" s="413" t="str">
        <f t="shared" si="13"/>
        <v xml:space="preserve"> </v>
      </c>
      <c r="BN16" s="413" t="str">
        <f t="shared" si="14"/>
        <v xml:space="preserve"> </v>
      </c>
      <c r="BO16" s="413" t="str">
        <f t="shared" si="15"/>
        <v xml:space="preserve"> </v>
      </c>
      <c r="BP16" s="413" t="str">
        <f t="shared" si="16"/>
        <v xml:space="preserve"> </v>
      </c>
      <c r="BQ16" s="413" t="str">
        <f t="shared" si="60"/>
        <v xml:space="preserve"> </v>
      </c>
      <c r="BR16" s="413" t="str">
        <f t="shared" si="61"/>
        <v>NOW</v>
      </c>
      <c r="BS16" s="413" t="str">
        <f>IF(Table7[[#This Row],[NOW vs PICK1]]="PICK1",Table7[[#This Row],[PICK 1]],Table7[[#This Row],[Now Count]])</f>
        <v xml:space="preserve"> </v>
      </c>
      <c r="BT16" s="413" t="str">
        <f>IFERROR(VLOOKUP($B16,'Raw Data'!$A$3:$W$30,'SPORTSBET FIXED ODDS FOR PARLAY'!$I$2,FALSE)," ")</f>
        <v xml:space="preserve"> </v>
      </c>
      <c r="BU16" s="413" t="str">
        <f t="shared" si="17"/>
        <v xml:space="preserve"> </v>
      </c>
      <c r="BV16" s="413" t="str">
        <f t="shared" si="62"/>
        <v xml:space="preserve"> </v>
      </c>
      <c r="BW16" s="413" t="str">
        <f t="shared" si="18"/>
        <v xml:space="preserve"> </v>
      </c>
      <c r="BX16" s="413" t="str">
        <f t="shared" si="19"/>
        <v xml:space="preserve"> </v>
      </c>
      <c r="BY16" s="413" t="str">
        <f>IF(C16=" "," ",IF(AND(BV16&gt;=$BV$34),1,IF(AND($K$4="TT",$BN$38="NARROW",Table7[[#This Row],[J7-K7 Count]]=1),1," ")))</f>
        <v xml:space="preserve"> </v>
      </c>
      <c r="BZ16"/>
      <c r="CA16"/>
      <c r="CB16"/>
      <c r="CC16"/>
      <c r="CD16"/>
      <c r="CE16"/>
      <c r="CF16"/>
      <c r="CG16"/>
      <c r="CH16"/>
    </row>
    <row r="17" spans="1:86" ht="18.899999999999999" customHeight="1" x14ac:dyDescent="0.3">
      <c r="A17" s="208" t="str">
        <f t="shared" si="20"/>
        <v xml:space="preserve"> </v>
      </c>
      <c r="B17" s="109">
        <v>11</v>
      </c>
      <c r="C17" s="111" t="str">
        <f>IFERROR(VLOOKUP(B17,'Raw Data'!$A$3:$EA$30,2,0)," ")</f>
        <v xml:space="preserve"> </v>
      </c>
      <c r="D17" s="200" t="str">
        <f>IF(C17=" "," ",VLOOKUP(B17,LastStart!$A$3:$AI$28,$AU$5,FALSE))</f>
        <v xml:space="preserve"> </v>
      </c>
      <c r="E17" s="111" t="str">
        <f t="shared" si="21"/>
        <v xml:space="preserve"> </v>
      </c>
      <c r="F17" s="111" t="str">
        <f t="shared" si="22"/>
        <v xml:space="preserve"> </v>
      </c>
      <c r="G17" s="112" t="str">
        <f t="shared" si="23"/>
        <v xml:space="preserve"> </v>
      </c>
      <c r="H17" s="113" t="str">
        <f t="shared" si="24"/>
        <v xml:space="preserve"> </v>
      </c>
      <c r="I17" s="113" t="str">
        <f>IF(C17=" "," ",VLOOKUP(B17,LastStart!$A$3:$AN$28,40,FALSE))</f>
        <v xml:space="preserve"> </v>
      </c>
      <c r="J17" s="166" t="str">
        <f t="shared" si="25"/>
        <v/>
      </c>
      <c r="K17" s="113" t="str">
        <f t="shared" si="26"/>
        <v xml:space="preserve"> </v>
      </c>
      <c r="L17" s="338" t="str">
        <f xml:space="preserve">
IF($A17=" "," ",
IF(AND($A17="YES",VLOOKUP($B17,'Raw Data'!$A$3:$W$30,'SPORTSBET FIXED ODDS FOR PARLAY'!$I$2,FALSE)&gt;0),VLOOKUP($B17,'Raw Data'!$A$3:$W$30,'SPORTSBET FIXED ODDS FOR PARLAY'!$I$2,FALSE),
" "))</f>
        <v xml:space="preserve"> </v>
      </c>
      <c r="M17" s="124" t="str">
        <f t="shared" si="27"/>
        <v xml:space="preserve"> </v>
      </c>
      <c r="N17" s="114">
        <f t="shared" si="5"/>
        <v>0</v>
      </c>
      <c r="O17" s="115">
        <f t="shared" si="28"/>
        <v>0</v>
      </c>
      <c r="P17" s="114">
        <f t="shared" si="29"/>
        <v>0</v>
      </c>
      <c r="Q17" s="116" t="str">
        <f t="shared" si="30"/>
        <v xml:space="preserve"> </v>
      </c>
      <c r="R17" s="116">
        <f t="shared" si="31"/>
        <v>0</v>
      </c>
      <c r="S17" s="117" t="str">
        <f t="shared" si="32"/>
        <v xml:space="preserve"> </v>
      </c>
      <c r="T17" s="82"/>
      <c r="U17" s="118" t="str">
        <f t="shared" si="33"/>
        <v xml:space="preserve"> </v>
      </c>
      <c r="V17" s="119" t="str">
        <f>IF(ISERROR(U17*L17)," ",U17*L17)</f>
        <v xml:space="preserve"> </v>
      </c>
      <c r="W17" s="119" t="str">
        <f>IF(ISERROR(V17-$U$6)," ",V17-$U$6)</f>
        <v xml:space="preserve"> </v>
      </c>
      <c r="X17" s="120" t="str">
        <f t="shared" si="63"/>
        <v xml:space="preserve"> </v>
      </c>
      <c r="Y17" s="152" t="str">
        <f>IF(D17=" "," ",IFERROR(VLOOKUP($B17,'Raw Data'!$A$3:$X$32,$I$2,0)," "))</f>
        <v xml:space="preserve"> </v>
      </c>
      <c r="Z17" s="233" t="str">
        <f>VLOOKUP(B17,'S31.ODDS'!$B$7:$Y$30,24,0)</f>
        <v xml:space="preserve"> </v>
      </c>
      <c r="AA17" s="119" t="str">
        <f>VLOOKUP(B17,'A1. PICKS'!$B$7:$Y$30,24,0)</f>
        <v xml:space="preserve"> </v>
      </c>
      <c r="AB17" s="174" t="str">
        <f>IF(ISERROR(VLOOKUP(B17,'Dashboard '!$A$3:$AF$26,32,FALSE))," ",VLOOKUP(B17,'Dashboard '!$A$3:$AF$26,32,FALSE))</f>
        <v xml:space="preserve"> </v>
      </c>
      <c r="AC17" s="343" t="str">
        <f>IFERROR(VLOOKUP(B17,Results!$A$3:$DY$29,129,FALSE)," ")</f>
        <v xml:space="preserve"> </v>
      </c>
      <c r="AD17" s="343" t="str">
        <f>IFERROR(VLOOKUP($B17,'cluster'!$A$20:$CI$45,87,0)," ")</f>
        <v xml:space="preserve"> </v>
      </c>
      <c r="AE17" s="343" t="str">
        <f t="shared" si="36"/>
        <v xml:space="preserve"> </v>
      </c>
      <c r="AF17" s="343" t="str">
        <f t="shared" si="37"/>
        <v/>
      </c>
      <c r="AG17" s="367" t="str">
        <f>IF(ISERROR(VLOOKUP(B17,'Raw Data'!$A$3:$EA$29,131,FALSE))," ",VLOOKUP(B17,'Raw Data'!$A$3:$EA$29,131,FALSE))</f>
        <v xml:space="preserve"> </v>
      </c>
      <c r="AH17" s="343" t="str">
        <f t="shared" si="38"/>
        <v xml:space="preserve"> </v>
      </c>
      <c r="AI17" s="343" t="str">
        <f t="shared" si="39"/>
        <v/>
      </c>
      <c r="AJ17" s="343" t="str">
        <f>IF($C17=" "," ",IF(VLOOKUP($B17,'Raw Data'!$A$3:$EI$31,139,FALSE)=" "," ",IF(VLOOKUP($B17,'Raw Data'!$A$3:$EI$31,139,FALSE)&gt;0,VLOOKUP($B17,'Raw Data'!$A$3:$EI$31,139,FALSE)," ")))</f>
        <v xml:space="preserve"> </v>
      </c>
      <c r="AK17" s="393" t="str">
        <f t="shared" si="40"/>
        <v xml:space="preserve"> </v>
      </c>
      <c r="AL17" s="393" t="str">
        <f t="shared" si="41"/>
        <v xml:space="preserve"> </v>
      </c>
      <c r="AM17" s="393" t="str">
        <f>IF(C17=" "," ",IF(AND(VLOOKUP($B17,'cluster'!$A$20:$DN$45,118,0)="NOW"),$B17," "))</f>
        <v xml:space="preserve"> </v>
      </c>
      <c r="AN17" s="343" t="str">
        <f t="shared" si="42"/>
        <v/>
      </c>
      <c r="AO17" s="393" t="str">
        <f t="shared" si="43"/>
        <v xml:space="preserve"> </v>
      </c>
      <c r="AP17" s="393" t="str">
        <f t="shared" si="44"/>
        <v xml:space="preserve"> </v>
      </c>
      <c r="AQ17" s="343" t="str">
        <f t="shared" si="45"/>
        <v xml:space="preserve"> </v>
      </c>
      <c r="AR17" s="360" t="str">
        <f t="shared" si="46"/>
        <v xml:space="preserve"> </v>
      </c>
      <c r="AS17" s="343" t="str">
        <f t="shared" si="47"/>
        <v xml:space="preserve"> </v>
      </c>
      <c r="AT17" s="343" t="str">
        <f t="shared" si="48"/>
        <v xml:space="preserve"> </v>
      </c>
      <c r="AU17" s="360" t="str">
        <f>IF(C17=" "," ",VLOOKUP(B17,LastStart!$A$3:$AI$28,$AU$5,FALSE))</f>
        <v xml:space="preserve"> </v>
      </c>
      <c r="AV17" s="343" t="str">
        <f t="shared" si="49"/>
        <v xml:space="preserve"> </v>
      </c>
      <c r="AW17" s="360" t="str">
        <f t="shared" si="50"/>
        <v xml:space="preserve"> </v>
      </c>
      <c r="AX17" s="343" t="str">
        <f t="shared" si="51"/>
        <v xml:space="preserve"> </v>
      </c>
      <c r="AY17" s="343" t="str">
        <f t="shared" si="52"/>
        <v xml:space="preserve"> </v>
      </c>
      <c r="AZ17" s="343" t="str">
        <f t="shared" si="53"/>
        <v xml:space="preserve"> </v>
      </c>
      <c r="BA17" s="360" t="str">
        <f t="shared" si="54"/>
        <v xml:space="preserve"> </v>
      </c>
      <c r="BB17" s="360" t="str">
        <f t="shared" si="55"/>
        <v xml:space="preserve"> </v>
      </c>
      <c r="BC17" s="412" t="str">
        <f t="shared" si="56"/>
        <v xml:space="preserve"> </v>
      </c>
      <c r="BD17" s="413" t="str">
        <f t="shared" si="57"/>
        <v xml:space="preserve"> </v>
      </c>
      <c r="BE17" s="413" t="str">
        <f t="shared" si="58"/>
        <v xml:space="preserve"> </v>
      </c>
      <c r="BF17" s="413" t="str">
        <f t="shared" si="59"/>
        <v xml:space="preserve"> </v>
      </c>
      <c r="BG17" s="413" t="str">
        <f t="shared" si="7"/>
        <v xml:space="preserve"> </v>
      </c>
      <c r="BH17" s="413" t="str">
        <f t="shared" si="8"/>
        <v xml:space="preserve"> </v>
      </c>
      <c r="BI17" s="413" t="str">
        <f t="shared" si="9"/>
        <v xml:space="preserve"> </v>
      </c>
      <c r="BJ17" s="413" t="str">
        <f t="shared" si="10"/>
        <v xml:space="preserve"> </v>
      </c>
      <c r="BK17" s="413" t="str">
        <f t="shared" si="11"/>
        <v xml:space="preserve"> </v>
      </c>
      <c r="BL17" s="413" t="str">
        <f t="shared" si="12"/>
        <v xml:space="preserve"> </v>
      </c>
      <c r="BM17" s="413" t="str">
        <f t="shared" si="13"/>
        <v xml:space="preserve"> </v>
      </c>
      <c r="BN17" s="413" t="str">
        <f t="shared" si="14"/>
        <v xml:space="preserve"> </v>
      </c>
      <c r="BO17" s="413" t="str">
        <f t="shared" si="15"/>
        <v xml:space="preserve"> </v>
      </c>
      <c r="BP17" s="413" t="str">
        <f t="shared" si="16"/>
        <v xml:space="preserve"> </v>
      </c>
      <c r="BQ17" s="413" t="str">
        <f t="shared" si="60"/>
        <v xml:space="preserve"> </v>
      </c>
      <c r="BR17" s="413" t="str">
        <f t="shared" si="61"/>
        <v>NOW</v>
      </c>
      <c r="BS17" s="413" t="str">
        <f>IF(Table7[[#This Row],[NOW vs PICK1]]="PICK1",Table7[[#This Row],[PICK 1]],Table7[[#This Row],[Now Count]])</f>
        <v xml:space="preserve"> </v>
      </c>
      <c r="BT17" s="413" t="str">
        <f>IFERROR(VLOOKUP($B17,'Raw Data'!$A$3:$W$30,'SPORTSBET FIXED ODDS FOR PARLAY'!$I$2,FALSE)," ")</f>
        <v xml:space="preserve"> </v>
      </c>
      <c r="BU17" s="413" t="str">
        <f t="shared" si="17"/>
        <v xml:space="preserve"> </v>
      </c>
      <c r="BV17" s="413" t="str">
        <f t="shared" si="62"/>
        <v xml:space="preserve"> </v>
      </c>
      <c r="BW17" s="413" t="str">
        <f t="shared" si="18"/>
        <v xml:space="preserve"> </v>
      </c>
      <c r="BX17" s="413" t="str">
        <f t="shared" si="19"/>
        <v xml:space="preserve"> </v>
      </c>
      <c r="BY17" s="413" t="str">
        <f>IF(C17=" "," ",IF(AND(BV17&gt;=$BV$34),1,IF(AND($K$4="TT",$BN$38="NARROW",Table7[[#This Row],[J7-K7 Count]]=1),1," ")))</f>
        <v xml:space="preserve"> </v>
      </c>
      <c r="BZ17"/>
      <c r="CA17"/>
      <c r="CB17"/>
      <c r="CC17"/>
      <c r="CD17"/>
      <c r="CE17"/>
      <c r="CF17"/>
      <c r="CG17"/>
      <c r="CH17"/>
    </row>
    <row r="18" spans="1:86" ht="18.899999999999999" customHeight="1" x14ac:dyDescent="0.3">
      <c r="A18" s="208" t="str">
        <f t="shared" si="20"/>
        <v xml:space="preserve"> </v>
      </c>
      <c r="B18" s="109">
        <v>12</v>
      </c>
      <c r="C18" s="111" t="str">
        <f>IFERROR(VLOOKUP(B18,'Raw Data'!$A$3:$EA$30,2,0)," ")</f>
        <v xml:space="preserve"> </v>
      </c>
      <c r="D18" s="200" t="str">
        <f>IF(C18=" "," ",VLOOKUP(B18,LastStart!$A$3:$AI$28,$AU$5,FALSE))</f>
        <v xml:space="preserve"> </v>
      </c>
      <c r="E18" s="111" t="str">
        <f t="shared" si="21"/>
        <v xml:space="preserve"> </v>
      </c>
      <c r="F18" s="111" t="str">
        <f t="shared" si="22"/>
        <v xml:space="preserve"> </v>
      </c>
      <c r="G18" s="112" t="str">
        <f t="shared" si="23"/>
        <v xml:space="preserve"> </v>
      </c>
      <c r="H18" s="113" t="str">
        <f t="shared" si="24"/>
        <v xml:space="preserve"> </v>
      </c>
      <c r="I18" s="113" t="str">
        <f>IF(C18=" "," ",VLOOKUP(B18,LastStart!$A$3:$AN$28,40,FALSE))</f>
        <v xml:space="preserve"> </v>
      </c>
      <c r="J18" s="166" t="str">
        <f t="shared" si="25"/>
        <v/>
      </c>
      <c r="K18" s="113" t="str">
        <f t="shared" si="26"/>
        <v xml:space="preserve"> </v>
      </c>
      <c r="L18" s="338" t="str">
        <f xml:space="preserve">
IF($A18=" "," ",
IF(AND($A18="YES",VLOOKUP($B18,'Raw Data'!$A$3:$W$30,'SPORTSBET FIXED ODDS FOR PARLAY'!$I$2,FALSE)&gt;0),VLOOKUP($B18,'Raw Data'!$A$3:$W$30,'SPORTSBET FIXED ODDS FOR PARLAY'!$I$2,FALSE),
" "))</f>
        <v xml:space="preserve"> </v>
      </c>
      <c r="M18" s="124" t="str">
        <f t="shared" si="27"/>
        <v xml:space="preserve"> </v>
      </c>
      <c r="N18" s="114">
        <f t="shared" si="5"/>
        <v>0</v>
      </c>
      <c r="O18" s="115">
        <f t="shared" si="28"/>
        <v>0</v>
      </c>
      <c r="P18" s="114">
        <f t="shared" si="29"/>
        <v>0</v>
      </c>
      <c r="Q18" s="116" t="str">
        <f t="shared" si="30"/>
        <v xml:space="preserve"> </v>
      </c>
      <c r="R18" s="116">
        <f t="shared" si="31"/>
        <v>0</v>
      </c>
      <c r="S18" s="117" t="str">
        <f t="shared" si="32"/>
        <v xml:space="preserve"> </v>
      </c>
      <c r="T18" s="82"/>
      <c r="U18" s="118" t="str">
        <f t="shared" si="33"/>
        <v xml:space="preserve"> </v>
      </c>
      <c r="V18" s="119" t="str">
        <f t="shared" ref="V18:V30" si="64">IF(ISERROR(U18*L18)," ",U18*L18)</f>
        <v xml:space="preserve"> </v>
      </c>
      <c r="W18" s="119" t="str">
        <f t="shared" ref="W18:W30" si="65">IF(ISERROR(V18-$U$6)," ",V18-$U$6)</f>
        <v xml:space="preserve"> </v>
      </c>
      <c r="X18" s="120" t="str">
        <f t="shared" si="63"/>
        <v xml:space="preserve"> </v>
      </c>
      <c r="Y18" s="152" t="str">
        <f>IF(D18=" "," ",IFERROR(VLOOKUP($B18,'Raw Data'!$A$3:$X$32,$I$2,0)," "))</f>
        <v xml:space="preserve"> </v>
      </c>
      <c r="Z18" s="233" t="str">
        <f>VLOOKUP(B18,'S31.ODDS'!$B$7:$Y$30,24,0)</f>
        <v xml:space="preserve"> </v>
      </c>
      <c r="AA18" s="119" t="str">
        <f>VLOOKUP(B18,'A1. PICKS'!$B$7:$Y$30,24,0)</f>
        <v xml:space="preserve"> </v>
      </c>
      <c r="AB18" s="174" t="str">
        <f>IF(ISERROR(VLOOKUP(B18,'Dashboard '!$A$3:$AF$26,32,FALSE))," ",VLOOKUP(B18,'Dashboard '!$A$3:$AF$26,32,FALSE))</f>
        <v xml:space="preserve"> </v>
      </c>
      <c r="AC18" s="343" t="str">
        <f>IFERROR(VLOOKUP(B18,Results!$A$3:$DY$29,129,FALSE)," ")</f>
        <v xml:space="preserve"> </v>
      </c>
      <c r="AD18" s="343" t="str">
        <f>IFERROR(VLOOKUP($B18,'cluster'!$A$20:$CI$45,87,0)," ")</f>
        <v xml:space="preserve"> </v>
      </c>
      <c r="AE18" s="343" t="str">
        <f t="shared" si="36"/>
        <v xml:space="preserve"> </v>
      </c>
      <c r="AF18" s="343" t="str">
        <f t="shared" si="37"/>
        <v/>
      </c>
      <c r="AG18" s="367" t="str">
        <f>IF(ISERROR(VLOOKUP(B18,'Raw Data'!$A$3:$EA$29,131,FALSE))," ",VLOOKUP(B18,'Raw Data'!$A$3:$EA$29,131,FALSE))</f>
        <v xml:space="preserve"> </v>
      </c>
      <c r="AH18" s="343" t="str">
        <f t="shared" si="38"/>
        <v xml:space="preserve"> </v>
      </c>
      <c r="AI18" s="343" t="str">
        <f t="shared" si="39"/>
        <v/>
      </c>
      <c r="AJ18" s="343" t="str">
        <f>IF($C18=" "," ",IF(VLOOKUP($B18,'Raw Data'!$A$3:$EI$31,139,FALSE)=" "," ",IF(VLOOKUP($B18,'Raw Data'!$A$3:$EI$31,139,FALSE)&gt;0,VLOOKUP($B18,'Raw Data'!$A$3:$EI$31,139,FALSE)," ")))</f>
        <v xml:space="preserve"> </v>
      </c>
      <c r="AK18" s="393" t="str">
        <f t="shared" si="40"/>
        <v xml:space="preserve"> </v>
      </c>
      <c r="AL18" s="393" t="str">
        <f t="shared" si="41"/>
        <v xml:space="preserve"> </v>
      </c>
      <c r="AM18" s="393" t="str">
        <f>IF(C18=" "," ",IF(AND(VLOOKUP($B18,'cluster'!$A$20:$DN$45,118,0)="NOW"),$B18," "))</f>
        <v xml:space="preserve"> </v>
      </c>
      <c r="AN18" s="343" t="str">
        <f t="shared" si="42"/>
        <v/>
      </c>
      <c r="AO18" s="393" t="str">
        <f t="shared" si="43"/>
        <v xml:space="preserve"> </v>
      </c>
      <c r="AP18" s="393" t="str">
        <f t="shared" si="44"/>
        <v xml:space="preserve"> </v>
      </c>
      <c r="AQ18" s="343" t="str">
        <f t="shared" si="45"/>
        <v xml:space="preserve"> </v>
      </c>
      <c r="AR18" s="360" t="str">
        <f t="shared" si="46"/>
        <v xml:space="preserve"> </v>
      </c>
      <c r="AS18" s="343" t="str">
        <f t="shared" si="47"/>
        <v xml:space="preserve"> </v>
      </c>
      <c r="AT18" s="343" t="str">
        <f t="shared" si="48"/>
        <v xml:space="preserve"> </v>
      </c>
      <c r="AU18" s="360" t="str">
        <f>IF(C18=" "," ",VLOOKUP(B18,LastStart!$A$3:$AI$28,$AU$5,FALSE))</f>
        <v xml:space="preserve"> </v>
      </c>
      <c r="AV18" s="343" t="str">
        <f t="shared" si="49"/>
        <v xml:space="preserve"> </v>
      </c>
      <c r="AW18" s="360" t="str">
        <f t="shared" si="50"/>
        <v xml:space="preserve"> </v>
      </c>
      <c r="AX18" s="343" t="str">
        <f t="shared" si="51"/>
        <v xml:space="preserve"> </v>
      </c>
      <c r="AY18" s="343" t="str">
        <f t="shared" si="52"/>
        <v xml:space="preserve"> </v>
      </c>
      <c r="AZ18" s="343" t="str">
        <f t="shared" si="53"/>
        <v xml:space="preserve"> </v>
      </c>
      <c r="BA18" s="360" t="str">
        <f t="shared" si="54"/>
        <v xml:space="preserve"> </v>
      </c>
      <c r="BB18" s="360" t="str">
        <f t="shared" si="55"/>
        <v xml:space="preserve"> </v>
      </c>
      <c r="BC18" s="412" t="str">
        <f t="shared" si="56"/>
        <v xml:space="preserve"> </v>
      </c>
      <c r="BD18" s="413" t="str">
        <f t="shared" si="57"/>
        <v xml:space="preserve"> </v>
      </c>
      <c r="BE18" s="413" t="str">
        <f t="shared" si="58"/>
        <v xml:space="preserve"> </v>
      </c>
      <c r="BF18" s="413" t="str">
        <f t="shared" si="59"/>
        <v xml:space="preserve"> </v>
      </c>
      <c r="BG18" s="413" t="str">
        <f t="shared" si="7"/>
        <v xml:space="preserve"> </v>
      </c>
      <c r="BH18" s="413" t="str">
        <f t="shared" si="8"/>
        <v xml:space="preserve"> </v>
      </c>
      <c r="BI18" s="413" t="str">
        <f t="shared" si="9"/>
        <v xml:space="preserve"> </v>
      </c>
      <c r="BJ18" s="413" t="str">
        <f t="shared" si="10"/>
        <v xml:space="preserve"> </v>
      </c>
      <c r="BK18" s="413" t="str">
        <f t="shared" si="11"/>
        <v xml:space="preserve"> </v>
      </c>
      <c r="BL18" s="413" t="str">
        <f t="shared" si="12"/>
        <v xml:space="preserve"> </v>
      </c>
      <c r="BM18" s="413" t="str">
        <f t="shared" si="13"/>
        <v xml:space="preserve"> </v>
      </c>
      <c r="BN18" s="413" t="str">
        <f t="shared" si="14"/>
        <v xml:space="preserve"> </v>
      </c>
      <c r="BO18" s="413" t="str">
        <f t="shared" si="15"/>
        <v xml:space="preserve"> </v>
      </c>
      <c r="BP18" s="413" t="str">
        <f t="shared" si="16"/>
        <v xml:space="preserve"> </v>
      </c>
      <c r="BQ18" s="413" t="str">
        <f t="shared" si="60"/>
        <v xml:space="preserve"> </v>
      </c>
      <c r="BR18" s="413" t="str">
        <f t="shared" si="61"/>
        <v>NOW</v>
      </c>
      <c r="BS18" s="413" t="str">
        <f>IF(Table7[[#This Row],[NOW vs PICK1]]="PICK1",Table7[[#This Row],[PICK 1]],Table7[[#This Row],[Now Count]])</f>
        <v xml:space="preserve"> </v>
      </c>
      <c r="BT18" s="413" t="str">
        <f>IFERROR(VLOOKUP($B18,'Raw Data'!$A$3:$W$30,'SPORTSBET FIXED ODDS FOR PARLAY'!$I$2,FALSE)," ")</f>
        <v xml:space="preserve"> </v>
      </c>
      <c r="BU18" s="413" t="str">
        <f t="shared" si="17"/>
        <v xml:space="preserve"> </v>
      </c>
      <c r="BV18" s="413" t="str">
        <f t="shared" si="62"/>
        <v xml:space="preserve"> </v>
      </c>
      <c r="BW18" s="413" t="str">
        <f t="shared" si="18"/>
        <v xml:space="preserve"> </v>
      </c>
      <c r="BX18" s="413" t="str">
        <f t="shared" si="19"/>
        <v xml:space="preserve"> </v>
      </c>
      <c r="BY18" s="413" t="str">
        <f>IF(C18=" "," ",IF(AND(BV18&gt;=$BV$34),1,IF(AND($K$4="TT",$BN$38="NARROW",Table7[[#This Row],[J7-K7 Count]]=1),1," ")))</f>
        <v xml:space="preserve"> </v>
      </c>
      <c r="BZ18"/>
      <c r="CA18"/>
      <c r="CB18"/>
      <c r="CC18"/>
      <c r="CD18"/>
      <c r="CE18"/>
      <c r="CF18"/>
      <c r="CG18"/>
      <c r="CH18"/>
    </row>
    <row r="19" spans="1:86" ht="18.899999999999999" customHeight="1" x14ac:dyDescent="0.3">
      <c r="A19" s="208" t="str">
        <f t="shared" si="20"/>
        <v xml:space="preserve"> </v>
      </c>
      <c r="B19" s="109">
        <v>13</v>
      </c>
      <c r="C19" s="111" t="str">
        <f>IFERROR(VLOOKUP(B19,'Raw Data'!$A$3:$EA$30,2,0)," ")</f>
        <v xml:space="preserve"> </v>
      </c>
      <c r="D19" s="200" t="str">
        <f>IF(C19=" "," ",VLOOKUP(B19,LastStart!$A$3:$AI$28,$AU$5,FALSE))</f>
        <v xml:space="preserve"> </v>
      </c>
      <c r="E19" s="111" t="str">
        <f t="shared" si="21"/>
        <v xml:space="preserve"> </v>
      </c>
      <c r="F19" s="111" t="str">
        <f t="shared" si="22"/>
        <v xml:space="preserve"> </v>
      </c>
      <c r="G19" s="112" t="str">
        <f t="shared" si="23"/>
        <v xml:space="preserve"> </v>
      </c>
      <c r="H19" s="113" t="str">
        <f t="shared" si="24"/>
        <v xml:space="preserve"> </v>
      </c>
      <c r="I19" s="113" t="str">
        <f>IF(C19=" "," ",VLOOKUP(B19,LastStart!$A$3:$AN$28,40,FALSE))</f>
        <v xml:space="preserve"> </v>
      </c>
      <c r="J19" s="166" t="str">
        <f t="shared" si="25"/>
        <v/>
      </c>
      <c r="K19" s="113" t="str">
        <f t="shared" si="26"/>
        <v xml:space="preserve"> </v>
      </c>
      <c r="L19" s="338" t="str">
        <f xml:space="preserve">
IF($A19=" "," ",
IF(AND($A19="YES",VLOOKUP($B19,'Raw Data'!$A$3:$W$30,'SPORTSBET FIXED ODDS FOR PARLAY'!$I$2,FALSE)&gt;0),VLOOKUP($B19,'Raw Data'!$A$3:$W$30,'SPORTSBET FIXED ODDS FOR PARLAY'!$I$2,FALSE),
" "))</f>
        <v xml:space="preserve"> </v>
      </c>
      <c r="M19" s="124" t="str">
        <f t="shared" si="27"/>
        <v xml:space="preserve"> </v>
      </c>
      <c r="N19" s="114">
        <f t="shared" si="5"/>
        <v>0</v>
      </c>
      <c r="O19" s="115">
        <f t="shared" si="28"/>
        <v>0</v>
      </c>
      <c r="P19" s="114">
        <f t="shared" si="29"/>
        <v>0</v>
      </c>
      <c r="Q19" s="116" t="str">
        <f t="shared" si="30"/>
        <v xml:space="preserve"> </v>
      </c>
      <c r="R19" s="116">
        <f t="shared" si="31"/>
        <v>0</v>
      </c>
      <c r="S19" s="117" t="str">
        <f t="shared" si="32"/>
        <v xml:space="preserve"> </v>
      </c>
      <c r="T19" s="82"/>
      <c r="U19" s="118" t="str">
        <f>IF(R19&gt;0,ROUNDUP(R19,0)," ")</f>
        <v xml:space="preserve"> </v>
      </c>
      <c r="V19" s="119" t="str">
        <f t="shared" si="64"/>
        <v xml:space="preserve"> </v>
      </c>
      <c r="W19" s="119" t="str">
        <f t="shared" si="65"/>
        <v xml:space="preserve"> </v>
      </c>
      <c r="X19" s="120" t="str">
        <f t="shared" si="63"/>
        <v xml:space="preserve"> </v>
      </c>
      <c r="Y19" s="152" t="str">
        <f>IF(D19=" "," ",IFERROR(VLOOKUP($B19,'Raw Data'!$A$3:$X$32,$I$2,0)," "))</f>
        <v xml:space="preserve"> </v>
      </c>
      <c r="Z19" s="233" t="str">
        <f>VLOOKUP(B19,'S31.ODDS'!$B$7:$Y$30,24,0)</f>
        <v xml:space="preserve"> </v>
      </c>
      <c r="AA19" s="119" t="str">
        <f>VLOOKUP(B19,'A1. PICKS'!$B$7:$Y$30,24,0)</f>
        <v xml:space="preserve"> </v>
      </c>
      <c r="AB19" s="174" t="str">
        <f>IF(ISERROR(VLOOKUP(B19,'Dashboard '!$A$3:$AF$26,32,FALSE))," ",VLOOKUP(B19,'Dashboard '!$A$3:$AF$26,32,FALSE))</f>
        <v xml:space="preserve"> </v>
      </c>
      <c r="AC19" s="343" t="str">
        <f>IFERROR(VLOOKUP(B19,Results!$A$3:$DY$29,129,FALSE)," ")</f>
        <v xml:space="preserve"> </v>
      </c>
      <c r="AD19" s="343" t="str">
        <f>IFERROR(VLOOKUP($B19,'cluster'!$A$20:$CI$45,87,0)," ")</f>
        <v xml:space="preserve"> </v>
      </c>
      <c r="AE19" s="343" t="str">
        <f t="shared" si="36"/>
        <v xml:space="preserve"> </v>
      </c>
      <c r="AF19" s="343" t="str">
        <f t="shared" si="37"/>
        <v/>
      </c>
      <c r="AG19" s="367" t="str">
        <f>IF(ISERROR(VLOOKUP(B19,'Raw Data'!$A$3:$EA$29,131,FALSE))," ",VLOOKUP(B19,'Raw Data'!$A$3:$EA$29,131,FALSE))</f>
        <v xml:space="preserve"> </v>
      </c>
      <c r="AH19" s="343" t="str">
        <f t="shared" si="38"/>
        <v xml:space="preserve"> </v>
      </c>
      <c r="AI19" s="343" t="str">
        <f t="shared" si="39"/>
        <v/>
      </c>
      <c r="AJ19" s="343" t="str">
        <f>IF($C19=" "," ",IF(VLOOKUP($B19,'Raw Data'!$A$3:$EI$31,139,FALSE)=" "," ",IF(VLOOKUP($B19,'Raw Data'!$A$3:$EI$31,139,FALSE)&gt;0,VLOOKUP($B19,'Raw Data'!$A$3:$EI$31,139,FALSE)," ")))</f>
        <v xml:space="preserve"> </v>
      </c>
      <c r="AK19" s="393" t="str">
        <f t="shared" si="40"/>
        <v xml:space="preserve"> </v>
      </c>
      <c r="AL19" s="393" t="str">
        <f t="shared" si="41"/>
        <v xml:space="preserve"> </v>
      </c>
      <c r="AM19" s="393" t="str">
        <f>IF(C19=" "," ",IF(AND(VLOOKUP($B19,'cluster'!$A$20:$DN$45,118,0)="NOW"),$B19," "))</f>
        <v xml:space="preserve"> </v>
      </c>
      <c r="AN19" s="343" t="str">
        <f t="shared" si="42"/>
        <v/>
      </c>
      <c r="AO19" s="393" t="str">
        <f t="shared" si="43"/>
        <v xml:space="preserve"> </v>
      </c>
      <c r="AP19" s="393" t="str">
        <f t="shared" si="44"/>
        <v xml:space="preserve"> </v>
      </c>
      <c r="AQ19" s="343" t="str">
        <f t="shared" si="45"/>
        <v xml:space="preserve"> </v>
      </c>
      <c r="AR19" s="360" t="str">
        <f t="shared" si="46"/>
        <v xml:space="preserve"> </v>
      </c>
      <c r="AS19" s="343" t="str">
        <f t="shared" si="47"/>
        <v xml:space="preserve"> </v>
      </c>
      <c r="AT19" s="343" t="str">
        <f t="shared" si="48"/>
        <v xml:space="preserve"> </v>
      </c>
      <c r="AU19" s="360" t="str">
        <f>IF(C19=" "," ",VLOOKUP(B19,LastStart!$A$3:$AI$28,$AU$5,FALSE))</f>
        <v xml:space="preserve"> </v>
      </c>
      <c r="AV19" s="343" t="str">
        <f t="shared" si="49"/>
        <v xml:space="preserve"> </v>
      </c>
      <c r="AW19" s="360" t="str">
        <f t="shared" si="50"/>
        <v xml:space="preserve"> </v>
      </c>
      <c r="AX19" s="343" t="str">
        <f t="shared" si="51"/>
        <v xml:space="preserve"> </v>
      </c>
      <c r="AY19" s="343" t="str">
        <f t="shared" si="52"/>
        <v xml:space="preserve"> </v>
      </c>
      <c r="AZ19" s="343" t="str">
        <f t="shared" si="53"/>
        <v xml:space="preserve"> </v>
      </c>
      <c r="BA19" s="360" t="str">
        <f t="shared" si="54"/>
        <v xml:space="preserve"> </v>
      </c>
      <c r="BB19" s="360" t="str">
        <f t="shared" si="55"/>
        <v xml:space="preserve"> </v>
      </c>
      <c r="BC19" s="412" t="str">
        <f t="shared" si="56"/>
        <v xml:space="preserve"> </v>
      </c>
      <c r="BD19" s="413" t="str">
        <f t="shared" si="57"/>
        <v xml:space="preserve"> </v>
      </c>
      <c r="BE19" s="413" t="str">
        <f t="shared" si="58"/>
        <v xml:space="preserve"> </v>
      </c>
      <c r="BF19" s="413" t="str">
        <f t="shared" si="59"/>
        <v xml:space="preserve"> </v>
      </c>
      <c r="BG19" s="413" t="str">
        <f t="shared" si="7"/>
        <v xml:space="preserve"> </v>
      </c>
      <c r="BH19" s="413" t="str">
        <f t="shared" si="8"/>
        <v xml:space="preserve"> </v>
      </c>
      <c r="BI19" s="413" t="str">
        <f t="shared" si="9"/>
        <v xml:space="preserve"> </v>
      </c>
      <c r="BJ19" s="413" t="str">
        <f t="shared" si="10"/>
        <v xml:space="preserve"> </v>
      </c>
      <c r="BK19" s="413" t="str">
        <f t="shared" si="11"/>
        <v xml:space="preserve"> </v>
      </c>
      <c r="BL19" s="413" t="str">
        <f t="shared" si="12"/>
        <v xml:space="preserve"> </v>
      </c>
      <c r="BM19" s="413" t="str">
        <f t="shared" si="13"/>
        <v xml:space="preserve"> </v>
      </c>
      <c r="BN19" s="413" t="str">
        <f t="shared" si="14"/>
        <v xml:space="preserve"> </v>
      </c>
      <c r="BO19" s="413" t="str">
        <f t="shared" si="15"/>
        <v xml:space="preserve"> </v>
      </c>
      <c r="BP19" s="413" t="str">
        <f t="shared" si="16"/>
        <v xml:space="preserve"> </v>
      </c>
      <c r="BQ19" s="413" t="str">
        <f t="shared" si="60"/>
        <v xml:space="preserve"> </v>
      </c>
      <c r="BR19" s="413" t="str">
        <f t="shared" si="61"/>
        <v>NOW</v>
      </c>
      <c r="BS19" s="413" t="str">
        <f>IF(Table7[[#This Row],[NOW vs PICK1]]="PICK1",Table7[[#This Row],[PICK 1]],Table7[[#This Row],[Now Count]])</f>
        <v xml:space="preserve"> </v>
      </c>
      <c r="BT19" s="413" t="str">
        <f>IFERROR(VLOOKUP($B19,'Raw Data'!$A$3:$W$30,'SPORTSBET FIXED ODDS FOR PARLAY'!$I$2,FALSE)," ")</f>
        <v xml:space="preserve"> </v>
      </c>
      <c r="BU19" s="413" t="str">
        <f t="shared" si="17"/>
        <v xml:space="preserve"> </v>
      </c>
      <c r="BV19" s="413" t="str">
        <f t="shared" si="62"/>
        <v xml:space="preserve"> </v>
      </c>
      <c r="BW19" s="413" t="str">
        <f t="shared" si="18"/>
        <v xml:space="preserve"> </v>
      </c>
      <c r="BX19" s="413" t="str">
        <f t="shared" si="19"/>
        <v xml:space="preserve"> </v>
      </c>
      <c r="BY19" s="413" t="str">
        <f>IF(C19=" "," ",IF(AND(BV19&gt;=$BV$34),1,IF(AND($K$4="TT",$BN$38="NARROW",Table7[[#This Row],[J7-K7 Count]]=1),1," ")))</f>
        <v xml:space="preserve"> </v>
      </c>
      <c r="BZ19"/>
      <c r="CA19"/>
      <c r="CB19"/>
      <c r="CC19"/>
      <c r="CD19"/>
      <c r="CE19"/>
      <c r="CF19"/>
      <c r="CG19"/>
      <c r="CH19"/>
    </row>
    <row r="20" spans="1:86" ht="18.899999999999999" customHeight="1" x14ac:dyDescent="0.3">
      <c r="A20" s="208" t="str">
        <f t="shared" si="20"/>
        <v xml:space="preserve"> </v>
      </c>
      <c r="B20" s="109">
        <v>14</v>
      </c>
      <c r="C20" s="111" t="str">
        <f>IFERROR(VLOOKUP(B20,'Raw Data'!$A$3:$EA$30,2,0)," ")</f>
        <v xml:space="preserve"> </v>
      </c>
      <c r="D20" s="200" t="str">
        <f>IF(C20=" "," ",VLOOKUP(B20,LastStart!$A$3:$AI$28,$AU$5,FALSE))</f>
        <v xml:space="preserve"> </v>
      </c>
      <c r="E20" s="111" t="str">
        <f t="shared" si="21"/>
        <v xml:space="preserve"> </v>
      </c>
      <c r="F20" s="111" t="str">
        <f t="shared" si="22"/>
        <v xml:space="preserve"> </v>
      </c>
      <c r="G20" s="112" t="str">
        <f t="shared" si="23"/>
        <v xml:space="preserve"> </v>
      </c>
      <c r="H20" s="113" t="str">
        <f t="shared" si="24"/>
        <v xml:space="preserve"> </v>
      </c>
      <c r="I20" s="113" t="str">
        <f>IF(C20=" "," ",VLOOKUP(B20,LastStart!$A$3:$AN$28,40,FALSE))</f>
        <v xml:space="preserve"> </v>
      </c>
      <c r="J20" s="166" t="str">
        <f t="shared" si="25"/>
        <v/>
      </c>
      <c r="K20" s="113" t="str">
        <f t="shared" si="26"/>
        <v xml:space="preserve"> </v>
      </c>
      <c r="L20" s="338" t="str">
        <f xml:space="preserve">
IF($A20=" "," ",
IF(AND($A20="YES",VLOOKUP($B20,'Raw Data'!$A$3:$W$30,'SPORTSBET FIXED ODDS FOR PARLAY'!$I$2,FALSE)&gt;0),VLOOKUP($B20,'Raw Data'!$A$3:$W$30,'SPORTSBET FIXED ODDS FOR PARLAY'!$I$2,FALSE),
" "))</f>
        <v xml:space="preserve"> </v>
      </c>
      <c r="M20" s="124" t="str">
        <f t="shared" si="27"/>
        <v xml:space="preserve"> </v>
      </c>
      <c r="N20" s="114">
        <f t="shared" si="5"/>
        <v>0</v>
      </c>
      <c r="O20" s="115">
        <f t="shared" si="28"/>
        <v>0</v>
      </c>
      <c r="P20" s="114">
        <f t="shared" si="29"/>
        <v>0</v>
      </c>
      <c r="Q20" s="116" t="str">
        <f t="shared" si="30"/>
        <v xml:space="preserve"> </v>
      </c>
      <c r="R20" s="116">
        <f t="shared" si="31"/>
        <v>0</v>
      </c>
      <c r="S20" s="117" t="str">
        <f t="shared" si="32"/>
        <v xml:space="preserve"> </v>
      </c>
      <c r="T20" s="82"/>
      <c r="U20" s="118" t="str">
        <f t="shared" si="33"/>
        <v xml:space="preserve"> </v>
      </c>
      <c r="V20" s="119" t="str">
        <f t="shared" si="64"/>
        <v xml:space="preserve"> </v>
      </c>
      <c r="W20" s="119" t="str">
        <f t="shared" si="65"/>
        <v xml:space="preserve"> </v>
      </c>
      <c r="X20" s="120" t="str">
        <f t="shared" si="63"/>
        <v xml:space="preserve"> </v>
      </c>
      <c r="Y20" s="152" t="str">
        <f>IF(D20=" "," ",IFERROR(VLOOKUP($B20,'Raw Data'!$A$3:$X$32,$I$2,0)," "))</f>
        <v xml:space="preserve"> </v>
      </c>
      <c r="Z20" s="233" t="str">
        <f>VLOOKUP(B20,'S31.ODDS'!$B$7:$Y$30,24,0)</f>
        <v xml:space="preserve"> </v>
      </c>
      <c r="AA20" s="119" t="str">
        <f>VLOOKUP(B20,'A1. PICKS'!$B$7:$Y$30,24,0)</f>
        <v xml:space="preserve"> </v>
      </c>
      <c r="AB20" s="174" t="str">
        <f>IF(ISERROR(VLOOKUP(B20,'Dashboard '!$A$3:$AF$26,32,FALSE))," ",VLOOKUP(B20,'Dashboard '!$A$3:$AF$26,32,FALSE))</f>
        <v xml:space="preserve"> </v>
      </c>
      <c r="AC20" s="343" t="str">
        <f>IFERROR(VLOOKUP(B20,Results!$A$3:$DY$29,129,FALSE)," ")</f>
        <v xml:space="preserve"> </v>
      </c>
      <c r="AD20" s="343" t="str">
        <f>IFERROR(VLOOKUP($B20,'cluster'!$A$20:$CI$45,87,0)," ")</f>
        <v xml:space="preserve"> </v>
      </c>
      <c r="AE20" s="343" t="str">
        <f t="shared" si="36"/>
        <v xml:space="preserve"> </v>
      </c>
      <c r="AF20" s="343" t="str">
        <f t="shared" si="37"/>
        <v/>
      </c>
      <c r="AG20" s="367" t="str">
        <f>IF(ISERROR(VLOOKUP(B20,'Raw Data'!$A$3:$EA$29,131,FALSE))," ",VLOOKUP(B20,'Raw Data'!$A$3:$EA$29,131,FALSE))</f>
        <v xml:space="preserve"> </v>
      </c>
      <c r="AH20" s="343" t="str">
        <f t="shared" si="38"/>
        <v xml:space="preserve"> </v>
      </c>
      <c r="AI20" s="343" t="str">
        <f t="shared" si="39"/>
        <v/>
      </c>
      <c r="AJ20" s="343" t="str">
        <f>IF($C20=" "," ",IF(VLOOKUP($B20,'Raw Data'!$A$3:$EI$31,139,FALSE)=" "," ",IF(VLOOKUP($B20,'Raw Data'!$A$3:$EI$31,139,FALSE)&gt;0,VLOOKUP($B20,'Raw Data'!$A$3:$EI$31,139,FALSE)," ")))</f>
        <v xml:space="preserve"> </v>
      </c>
      <c r="AK20" s="393" t="str">
        <f t="shared" si="40"/>
        <v xml:space="preserve"> </v>
      </c>
      <c r="AL20" s="393" t="str">
        <f t="shared" si="41"/>
        <v xml:space="preserve"> </v>
      </c>
      <c r="AM20" s="393" t="str">
        <f>IF(C20=" "," ",IF(AND(VLOOKUP($B20,'cluster'!$A$20:$DN$45,118,0)="NOW"),$B20," "))</f>
        <v xml:space="preserve"> </v>
      </c>
      <c r="AN20" s="343" t="str">
        <f t="shared" si="42"/>
        <v/>
      </c>
      <c r="AO20" s="393" t="str">
        <f t="shared" si="43"/>
        <v xml:space="preserve"> </v>
      </c>
      <c r="AP20" s="393" t="str">
        <f t="shared" si="44"/>
        <v xml:space="preserve"> </v>
      </c>
      <c r="AQ20" s="343" t="str">
        <f t="shared" si="45"/>
        <v xml:space="preserve"> </v>
      </c>
      <c r="AR20" s="360" t="str">
        <f t="shared" si="46"/>
        <v xml:space="preserve"> </v>
      </c>
      <c r="AS20" s="343" t="str">
        <f t="shared" si="47"/>
        <v xml:space="preserve"> </v>
      </c>
      <c r="AT20" s="343" t="str">
        <f t="shared" si="48"/>
        <v xml:space="preserve"> </v>
      </c>
      <c r="AU20" s="360" t="str">
        <f>IF(C20=" "," ",VLOOKUP(B20,LastStart!$A$3:$AI$28,$AU$5,FALSE))</f>
        <v xml:space="preserve"> </v>
      </c>
      <c r="AV20" s="343" t="str">
        <f t="shared" si="49"/>
        <v xml:space="preserve"> </v>
      </c>
      <c r="AW20" s="360" t="str">
        <f t="shared" si="50"/>
        <v xml:space="preserve"> </v>
      </c>
      <c r="AX20" s="343" t="str">
        <f t="shared" si="51"/>
        <v xml:space="preserve"> </v>
      </c>
      <c r="AY20" s="343" t="str">
        <f t="shared" si="52"/>
        <v xml:space="preserve"> </v>
      </c>
      <c r="AZ20" s="343" t="str">
        <f t="shared" si="53"/>
        <v xml:space="preserve"> </v>
      </c>
      <c r="BA20" s="360" t="str">
        <f t="shared" si="54"/>
        <v xml:space="preserve"> </v>
      </c>
      <c r="BB20" s="360" t="str">
        <f t="shared" si="55"/>
        <v xml:space="preserve"> </v>
      </c>
      <c r="BC20" s="412" t="str">
        <f t="shared" si="56"/>
        <v xml:space="preserve"> </v>
      </c>
      <c r="BD20" s="413" t="str">
        <f t="shared" si="57"/>
        <v xml:space="preserve"> </v>
      </c>
      <c r="BE20" s="413" t="str">
        <f t="shared" si="58"/>
        <v xml:space="preserve"> </v>
      </c>
      <c r="BF20" s="413" t="str">
        <f t="shared" si="59"/>
        <v xml:space="preserve"> </v>
      </c>
      <c r="BG20" s="413" t="str">
        <f t="shared" si="7"/>
        <v xml:space="preserve"> </v>
      </c>
      <c r="BH20" s="413" t="str">
        <f t="shared" si="8"/>
        <v xml:space="preserve"> </v>
      </c>
      <c r="BI20" s="413" t="str">
        <f t="shared" si="9"/>
        <v xml:space="preserve"> </v>
      </c>
      <c r="BJ20" s="413" t="str">
        <f t="shared" si="10"/>
        <v xml:space="preserve"> </v>
      </c>
      <c r="BK20" s="413" t="str">
        <f t="shared" si="11"/>
        <v xml:space="preserve"> </v>
      </c>
      <c r="BL20" s="413" t="str">
        <f t="shared" si="12"/>
        <v xml:space="preserve"> </v>
      </c>
      <c r="BM20" s="413" t="str">
        <f t="shared" si="13"/>
        <v xml:space="preserve"> </v>
      </c>
      <c r="BN20" s="413" t="str">
        <f t="shared" si="14"/>
        <v xml:space="preserve"> </v>
      </c>
      <c r="BO20" s="413" t="str">
        <f t="shared" si="15"/>
        <v xml:space="preserve"> </v>
      </c>
      <c r="BP20" s="413" t="str">
        <f t="shared" si="16"/>
        <v xml:space="preserve"> </v>
      </c>
      <c r="BQ20" s="413" t="str">
        <f t="shared" si="60"/>
        <v xml:space="preserve"> </v>
      </c>
      <c r="BR20" s="413" t="str">
        <f t="shared" si="61"/>
        <v>NOW</v>
      </c>
      <c r="BS20" s="413" t="str">
        <f>IF(Table7[[#This Row],[NOW vs PICK1]]="PICK1",Table7[[#This Row],[PICK 1]],Table7[[#This Row],[Now Count]])</f>
        <v xml:space="preserve"> </v>
      </c>
      <c r="BT20" s="413" t="str">
        <f>IFERROR(VLOOKUP($B20,'Raw Data'!$A$3:$W$30,'SPORTSBET FIXED ODDS FOR PARLAY'!$I$2,FALSE)," ")</f>
        <v xml:space="preserve"> </v>
      </c>
      <c r="BU20" s="413" t="str">
        <f t="shared" si="17"/>
        <v xml:space="preserve"> </v>
      </c>
      <c r="BV20" s="413" t="str">
        <f t="shared" si="62"/>
        <v xml:space="preserve"> </v>
      </c>
      <c r="BW20" s="413" t="str">
        <f t="shared" si="18"/>
        <v xml:space="preserve"> </v>
      </c>
      <c r="BX20" s="413" t="str">
        <f t="shared" si="19"/>
        <v xml:space="preserve"> </v>
      </c>
      <c r="BY20" s="413" t="str">
        <f>IF(C20=" "," ",IF(AND(BV20&gt;=$BV$34),1,IF(AND($K$4="TT",$BN$38="NARROW",Table7[[#This Row],[J7-K7 Count]]=1),1," ")))</f>
        <v xml:space="preserve"> </v>
      </c>
      <c r="BZ20"/>
      <c r="CA20"/>
      <c r="CB20"/>
      <c r="CC20"/>
      <c r="CD20"/>
      <c r="CE20"/>
      <c r="CF20"/>
      <c r="CG20"/>
      <c r="CH20"/>
    </row>
    <row r="21" spans="1:86" ht="18.899999999999999" customHeight="1" x14ac:dyDescent="0.3">
      <c r="A21" s="208" t="str">
        <f t="shared" si="20"/>
        <v xml:space="preserve"> </v>
      </c>
      <c r="B21" s="109">
        <v>15</v>
      </c>
      <c r="C21" s="111" t="str">
        <f>IFERROR(VLOOKUP(B21,'Raw Data'!$A$3:$EA$30,2,0)," ")</f>
        <v xml:space="preserve"> </v>
      </c>
      <c r="D21" s="200" t="str">
        <f>IF(C21=" "," ",VLOOKUP(B21,LastStart!$A$3:$AI$28,$AU$5,FALSE))</f>
        <v xml:space="preserve"> </v>
      </c>
      <c r="E21" s="111" t="str">
        <f t="shared" si="21"/>
        <v xml:space="preserve"> </v>
      </c>
      <c r="F21" s="111" t="str">
        <f t="shared" si="22"/>
        <v xml:space="preserve"> </v>
      </c>
      <c r="G21" s="112" t="str">
        <f t="shared" si="23"/>
        <v xml:space="preserve"> </v>
      </c>
      <c r="H21" s="113" t="str">
        <f t="shared" si="24"/>
        <v xml:space="preserve"> </v>
      </c>
      <c r="I21" s="113" t="str">
        <f>IF(C21=" "," ",VLOOKUP(B21,LastStart!$A$3:$AN$28,40,FALSE))</f>
        <v xml:space="preserve"> </v>
      </c>
      <c r="J21" s="166" t="str">
        <f t="shared" si="25"/>
        <v/>
      </c>
      <c r="K21" s="113" t="str">
        <f t="shared" si="26"/>
        <v xml:space="preserve"> </v>
      </c>
      <c r="L21" s="338" t="str">
        <f xml:space="preserve">
IF($A21=" "," ",
IF(AND($A21="YES",VLOOKUP($B21,'Raw Data'!$A$3:$W$30,'SPORTSBET FIXED ODDS FOR PARLAY'!$I$2,FALSE)&gt;0),VLOOKUP($B21,'Raw Data'!$A$3:$W$30,'SPORTSBET FIXED ODDS FOR PARLAY'!$I$2,FALSE),
" "))</f>
        <v xml:space="preserve"> </v>
      </c>
      <c r="M21" s="124" t="str">
        <f t="shared" si="27"/>
        <v xml:space="preserve"> </v>
      </c>
      <c r="N21" s="114">
        <f t="shared" si="5"/>
        <v>0</v>
      </c>
      <c r="O21" s="115">
        <f t="shared" si="28"/>
        <v>0</v>
      </c>
      <c r="P21" s="114">
        <f t="shared" si="29"/>
        <v>0</v>
      </c>
      <c r="Q21" s="116" t="str">
        <f t="shared" si="30"/>
        <v xml:space="preserve"> </v>
      </c>
      <c r="R21" s="116">
        <f t="shared" si="31"/>
        <v>0</v>
      </c>
      <c r="S21" s="117" t="str">
        <f t="shared" si="32"/>
        <v xml:space="preserve"> </v>
      </c>
      <c r="T21" s="82"/>
      <c r="U21" s="118" t="str">
        <f t="shared" si="33"/>
        <v xml:space="preserve"> </v>
      </c>
      <c r="V21" s="119" t="str">
        <f t="shared" si="64"/>
        <v xml:space="preserve"> </v>
      </c>
      <c r="W21" s="119" t="str">
        <f t="shared" si="65"/>
        <v xml:space="preserve"> </v>
      </c>
      <c r="X21" s="120" t="str">
        <f t="shared" si="63"/>
        <v xml:space="preserve"> </v>
      </c>
      <c r="Y21" s="152" t="str">
        <f>IF(D21=" "," ",IFERROR(VLOOKUP($B21,'Raw Data'!$A$3:$X$32,$I$2,0)," "))</f>
        <v xml:space="preserve"> </v>
      </c>
      <c r="Z21" s="233" t="str">
        <f>VLOOKUP(B21,'S31.ODDS'!$B$7:$Y$30,24,0)</f>
        <v xml:space="preserve"> </v>
      </c>
      <c r="AA21" s="119" t="str">
        <f>VLOOKUP(B21,'A1. PICKS'!$B$7:$Y$30,24,0)</f>
        <v xml:space="preserve"> </v>
      </c>
      <c r="AB21" s="174" t="str">
        <f>IF(ISERROR(VLOOKUP(B21,'Dashboard '!$A$3:$AF$26,32,FALSE))," ",VLOOKUP(B21,'Dashboard '!$A$3:$AF$26,32,FALSE))</f>
        <v xml:space="preserve"> </v>
      </c>
      <c r="AC21" s="343" t="str">
        <f>IFERROR(VLOOKUP(B21,Results!$A$3:$DY$29,129,FALSE)," ")</f>
        <v xml:space="preserve"> </v>
      </c>
      <c r="AD21" s="343" t="str">
        <f>IFERROR(VLOOKUP($B21,'cluster'!$A$20:$CI$45,87,0)," ")</f>
        <v xml:space="preserve"> </v>
      </c>
      <c r="AE21" s="343" t="str">
        <f t="shared" si="36"/>
        <v xml:space="preserve"> </v>
      </c>
      <c r="AF21" s="343" t="str">
        <f t="shared" si="37"/>
        <v/>
      </c>
      <c r="AG21" s="367" t="str">
        <f>IF(ISERROR(VLOOKUP(B21,'Raw Data'!$A$3:$EA$29,131,FALSE))," ",VLOOKUP(B21,'Raw Data'!$A$3:$EA$29,131,FALSE))</f>
        <v xml:space="preserve"> </v>
      </c>
      <c r="AH21" s="343" t="str">
        <f t="shared" si="38"/>
        <v xml:space="preserve"> </v>
      </c>
      <c r="AI21" s="343" t="str">
        <f t="shared" si="39"/>
        <v/>
      </c>
      <c r="AJ21" s="343" t="str">
        <f>IF($C21=" "," ",IF(VLOOKUP($B21,'Raw Data'!$A$3:$EI$31,139,FALSE)=" "," ",IF(VLOOKUP($B21,'Raw Data'!$A$3:$EI$31,139,FALSE)&gt;0,VLOOKUP($B21,'Raw Data'!$A$3:$EI$31,139,FALSE)," ")))</f>
        <v xml:space="preserve"> </v>
      </c>
      <c r="AK21" s="393" t="str">
        <f t="shared" si="40"/>
        <v xml:space="preserve"> </v>
      </c>
      <c r="AL21" s="393" t="str">
        <f t="shared" si="41"/>
        <v xml:space="preserve"> </v>
      </c>
      <c r="AM21" s="393" t="str">
        <f>IF(C21=" "," ",IF(AND(VLOOKUP($B21,'cluster'!$A$20:$DN$45,118,0)="NOW"),$B21," "))</f>
        <v xml:space="preserve"> </v>
      </c>
      <c r="AN21" s="343" t="str">
        <f t="shared" si="42"/>
        <v/>
      </c>
      <c r="AO21" s="393" t="str">
        <f t="shared" si="43"/>
        <v xml:space="preserve"> </v>
      </c>
      <c r="AP21" s="393" t="str">
        <f t="shared" si="44"/>
        <v xml:space="preserve"> </v>
      </c>
      <c r="AQ21" s="343" t="str">
        <f t="shared" si="45"/>
        <v xml:space="preserve"> </v>
      </c>
      <c r="AR21" s="360" t="str">
        <f t="shared" si="46"/>
        <v xml:space="preserve"> </v>
      </c>
      <c r="AS21" s="343" t="str">
        <f t="shared" si="47"/>
        <v xml:space="preserve"> </v>
      </c>
      <c r="AT21" s="343" t="str">
        <f t="shared" si="48"/>
        <v xml:space="preserve"> </v>
      </c>
      <c r="AU21" s="360" t="str">
        <f>IF(C21=" "," ",VLOOKUP(B21,LastStart!$A$3:$AI$28,$AU$5,FALSE))</f>
        <v xml:space="preserve"> </v>
      </c>
      <c r="AV21" s="343" t="str">
        <f t="shared" si="49"/>
        <v xml:space="preserve"> </v>
      </c>
      <c r="AW21" s="360" t="str">
        <f t="shared" si="50"/>
        <v xml:space="preserve"> </v>
      </c>
      <c r="AX21" s="343" t="str">
        <f t="shared" si="51"/>
        <v xml:space="preserve"> </v>
      </c>
      <c r="AY21" s="343" t="str">
        <f t="shared" si="52"/>
        <v xml:space="preserve"> </v>
      </c>
      <c r="AZ21" s="343" t="str">
        <f t="shared" si="53"/>
        <v xml:space="preserve"> </v>
      </c>
      <c r="BA21" s="360" t="str">
        <f t="shared" si="54"/>
        <v xml:space="preserve"> </v>
      </c>
      <c r="BB21" s="360" t="str">
        <f t="shared" si="55"/>
        <v xml:space="preserve"> </v>
      </c>
      <c r="BC21" s="412" t="str">
        <f t="shared" si="56"/>
        <v xml:space="preserve"> </v>
      </c>
      <c r="BD21" s="413" t="str">
        <f t="shared" si="57"/>
        <v xml:space="preserve"> </v>
      </c>
      <c r="BE21" s="413" t="str">
        <f t="shared" si="58"/>
        <v xml:space="preserve"> </v>
      </c>
      <c r="BF21" s="413" t="str">
        <f t="shared" si="59"/>
        <v xml:space="preserve"> </v>
      </c>
      <c r="BG21" s="413" t="str">
        <f t="shared" si="7"/>
        <v xml:space="preserve"> </v>
      </c>
      <c r="BH21" s="413" t="str">
        <f t="shared" si="8"/>
        <v xml:space="preserve"> </v>
      </c>
      <c r="BI21" s="413" t="str">
        <f t="shared" si="9"/>
        <v xml:space="preserve"> </v>
      </c>
      <c r="BJ21" s="413" t="str">
        <f t="shared" si="10"/>
        <v xml:space="preserve"> </v>
      </c>
      <c r="BK21" s="413" t="str">
        <f t="shared" si="11"/>
        <v xml:space="preserve"> </v>
      </c>
      <c r="BL21" s="413" t="str">
        <f t="shared" si="12"/>
        <v xml:space="preserve"> </v>
      </c>
      <c r="BM21" s="413" t="str">
        <f t="shared" si="13"/>
        <v xml:space="preserve"> </v>
      </c>
      <c r="BN21" s="413" t="str">
        <f t="shared" si="14"/>
        <v xml:space="preserve"> </v>
      </c>
      <c r="BO21" s="413" t="str">
        <f t="shared" si="15"/>
        <v xml:space="preserve"> </v>
      </c>
      <c r="BP21" s="413" t="str">
        <f t="shared" si="16"/>
        <v xml:space="preserve"> </v>
      </c>
      <c r="BQ21" s="413" t="str">
        <f t="shared" si="60"/>
        <v xml:space="preserve"> </v>
      </c>
      <c r="BR21" s="413" t="str">
        <f t="shared" si="61"/>
        <v>NOW</v>
      </c>
      <c r="BS21" s="413" t="str">
        <f>IF(Table7[[#This Row],[NOW vs PICK1]]="PICK1",Table7[[#This Row],[PICK 1]],Table7[[#This Row],[Now Count]])</f>
        <v xml:space="preserve"> </v>
      </c>
      <c r="BT21" s="413" t="str">
        <f>IFERROR(VLOOKUP($B21,'Raw Data'!$A$3:$W$30,'SPORTSBET FIXED ODDS FOR PARLAY'!$I$2,FALSE)," ")</f>
        <v xml:space="preserve"> </v>
      </c>
      <c r="BU21" s="413" t="str">
        <f t="shared" si="17"/>
        <v xml:space="preserve"> </v>
      </c>
      <c r="BV21" s="413" t="str">
        <f t="shared" si="62"/>
        <v xml:space="preserve"> </v>
      </c>
      <c r="BW21" s="413" t="str">
        <f t="shared" si="18"/>
        <v xml:space="preserve"> </v>
      </c>
      <c r="BX21" s="413" t="str">
        <f t="shared" si="19"/>
        <v xml:space="preserve"> </v>
      </c>
      <c r="BY21" s="413" t="str">
        <f>IF(C21=" "," ",IF(AND(BV21&gt;=$BV$34),1,IF(AND($K$4="TT",$BN$38="NARROW",Table7[[#This Row],[J7-K7 Count]]=1),1," ")))</f>
        <v xml:space="preserve"> </v>
      </c>
      <c r="BZ21"/>
      <c r="CA21"/>
      <c r="CB21"/>
      <c r="CC21"/>
      <c r="CD21"/>
      <c r="CE21"/>
      <c r="CF21"/>
      <c r="CG21"/>
      <c r="CH21"/>
    </row>
    <row r="22" spans="1:86" ht="18.899999999999999" customHeight="1" x14ac:dyDescent="0.3">
      <c r="A22" s="208" t="str">
        <f t="shared" si="20"/>
        <v xml:space="preserve"> </v>
      </c>
      <c r="B22" s="109">
        <v>16</v>
      </c>
      <c r="C22" s="111" t="str">
        <f>IFERROR(VLOOKUP(B22,'Raw Data'!$A$3:$EA$30,2,0)," ")</f>
        <v xml:space="preserve"> </v>
      </c>
      <c r="D22" s="200" t="str">
        <f>IF(C22=" "," ",VLOOKUP(B22,LastStart!$A$3:$AI$28,$AU$5,FALSE))</f>
        <v xml:space="preserve"> </v>
      </c>
      <c r="E22" s="111" t="str">
        <f t="shared" si="21"/>
        <v xml:space="preserve"> </v>
      </c>
      <c r="F22" s="111" t="str">
        <f t="shared" si="22"/>
        <v xml:space="preserve"> </v>
      </c>
      <c r="G22" s="112" t="str">
        <f t="shared" si="23"/>
        <v xml:space="preserve"> </v>
      </c>
      <c r="H22" s="113" t="str">
        <f t="shared" si="24"/>
        <v xml:space="preserve"> </v>
      </c>
      <c r="I22" s="113" t="str">
        <f>IF(C22=" "," ",VLOOKUP(B22,LastStart!$A$3:$AN$28,40,FALSE))</f>
        <v xml:space="preserve"> </v>
      </c>
      <c r="J22" s="166" t="str">
        <f t="shared" si="25"/>
        <v/>
      </c>
      <c r="K22" s="113" t="str">
        <f t="shared" si="26"/>
        <v xml:space="preserve"> </v>
      </c>
      <c r="L22" s="338" t="str">
        <f xml:space="preserve">
IF($A22=" "," ",
IF(AND($A22="YES",VLOOKUP($B22,'Raw Data'!$A$3:$W$30,'SPORTSBET FIXED ODDS FOR PARLAY'!$I$2,FALSE)&gt;0),VLOOKUP($B22,'Raw Data'!$A$3:$W$30,'SPORTSBET FIXED ODDS FOR PARLAY'!$I$2,FALSE),
" "))</f>
        <v xml:space="preserve"> </v>
      </c>
      <c r="M22" s="124" t="str">
        <f t="shared" si="27"/>
        <v xml:space="preserve"> </v>
      </c>
      <c r="N22" s="114">
        <f t="shared" si="5"/>
        <v>0</v>
      </c>
      <c r="O22" s="115">
        <f t="shared" si="28"/>
        <v>0</v>
      </c>
      <c r="P22" s="114">
        <f t="shared" si="29"/>
        <v>0</v>
      </c>
      <c r="Q22" s="116" t="str">
        <f t="shared" si="30"/>
        <v xml:space="preserve"> </v>
      </c>
      <c r="R22" s="116">
        <f t="shared" si="31"/>
        <v>0</v>
      </c>
      <c r="S22" s="117" t="str">
        <f t="shared" si="32"/>
        <v xml:space="preserve"> </v>
      </c>
      <c r="T22" s="82"/>
      <c r="U22" s="118" t="str">
        <f t="shared" si="33"/>
        <v xml:space="preserve"> </v>
      </c>
      <c r="V22" s="119" t="str">
        <f t="shared" si="64"/>
        <v xml:space="preserve"> </v>
      </c>
      <c r="W22" s="119" t="str">
        <f t="shared" si="65"/>
        <v xml:space="preserve"> </v>
      </c>
      <c r="X22" s="120" t="str">
        <f t="shared" si="63"/>
        <v xml:space="preserve"> </v>
      </c>
      <c r="Y22" s="152" t="str">
        <f>IF(D22=" "," ",IFERROR(VLOOKUP($B22,'Raw Data'!$A$3:$X$32,$I$2,0)," "))</f>
        <v xml:space="preserve"> </v>
      </c>
      <c r="Z22" s="233" t="str">
        <f>VLOOKUP(B22,'S31.ODDS'!$B$7:$Y$30,24,0)</f>
        <v xml:space="preserve"> </v>
      </c>
      <c r="AA22" s="119" t="str">
        <f>VLOOKUP(B22,'A1. PICKS'!$B$7:$Y$30,24,0)</f>
        <v xml:space="preserve"> </v>
      </c>
      <c r="AB22" s="174" t="str">
        <f>IF(ISERROR(VLOOKUP(B22,'Dashboard '!$A$3:$AF$26,32,FALSE))," ",VLOOKUP(B22,'Dashboard '!$A$3:$AF$26,32,FALSE))</f>
        <v xml:space="preserve"> </v>
      </c>
      <c r="AC22" s="343" t="str">
        <f>IFERROR(VLOOKUP(B22,Results!$A$3:$DY$29,129,FALSE)," ")</f>
        <v xml:space="preserve"> </v>
      </c>
      <c r="AD22" s="343" t="str">
        <f>IFERROR(VLOOKUP($B22,'cluster'!$A$20:$CI$45,87,0)," ")</f>
        <v xml:space="preserve"> </v>
      </c>
      <c r="AE22" s="343" t="str">
        <f t="shared" si="36"/>
        <v xml:space="preserve"> </v>
      </c>
      <c r="AF22" s="343" t="str">
        <f t="shared" si="37"/>
        <v/>
      </c>
      <c r="AG22" s="367" t="str">
        <f>IF(ISERROR(VLOOKUP(B22,'Raw Data'!$A$3:$EA$29,131,FALSE))," ",VLOOKUP(B22,'Raw Data'!$A$3:$EA$29,131,FALSE))</f>
        <v xml:space="preserve"> </v>
      </c>
      <c r="AH22" s="343" t="str">
        <f t="shared" si="38"/>
        <v xml:space="preserve"> </v>
      </c>
      <c r="AI22" s="343" t="str">
        <f t="shared" si="39"/>
        <v/>
      </c>
      <c r="AJ22" s="343" t="str">
        <f>IF($C22=" "," ",IF(VLOOKUP($B22,'Raw Data'!$A$3:$EI$31,139,FALSE)=" "," ",IF(VLOOKUP($B22,'Raw Data'!$A$3:$EI$31,139,FALSE)&gt;0,VLOOKUP($B22,'Raw Data'!$A$3:$EI$31,139,FALSE)," ")))</f>
        <v xml:space="preserve"> </v>
      </c>
      <c r="AK22" s="393" t="str">
        <f t="shared" si="40"/>
        <v xml:space="preserve"> </v>
      </c>
      <c r="AL22" s="393" t="str">
        <f t="shared" si="41"/>
        <v xml:space="preserve"> </v>
      </c>
      <c r="AM22" s="393" t="str">
        <f>IF(C22=" "," ",IF(AND(VLOOKUP($B22,'cluster'!$A$20:$DN$45,118,0)="NOW"),$B22," "))</f>
        <v xml:space="preserve"> </v>
      </c>
      <c r="AN22" s="343" t="str">
        <f t="shared" si="42"/>
        <v/>
      </c>
      <c r="AO22" s="393" t="str">
        <f t="shared" si="43"/>
        <v xml:space="preserve"> </v>
      </c>
      <c r="AP22" s="393" t="str">
        <f t="shared" si="44"/>
        <v xml:space="preserve"> </v>
      </c>
      <c r="AQ22" s="343" t="str">
        <f t="shared" si="45"/>
        <v xml:space="preserve"> </v>
      </c>
      <c r="AR22" s="360" t="str">
        <f t="shared" si="46"/>
        <v xml:space="preserve"> </v>
      </c>
      <c r="AS22" s="343" t="str">
        <f t="shared" si="47"/>
        <v xml:space="preserve"> </v>
      </c>
      <c r="AT22" s="343" t="str">
        <f t="shared" si="48"/>
        <v xml:space="preserve"> </v>
      </c>
      <c r="AU22" s="360" t="str">
        <f>IF(C22=" "," ",VLOOKUP(B22,LastStart!$A$3:$AI$28,$AU$5,FALSE))</f>
        <v xml:space="preserve"> </v>
      </c>
      <c r="AV22" s="343" t="str">
        <f t="shared" si="49"/>
        <v xml:space="preserve"> </v>
      </c>
      <c r="AW22" s="360" t="str">
        <f t="shared" si="50"/>
        <v xml:space="preserve"> </v>
      </c>
      <c r="AX22" s="343" t="str">
        <f t="shared" si="51"/>
        <v xml:space="preserve"> </v>
      </c>
      <c r="AY22" s="343" t="str">
        <f t="shared" si="52"/>
        <v xml:space="preserve"> </v>
      </c>
      <c r="AZ22" s="343" t="str">
        <f t="shared" si="53"/>
        <v xml:space="preserve"> </v>
      </c>
      <c r="BA22" s="360" t="str">
        <f t="shared" si="54"/>
        <v xml:space="preserve"> </v>
      </c>
      <c r="BB22" s="360" t="str">
        <f t="shared" si="55"/>
        <v xml:space="preserve"> </v>
      </c>
      <c r="BC22" s="412" t="str">
        <f t="shared" si="56"/>
        <v xml:space="preserve"> </v>
      </c>
      <c r="BD22" s="413" t="str">
        <f t="shared" si="57"/>
        <v xml:space="preserve"> </v>
      </c>
      <c r="BE22" s="413" t="str">
        <f t="shared" si="58"/>
        <v xml:space="preserve"> </v>
      </c>
      <c r="BF22" s="413" t="str">
        <f t="shared" si="59"/>
        <v xml:space="preserve"> </v>
      </c>
      <c r="BG22" s="413" t="str">
        <f t="shared" si="7"/>
        <v xml:space="preserve"> </v>
      </c>
      <c r="BH22" s="413" t="str">
        <f t="shared" si="8"/>
        <v xml:space="preserve"> </v>
      </c>
      <c r="BI22" s="413" t="str">
        <f t="shared" si="9"/>
        <v xml:space="preserve"> </v>
      </c>
      <c r="BJ22" s="413" t="str">
        <f t="shared" si="10"/>
        <v xml:space="preserve"> </v>
      </c>
      <c r="BK22" s="413" t="str">
        <f t="shared" si="11"/>
        <v xml:space="preserve"> </v>
      </c>
      <c r="BL22" s="413" t="str">
        <f t="shared" si="12"/>
        <v xml:space="preserve"> </v>
      </c>
      <c r="BM22" s="413" t="str">
        <f t="shared" si="13"/>
        <v xml:space="preserve"> </v>
      </c>
      <c r="BN22" s="413" t="str">
        <f t="shared" si="14"/>
        <v xml:space="preserve"> </v>
      </c>
      <c r="BO22" s="413" t="str">
        <f t="shared" si="15"/>
        <v xml:space="preserve"> </v>
      </c>
      <c r="BP22" s="413" t="str">
        <f t="shared" si="16"/>
        <v xml:space="preserve"> </v>
      </c>
      <c r="BQ22" s="413" t="str">
        <f t="shared" si="60"/>
        <v xml:space="preserve"> </v>
      </c>
      <c r="BR22" s="413" t="str">
        <f t="shared" si="61"/>
        <v>NOW</v>
      </c>
      <c r="BS22" s="413" t="str">
        <f>IF(Table7[[#This Row],[NOW vs PICK1]]="PICK1",Table7[[#This Row],[PICK 1]],Table7[[#This Row],[Now Count]])</f>
        <v xml:space="preserve"> </v>
      </c>
      <c r="BT22" s="413" t="str">
        <f>IFERROR(VLOOKUP($B22,'Raw Data'!$A$3:$W$30,'SPORTSBET FIXED ODDS FOR PARLAY'!$I$2,FALSE)," ")</f>
        <v xml:space="preserve"> </v>
      </c>
      <c r="BU22" s="413" t="str">
        <f t="shared" si="17"/>
        <v xml:space="preserve"> </v>
      </c>
      <c r="BV22" s="413" t="str">
        <f t="shared" si="62"/>
        <v xml:space="preserve"> </v>
      </c>
      <c r="BW22" s="413" t="str">
        <f t="shared" si="18"/>
        <v xml:space="preserve"> </v>
      </c>
      <c r="BX22" s="413" t="str">
        <f t="shared" si="19"/>
        <v xml:space="preserve"> </v>
      </c>
      <c r="BY22" s="413" t="str">
        <f>IF(C22=" "," ",IF(AND(BV22&gt;=$BV$34),1,IF(AND($K$4="TT",$BN$38="NARROW",Table7[[#This Row],[J7-K7 Count]]=1),1," ")))</f>
        <v xml:space="preserve"> </v>
      </c>
      <c r="BZ22"/>
      <c r="CA22"/>
      <c r="CB22"/>
      <c r="CC22"/>
      <c r="CD22"/>
      <c r="CE22"/>
      <c r="CF22"/>
      <c r="CG22"/>
      <c r="CH22"/>
    </row>
    <row r="23" spans="1:86" ht="18.899999999999999" customHeight="1" x14ac:dyDescent="0.3">
      <c r="A23" s="208" t="str">
        <f t="shared" si="20"/>
        <v xml:space="preserve"> </v>
      </c>
      <c r="B23" s="109">
        <v>17</v>
      </c>
      <c r="C23" s="111" t="str">
        <f>IFERROR(VLOOKUP(B23,'Raw Data'!$A$3:$EA$30,2,0)," ")</f>
        <v xml:space="preserve"> </v>
      </c>
      <c r="D23" s="200" t="str">
        <f>IF(C23=" "," ",VLOOKUP(B23,LastStart!$A$3:$AI$28,$AU$5,FALSE))</f>
        <v xml:space="preserve"> </v>
      </c>
      <c r="E23" s="111" t="str">
        <f t="shared" si="21"/>
        <v xml:space="preserve"> </v>
      </c>
      <c r="F23" s="111" t="str">
        <f t="shared" si="22"/>
        <v xml:space="preserve"> </v>
      </c>
      <c r="G23" s="112" t="str">
        <f t="shared" si="23"/>
        <v xml:space="preserve"> </v>
      </c>
      <c r="H23" s="113" t="str">
        <f t="shared" si="24"/>
        <v xml:space="preserve"> </v>
      </c>
      <c r="I23" s="113" t="str">
        <f>IF(C23=" "," ",VLOOKUP(B23,LastStart!$A$3:$AN$28,40,FALSE))</f>
        <v xml:space="preserve"> </v>
      </c>
      <c r="J23" s="166" t="str">
        <f t="shared" si="25"/>
        <v/>
      </c>
      <c r="K23" s="113" t="str">
        <f t="shared" si="26"/>
        <v xml:space="preserve"> </v>
      </c>
      <c r="L23" s="338" t="str">
        <f xml:space="preserve">
IF($A23=" "," ",
IF(AND($A23="YES",VLOOKUP($B23,'Raw Data'!$A$3:$W$30,'SPORTSBET FIXED ODDS FOR PARLAY'!$I$2,FALSE)&gt;0),VLOOKUP($B23,'Raw Data'!$A$3:$W$30,'SPORTSBET FIXED ODDS FOR PARLAY'!$I$2,FALSE),
" "))</f>
        <v xml:space="preserve"> </v>
      </c>
      <c r="M23" s="124" t="str">
        <f t="shared" si="27"/>
        <v xml:space="preserve"> </v>
      </c>
      <c r="N23" s="114">
        <f t="shared" si="5"/>
        <v>0</v>
      </c>
      <c r="O23" s="115">
        <f t="shared" si="28"/>
        <v>0</v>
      </c>
      <c r="P23" s="114">
        <f>IF(ISERROR($L$2/L23),0,$L$2/L23)</f>
        <v>0</v>
      </c>
      <c r="Q23" s="116" t="str">
        <f t="shared" si="30"/>
        <v xml:space="preserve"> </v>
      </c>
      <c r="R23" s="116">
        <f t="shared" si="31"/>
        <v>0</v>
      </c>
      <c r="S23" s="117" t="str">
        <f>IF(ISERROR(IF(L23&gt;0,(R23*L23)-$L$3,0))," ",IF(L23&gt;0,(R23*L23)-$L$3,0))</f>
        <v xml:space="preserve"> </v>
      </c>
      <c r="T23" s="82"/>
      <c r="U23" s="118" t="str">
        <f t="shared" si="33"/>
        <v xml:space="preserve"> </v>
      </c>
      <c r="V23" s="119" t="str">
        <f t="shared" si="64"/>
        <v xml:space="preserve"> </v>
      </c>
      <c r="W23" s="119" t="str">
        <f t="shared" si="65"/>
        <v xml:space="preserve"> </v>
      </c>
      <c r="X23" s="120" t="str">
        <f t="shared" si="63"/>
        <v xml:space="preserve"> </v>
      </c>
      <c r="Y23" s="152" t="str">
        <f>IF(D23=" "," ",IFERROR(VLOOKUP($B23,'Raw Data'!$A$3:$X$32,$I$2,0)," "))</f>
        <v xml:space="preserve"> </v>
      </c>
      <c r="Z23" s="233" t="str">
        <f>VLOOKUP(B23,'S31.ODDS'!$B$7:$Y$30,24,0)</f>
        <v xml:space="preserve"> </v>
      </c>
      <c r="AA23" s="119" t="str">
        <f>VLOOKUP(B23,'A1. PICKS'!$B$7:$Y$30,24,0)</f>
        <v xml:space="preserve"> </v>
      </c>
      <c r="AB23" s="174" t="str">
        <f>IF(ISERROR(VLOOKUP(B23,'Dashboard '!$A$3:$AF$26,32,FALSE))," ",VLOOKUP(B23,'Dashboard '!$A$3:$AF$26,32,FALSE))</f>
        <v xml:space="preserve"> </v>
      </c>
      <c r="AC23" s="343" t="str">
        <f>IFERROR(VLOOKUP(B23,Results!$A$3:$DY$29,129,FALSE)," ")</f>
        <v xml:space="preserve"> </v>
      </c>
      <c r="AD23" s="343" t="str">
        <f>IFERROR(VLOOKUP($B23,'cluster'!$A$20:$CI$45,87,0)," ")</f>
        <v xml:space="preserve"> </v>
      </c>
      <c r="AE23" s="343" t="str">
        <f t="shared" si="36"/>
        <v xml:space="preserve"> </v>
      </c>
      <c r="AF23" s="343" t="str">
        <f t="shared" si="37"/>
        <v/>
      </c>
      <c r="AG23" s="367" t="str">
        <f>IF(ISERROR(VLOOKUP(B23,'Raw Data'!$A$3:$EA$29,131,FALSE))," ",VLOOKUP(B23,'Raw Data'!$A$3:$EA$29,131,FALSE))</f>
        <v xml:space="preserve"> </v>
      </c>
      <c r="AH23" s="343" t="str">
        <f t="shared" si="38"/>
        <v xml:space="preserve"> </v>
      </c>
      <c r="AI23" s="343" t="str">
        <f t="shared" si="39"/>
        <v/>
      </c>
      <c r="AJ23" s="343" t="str">
        <f>IF($C23=" "," ",IF(VLOOKUP($B23,'Raw Data'!$A$3:$EI$31,139,FALSE)=" "," ",IF(VLOOKUP($B23,'Raw Data'!$A$3:$EI$31,139,FALSE)&gt;0,VLOOKUP($B23,'Raw Data'!$A$3:$EI$31,139,FALSE)," ")))</f>
        <v xml:space="preserve"> </v>
      </c>
      <c r="AK23" s="393" t="str">
        <f t="shared" si="40"/>
        <v xml:space="preserve"> </v>
      </c>
      <c r="AL23" s="393" t="str">
        <f t="shared" si="41"/>
        <v xml:space="preserve"> </v>
      </c>
      <c r="AM23" s="393" t="str">
        <f>IF(C23=" "," ",IF(AND(VLOOKUP($B23,'cluster'!$A$20:$DN$45,118,0)="NOW"),$B23," "))</f>
        <v xml:space="preserve"> </v>
      </c>
      <c r="AN23" s="343" t="str">
        <f t="shared" si="42"/>
        <v/>
      </c>
      <c r="AO23" s="393" t="str">
        <f t="shared" si="43"/>
        <v xml:space="preserve"> </v>
      </c>
      <c r="AP23" s="393" t="str">
        <f t="shared" si="44"/>
        <v xml:space="preserve"> </v>
      </c>
      <c r="AQ23" s="343" t="str">
        <f t="shared" si="45"/>
        <v xml:space="preserve"> </v>
      </c>
      <c r="AR23" s="360" t="str">
        <f t="shared" si="46"/>
        <v xml:space="preserve"> </v>
      </c>
      <c r="AS23" s="343" t="str">
        <f t="shared" si="47"/>
        <v xml:space="preserve"> </v>
      </c>
      <c r="AT23" s="343" t="str">
        <f t="shared" si="48"/>
        <v xml:space="preserve"> </v>
      </c>
      <c r="AU23" s="360" t="str">
        <f>IF(C23=" "," ",VLOOKUP(B23,LastStart!$A$3:$AI$28,$AU$5,FALSE))</f>
        <v xml:space="preserve"> </v>
      </c>
      <c r="AV23" s="343" t="str">
        <f t="shared" si="49"/>
        <v xml:space="preserve"> </v>
      </c>
      <c r="AW23" s="360" t="str">
        <f t="shared" si="50"/>
        <v xml:space="preserve"> </v>
      </c>
      <c r="AX23" s="343" t="str">
        <f t="shared" si="51"/>
        <v xml:space="preserve"> </v>
      </c>
      <c r="AY23" s="343" t="str">
        <f t="shared" si="52"/>
        <v xml:space="preserve"> </v>
      </c>
      <c r="AZ23" s="343" t="str">
        <f t="shared" si="53"/>
        <v xml:space="preserve"> </v>
      </c>
      <c r="BA23" s="360" t="str">
        <f t="shared" si="54"/>
        <v xml:space="preserve"> </v>
      </c>
      <c r="BB23" s="360" t="str">
        <f t="shared" si="55"/>
        <v xml:space="preserve"> </v>
      </c>
      <c r="BC23" s="412" t="str">
        <f t="shared" si="56"/>
        <v xml:space="preserve"> </v>
      </c>
      <c r="BD23" s="413" t="str">
        <f t="shared" si="57"/>
        <v xml:space="preserve"> </v>
      </c>
      <c r="BE23" s="413" t="str">
        <f t="shared" si="58"/>
        <v xml:space="preserve"> </v>
      </c>
      <c r="BF23" s="413" t="str">
        <f t="shared" si="59"/>
        <v xml:space="preserve"> </v>
      </c>
      <c r="BG23" s="413" t="str">
        <f t="shared" si="7"/>
        <v xml:space="preserve"> </v>
      </c>
      <c r="BH23" s="413" t="str">
        <f t="shared" si="8"/>
        <v xml:space="preserve"> </v>
      </c>
      <c r="BI23" s="413" t="str">
        <f t="shared" si="9"/>
        <v xml:space="preserve"> </v>
      </c>
      <c r="BJ23" s="413" t="str">
        <f t="shared" si="10"/>
        <v xml:space="preserve"> </v>
      </c>
      <c r="BK23" s="413" t="str">
        <f t="shared" si="11"/>
        <v xml:space="preserve"> </v>
      </c>
      <c r="BL23" s="413" t="str">
        <f t="shared" si="12"/>
        <v xml:space="preserve"> </v>
      </c>
      <c r="BM23" s="413" t="str">
        <f t="shared" si="13"/>
        <v xml:space="preserve"> </v>
      </c>
      <c r="BN23" s="413" t="str">
        <f t="shared" si="14"/>
        <v xml:space="preserve"> </v>
      </c>
      <c r="BO23" s="413" t="str">
        <f t="shared" si="15"/>
        <v xml:space="preserve"> </v>
      </c>
      <c r="BP23" s="413" t="str">
        <f t="shared" si="16"/>
        <v xml:space="preserve"> </v>
      </c>
      <c r="BQ23" s="413" t="str">
        <f t="shared" si="60"/>
        <v xml:space="preserve"> </v>
      </c>
      <c r="BR23" s="413" t="str">
        <f t="shared" si="61"/>
        <v>NOW</v>
      </c>
      <c r="BS23" s="413" t="str">
        <f>IF(Table7[[#This Row],[NOW vs PICK1]]="PICK1",Table7[[#This Row],[PICK 1]],Table7[[#This Row],[Now Count]])</f>
        <v xml:space="preserve"> </v>
      </c>
      <c r="BT23" s="413" t="str">
        <f>IFERROR(VLOOKUP($B23,'Raw Data'!$A$3:$W$30,'SPORTSBET FIXED ODDS FOR PARLAY'!$I$2,FALSE)," ")</f>
        <v xml:space="preserve"> </v>
      </c>
      <c r="BU23" s="413" t="str">
        <f t="shared" si="17"/>
        <v xml:space="preserve"> </v>
      </c>
      <c r="BV23" s="413" t="str">
        <f t="shared" si="62"/>
        <v xml:space="preserve"> </v>
      </c>
      <c r="BW23" s="413" t="str">
        <f t="shared" si="18"/>
        <v xml:space="preserve"> </v>
      </c>
      <c r="BX23" s="413" t="str">
        <f t="shared" si="19"/>
        <v xml:space="preserve"> </v>
      </c>
      <c r="BY23" s="413" t="str">
        <f>IF(C23=" "," ",IF(AND(BV23&gt;=$BV$34),1,IF(AND($K$4="TT",$BN$38="NARROW",Table7[[#This Row],[J7-K7 Count]]=1),1," ")))</f>
        <v xml:space="preserve"> </v>
      </c>
      <c r="BZ23"/>
      <c r="CA23"/>
      <c r="CB23"/>
      <c r="CC23"/>
      <c r="CD23"/>
      <c r="CE23"/>
      <c r="CF23"/>
      <c r="CG23"/>
      <c r="CH23"/>
    </row>
    <row r="24" spans="1:86" ht="18.899999999999999" customHeight="1" x14ac:dyDescent="0.3">
      <c r="A24" s="208" t="str">
        <f t="shared" si="20"/>
        <v xml:space="preserve"> </v>
      </c>
      <c r="B24" s="109">
        <v>18</v>
      </c>
      <c r="C24" s="111" t="str">
        <f>IFERROR(VLOOKUP(B24,'Raw Data'!$A$3:$EA$30,2,0)," ")</f>
        <v xml:space="preserve"> </v>
      </c>
      <c r="D24" s="200" t="str">
        <f>IF(C24=" "," ",VLOOKUP(B24,LastStart!$A$3:$AI$28,$AU$5,FALSE))</f>
        <v xml:space="preserve"> </v>
      </c>
      <c r="E24" s="111" t="str">
        <f t="shared" si="21"/>
        <v xml:space="preserve"> </v>
      </c>
      <c r="F24" s="111" t="str">
        <f t="shared" si="22"/>
        <v xml:space="preserve"> </v>
      </c>
      <c r="G24" s="112" t="str">
        <f t="shared" si="23"/>
        <v xml:space="preserve"> </v>
      </c>
      <c r="H24" s="113" t="str">
        <f t="shared" si="24"/>
        <v xml:space="preserve"> </v>
      </c>
      <c r="I24" s="113" t="str">
        <f>IF(C24=" "," ",VLOOKUP(B24,LastStart!$A$3:$AN$28,40,FALSE))</f>
        <v xml:space="preserve"> </v>
      </c>
      <c r="J24" s="166" t="str">
        <f t="shared" si="25"/>
        <v/>
      </c>
      <c r="K24" s="113" t="str">
        <f t="shared" si="26"/>
        <v xml:space="preserve"> </v>
      </c>
      <c r="L24" s="338" t="str">
        <f xml:space="preserve">
IF($A24=" "," ",
IF(AND($A24="YES",VLOOKUP($B24,'Raw Data'!$A$3:$W$30,'SPORTSBET FIXED ODDS FOR PARLAY'!$I$2,FALSE)&gt;0),VLOOKUP($B24,'Raw Data'!$A$3:$W$30,'SPORTSBET FIXED ODDS FOR PARLAY'!$I$2,FALSE),
" "))</f>
        <v xml:space="preserve"> </v>
      </c>
      <c r="M24" s="124" t="str">
        <f t="shared" si="27"/>
        <v xml:space="preserve"> </v>
      </c>
      <c r="N24" s="114">
        <f t="shared" si="5"/>
        <v>0</v>
      </c>
      <c r="O24" s="115">
        <f t="shared" si="28"/>
        <v>0</v>
      </c>
      <c r="P24" s="114">
        <f t="shared" ref="P24:P30" si="66">IF(ISERROR($L$2/L24),0,$L$2/L24)</f>
        <v>0</v>
      </c>
      <c r="Q24" s="116" t="str">
        <f t="shared" si="30"/>
        <v xml:space="preserve"> </v>
      </c>
      <c r="R24" s="116">
        <f t="shared" si="31"/>
        <v>0</v>
      </c>
      <c r="S24" s="117" t="str">
        <f t="shared" ref="S24:S30" si="67">IF(ISERROR(IF(L24&gt;0,(R24*L24)-$L$3,0))," ",IF(L24&gt;0,(R24*L24)-$L$3,0))</f>
        <v xml:space="preserve"> </v>
      </c>
      <c r="T24" s="82"/>
      <c r="U24" s="118" t="str">
        <f t="shared" si="33"/>
        <v xml:space="preserve"> </v>
      </c>
      <c r="V24" s="119" t="str">
        <f t="shared" si="64"/>
        <v xml:space="preserve"> </v>
      </c>
      <c r="W24" s="119" t="str">
        <f t="shared" si="65"/>
        <v xml:space="preserve"> </v>
      </c>
      <c r="X24" s="120" t="str">
        <f t="shared" si="63"/>
        <v xml:space="preserve"> </v>
      </c>
      <c r="Y24" s="152" t="str">
        <f>IF(D24=" "," ",IFERROR(VLOOKUP($B24,'Raw Data'!$A$3:$X$32,$I$2,0)," "))</f>
        <v xml:space="preserve"> </v>
      </c>
      <c r="Z24" s="233" t="str">
        <f>VLOOKUP(B24,'S31.ODDS'!$B$7:$Y$30,24,0)</f>
        <v xml:space="preserve"> </v>
      </c>
      <c r="AA24" s="119" t="str">
        <f>VLOOKUP(B24,'A1. PICKS'!$B$7:$Y$30,24,0)</f>
        <v xml:space="preserve"> </v>
      </c>
      <c r="AB24" s="174" t="str">
        <f>IF(ISERROR(VLOOKUP(B24,'Dashboard '!$A$3:$AF$26,32,FALSE))," ",VLOOKUP(B24,'Dashboard '!$A$3:$AF$26,32,FALSE))</f>
        <v xml:space="preserve"> </v>
      </c>
      <c r="AC24" s="343" t="str">
        <f>IFERROR(VLOOKUP(B24,Results!$A$3:$DY$29,129,FALSE)," ")</f>
        <v xml:space="preserve"> </v>
      </c>
      <c r="AD24" s="343" t="str">
        <f>IFERROR(VLOOKUP($B24,'cluster'!$A$20:$CI$45,87,0)," ")</f>
        <v xml:space="preserve"> </v>
      </c>
      <c r="AE24" s="343" t="str">
        <f t="shared" si="36"/>
        <v xml:space="preserve"> </v>
      </c>
      <c r="AF24" s="343" t="str">
        <f t="shared" si="37"/>
        <v/>
      </c>
      <c r="AG24" s="367" t="str">
        <f>IF(ISERROR(VLOOKUP(B24,'Raw Data'!$A$3:$EA$29,131,FALSE))," ",VLOOKUP(B24,'Raw Data'!$A$3:$EA$29,131,FALSE))</f>
        <v xml:space="preserve"> </v>
      </c>
      <c r="AH24" s="343" t="str">
        <f t="shared" si="38"/>
        <v xml:space="preserve"> </v>
      </c>
      <c r="AI24" s="343" t="str">
        <f t="shared" si="39"/>
        <v/>
      </c>
      <c r="AJ24" s="343" t="str">
        <f>IF($C24=" "," ",IF(VLOOKUP($B24,'Raw Data'!$A$3:$EI$31,139,FALSE)=" "," ",IF(VLOOKUP($B24,'Raw Data'!$A$3:$EI$31,139,FALSE)&gt;0,VLOOKUP($B24,'Raw Data'!$A$3:$EI$31,139,FALSE)," ")))</f>
        <v xml:space="preserve"> </v>
      </c>
      <c r="AK24" s="393" t="str">
        <f t="shared" si="40"/>
        <v xml:space="preserve"> </v>
      </c>
      <c r="AL24" s="393" t="str">
        <f t="shared" si="41"/>
        <v xml:space="preserve"> </v>
      </c>
      <c r="AM24" s="393" t="str">
        <f>IF(C24=" "," ",IF(AND(VLOOKUP($B24,'cluster'!$A$20:$DN$45,118,0)="NOW"),$B24," "))</f>
        <v xml:space="preserve"> </v>
      </c>
      <c r="AN24" s="343" t="str">
        <f t="shared" si="42"/>
        <v/>
      </c>
      <c r="AO24" s="393" t="str">
        <f t="shared" si="43"/>
        <v xml:space="preserve"> </v>
      </c>
      <c r="AP24" s="393" t="str">
        <f t="shared" si="44"/>
        <v xml:space="preserve"> </v>
      </c>
      <c r="AQ24" s="343" t="str">
        <f t="shared" si="45"/>
        <v xml:space="preserve"> </v>
      </c>
      <c r="AR24" s="360" t="str">
        <f t="shared" si="46"/>
        <v xml:space="preserve"> </v>
      </c>
      <c r="AS24" s="343" t="str">
        <f t="shared" si="47"/>
        <v xml:space="preserve"> </v>
      </c>
      <c r="AT24" s="343" t="str">
        <f t="shared" si="48"/>
        <v xml:space="preserve"> </v>
      </c>
      <c r="AU24" s="360" t="str">
        <f>IF(C24=" "," ",VLOOKUP(B24,LastStart!$A$3:$AI$28,$AU$5,FALSE))</f>
        <v xml:space="preserve"> </v>
      </c>
      <c r="AV24" s="343" t="str">
        <f t="shared" si="49"/>
        <v xml:space="preserve"> </v>
      </c>
      <c r="AW24" s="360" t="str">
        <f t="shared" si="50"/>
        <v xml:space="preserve"> </v>
      </c>
      <c r="AX24" s="343" t="str">
        <f t="shared" si="51"/>
        <v xml:space="preserve"> </v>
      </c>
      <c r="AY24" s="343" t="str">
        <f t="shared" si="52"/>
        <v xml:space="preserve"> </v>
      </c>
      <c r="AZ24" s="343" t="str">
        <f t="shared" si="53"/>
        <v xml:space="preserve"> </v>
      </c>
      <c r="BA24" s="360" t="str">
        <f t="shared" si="54"/>
        <v xml:space="preserve"> </v>
      </c>
      <c r="BB24" s="360" t="str">
        <f t="shared" si="55"/>
        <v xml:space="preserve"> </v>
      </c>
      <c r="BC24" s="412" t="str">
        <f t="shared" si="56"/>
        <v xml:space="preserve"> </v>
      </c>
      <c r="BD24" s="413" t="str">
        <f t="shared" si="57"/>
        <v xml:space="preserve"> </v>
      </c>
      <c r="BE24" s="413" t="str">
        <f t="shared" si="58"/>
        <v xml:space="preserve"> </v>
      </c>
      <c r="BF24" s="413" t="str">
        <f t="shared" si="59"/>
        <v xml:space="preserve"> </v>
      </c>
      <c r="BG24" s="413" t="str">
        <f t="shared" si="7"/>
        <v xml:space="preserve"> </v>
      </c>
      <c r="BH24" s="413" t="str">
        <f t="shared" si="8"/>
        <v xml:space="preserve"> </v>
      </c>
      <c r="BI24" s="413" t="str">
        <f t="shared" si="9"/>
        <v xml:space="preserve"> </v>
      </c>
      <c r="BJ24" s="413" t="str">
        <f t="shared" si="10"/>
        <v xml:space="preserve"> </v>
      </c>
      <c r="BK24" s="413" t="str">
        <f t="shared" si="11"/>
        <v xml:space="preserve"> </v>
      </c>
      <c r="BL24" s="413" t="str">
        <f t="shared" si="12"/>
        <v xml:space="preserve"> </v>
      </c>
      <c r="BM24" s="413" t="str">
        <f t="shared" si="13"/>
        <v xml:space="preserve"> </v>
      </c>
      <c r="BN24" s="413" t="str">
        <f t="shared" si="14"/>
        <v xml:space="preserve"> </v>
      </c>
      <c r="BO24" s="413" t="str">
        <f t="shared" si="15"/>
        <v xml:space="preserve"> </v>
      </c>
      <c r="BP24" s="413" t="str">
        <f t="shared" si="16"/>
        <v xml:space="preserve"> </v>
      </c>
      <c r="BQ24" s="413" t="str">
        <f t="shared" si="60"/>
        <v xml:space="preserve"> </v>
      </c>
      <c r="BR24" s="413" t="str">
        <f t="shared" si="61"/>
        <v>NOW</v>
      </c>
      <c r="BS24" s="413" t="str">
        <f>IF(Table7[[#This Row],[NOW vs PICK1]]="PICK1",Table7[[#This Row],[PICK 1]],Table7[[#This Row],[Now Count]])</f>
        <v xml:space="preserve"> </v>
      </c>
      <c r="BT24" s="413" t="str">
        <f>IFERROR(VLOOKUP($B24,'Raw Data'!$A$3:$W$30,'SPORTSBET FIXED ODDS FOR PARLAY'!$I$2,FALSE)," ")</f>
        <v xml:space="preserve"> </v>
      </c>
      <c r="BU24" s="413" t="str">
        <f t="shared" si="17"/>
        <v xml:space="preserve"> </v>
      </c>
      <c r="BV24" s="413" t="str">
        <f t="shared" si="62"/>
        <v xml:space="preserve"> </v>
      </c>
      <c r="BW24" s="413" t="str">
        <f t="shared" si="18"/>
        <v xml:space="preserve"> </v>
      </c>
      <c r="BX24" s="413" t="str">
        <f t="shared" si="19"/>
        <v xml:space="preserve"> </v>
      </c>
      <c r="BY24" s="413" t="str">
        <f>IF(C24=" "," ",IF(AND(BV24&gt;=$BV$34),1,IF(AND($K$4="TT",$BN$38="NARROW",Table7[[#This Row],[J7-K7 Count]]=1),1," ")))</f>
        <v xml:space="preserve"> </v>
      </c>
      <c r="BZ24"/>
      <c r="CA24"/>
      <c r="CB24"/>
      <c r="CC24"/>
      <c r="CD24"/>
      <c r="CE24"/>
      <c r="CF24"/>
      <c r="CG24"/>
      <c r="CH24"/>
    </row>
    <row r="25" spans="1:86" ht="18.899999999999999" customHeight="1" x14ac:dyDescent="0.3">
      <c r="A25" s="208" t="str">
        <f t="shared" si="20"/>
        <v xml:space="preserve"> </v>
      </c>
      <c r="B25" s="109">
        <v>19</v>
      </c>
      <c r="C25" s="111" t="str">
        <f>IFERROR(VLOOKUP(B25,'Raw Data'!$A$3:$EA$30,2,0)," ")</f>
        <v xml:space="preserve"> </v>
      </c>
      <c r="D25" s="200" t="str">
        <f>IF(C25=" "," ",VLOOKUP(B25,LastStart!$A$3:$AI$28,$AU$5,FALSE))</f>
        <v xml:space="preserve"> </v>
      </c>
      <c r="E25" s="111" t="str">
        <f t="shared" si="21"/>
        <v xml:space="preserve"> </v>
      </c>
      <c r="F25" s="111" t="str">
        <f t="shared" si="22"/>
        <v xml:space="preserve"> </v>
      </c>
      <c r="G25" s="112" t="str">
        <f t="shared" si="23"/>
        <v xml:space="preserve"> </v>
      </c>
      <c r="H25" s="113" t="str">
        <f t="shared" si="24"/>
        <v xml:space="preserve"> </v>
      </c>
      <c r="I25" s="113" t="str">
        <f>IF(C25=" "," ",VLOOKUP(B25,LastStart!$A$3:$AN$28,40,FALSE))</f>
        <v xml:space="preserve"> </v>
      </c>
      <c r="J25" s="166" t="str">
        <f t="shared" si="25"/>
        <v/>
      </c>
      <c r="K25" s="113" t="str">
        <f t="shared" si="26"/>
        <v xml:space="preserve"> </v>
      </c>
      <c r="L25" s="338" t="str">
        <f xml:space="preserve">
IF($A25=" "," ",
IF(AND($A25="YES",VLOOKUP($B25,'Raw Data'!$A$3:$W$30,'SPORTSBET FIXED ODDS FOR PARLAY'!$I$2,FALSE)&gt;0),VLOOKUP($B25,'Raw Data'!$A$3:$W$30,'SPORTSBET FIXED ODDS FOR PARLAY'!$I$2,FALSE),
" "))</f>
        <v xml:space="preserve"> </v>
      </c>
      <c r="M25" s="124" t="str">
        <f t="shared" si="27"/>
        <v xml:space="preserve"> </v>
      </c>
      <c r="N25" s="114">
        <f t="shared" si="5"/>
        <v>0</v>
      </c>
      <c r="O25" s="115">
        <f t="shared" si="28"/>
        <v>0</v>
      </c>
      <c r="P25" s="114">
        <f t="shared" si="66"/>
        <v>0</v>
      </c>
      <c r="Q25" s="116" t="str">
        <f t="shared" si="30"/>
        <v xml:space="preserve"> </v>
      </c>
      <c r="R25" s="116">
        <f t="shared" si="31"/>
        <v>0</v>
      </c>
      <c r="S25" s="117" t="str">
        <f t="shared" si="67"/>
        <v xml:space="preserve"> </v>
      </c>
      <c r="T25" s="82"/>
      <c r="U25" s="118" t="str">
        <f t="shared" si="33"/>
        <v xml:space="preserve"> </v>
      </c>
      <c r="V25" s="119" t="str">
        <f t="shared" si="64"/>
        <v xml:space="preserve"> </v>
      </c>
      <c r="W25" s="119" t="str">
        <f t="shared" si="65"/>
        <v xml:space="preserve"> </v>
      </c>
      <c r="X25" s="120" t="str">
        <f t="shared" si="63"/>
        <v xml:space="preserve"> </v>
      </c>
      <c r="Y25" s="152" t="str">
        <f>IF(D25=" "," ",IFERROR(VLOOKUP($B25,'Raw Data'!$A$3:$X$32,$I$2,0)," "))</f>
        <v xml:space="preserve"> </v>
      </c>
      <c r="Z25" s="233" t="str">
        <f>VLOOKUP(B25,'S31.ODDS'!$B$7:$Y$30,24,0)</f>
        <v xml:space="preserve"> </v>
      </c>
      <c r="AA25" s="119" t="str">
        <f>VLOOKUP(B25,'A1. PICKS'!$B$7:$Y$30,24,0)</f>
        <v xml:space="preserve"> </v>
      </c>
      <c r="AB25" s="174" t="str">
        <f>IF(ISERROR(VLOOKUP(B25,'Dashboard '!$A$3:$AF$26,32,FALSE))," ",VLOOKUP(B25,'Dashboard '!$A$3:$AF$26,32,FALSE))</f>
        <v xml:space="preserve"> </v>
      </c>
      <c r="AC25" s="343" t="str">
        <f>IFERROR(VLOOKUP(B25,Results!$A$3:$DY$29,129,FALSE)," ")</f>
        <v xml:space="preserve"> </v>
      </c>
      <c r="AD25" s="343" t="str">
        <f>IFERROR(VLOOKUP($B25,'cluster'!$A$20:$CI$45,87,0)," ")</f>
        <v xml:space="preserve"> </v>
      </c>
      <c r="AE25" s="343" t="str">
        <f t="shared" si="36"/>
        <v xml:space="preserve"> </v>
      </c>
      <c r="AF25" s="343" t="str">
        <f t="shared" si="37"/>
        <v/>
      </c>
      <c r="AG25" s="367" t="str">
        <f>IF(ISERROR(VLOOKUP(B25,'Raw Data'!$A$3:$EA$29,131,FALSE))," ",VLOOKUP(B25,'Raw Data'!$A$3:$EA$29,131,FALSE))</f>
        <v xml:space="preserve"> </v>
      </c>
      <c r="AH25" s="343" t="str">
        <f t="shared" si="38"/>
        <v xml:space="preserve"> </v>
      </c>
      <c r="AI25" s="343" t="str">
        <f t="shared" si="39"/>
        <v/>
      </c>
      <c r="AJ25" s="343" t="str">
        <f>IF($C25=" "," ",IF(VLOOKUP($B25,'Raw Data'!$A$3:$EI$31,139,FALSE)=" "," ",IF(VLOOKUP($B25,'Raw Data'!$A$3:$EI$31,139,FALSE)&gt;0,VLOOKUP($B25,'Raw Data'!$A$3:$EI$31,139,FALSE)," ")))</f>
        <v xml:space="preserve"> </v>
      </c>
      <c r="AK25" s="393" t="str">
        <f t="shared" si="40"/>
        <v xml:space="preserve"> </v>
      </c>
      <c r="AL25" s="393" t="str">
        <f t="shared" si="41"/>
        <v xml:space="preserve"> </v>
      </c>
      <c r="AM25" s="393" t="str">
        <f>IF(C25=" "," ",IF(AND(VLOOKUP($B25,'cluster'!$A$20:$DN$45,118,0)="NOW"),$B25," "))</f>
        <v xml:space="preserve"> </v>
      </c>
      <c r="AN25" s="343" t="str">
        <f t="shared" si="42"/>
        <v/>
      </c>
      <c r="AO25" s="393" t="str">
        <f t="shared" si="43"/>
        <v xml:space="preserve"> </v>
      </c>
      <c r="AP25" s="393" t="str">
        <f t="shared" si="44"/>
        <v xml:space="preserve"> </v>
      </c>
      <c r="AQ25" s="343" t="str">
        <f t="shared" si="45"/>
        <v xml:space="preserve"> </v>
      </c>
      <c r="AR25" s="360" t="str">
        <f t="shared" si="46"/>
        <v xml:space="preserve"> </v>
      </c>
      <c r="AS25" s="343" t="str">
        <f t="shared" si="47"/>
        <v xml:space="preserve"> </v>
      </c>
      <c r="AT25" s="343" t="str">
        <f t="shared" si="48"/>
        <v xml:space="preserve"> </v>
      </c>
      <c r="AU25" s="360" t="str">
        <f>IF(C25=" "," ",VLOOKUP(B25,LastStart!$A$3:$AI$28,$AU$5,FALSE))</f>
        <v xml:space="preserve"> </v>
      </c>
      <c r="AV25" s="343" t="str">
        <f t="shared" si="49"/>
        <v xml:space="preserve"> </v>
      </c>
      <c r="AW25" s="360" t="str">
        <f t="shared" si="50"/>
        <v xml:space="preserve"> </v>
      </c>
      <c r="AX25" s="343" t="str">
        <f t="shared" si="51"/>
        <v xml:space="preserve"> </v>
      </c>
      <c r="AY25" s="343" t="str">
        <f t="shared" si="52"/>
        <v xml:space="preserve"> </v>
      </c>
      <c r="AZ25" s="343" t="str">
        <f t="shared" si="53"/>
        <v xml:space="preserve"> </v>
      </c>
      <c r="BA25" s="360" t="str">
        <f t="shared" si="54"/>
        <v xml:space="preserve"> </v>
      </c>
      <c r="BB25" s="360" t="str">
        <f t="shared" si="55"/>
        <v xml:space="preserve"> </v>
      </c>
      <c r="BC25" s="412" t="str">
        <f t="shared" si="56"/>
        <v xml:space="preserve"> </v>
      </c>
      <c r="BD25" s="413" t="str">
        <f t="shared" si="57"/>
        <v xml:space="preserve"> </v>
      </c>
      <c r="BE25" s="413" t="str">
        <f t="shared" si="58"/>
        <v xml:space="preserve"> </v>
      </c>
      <c r="BF25" s="413" t="str">
        <f t="shared" si="59"/>
        <v xml:space="preserve"> </v>
      </c>
      <c r="BG25" s="413" t="str">
        <f t="shared" si="7"/>
        <v xml:space="preserve"> </v>
      </c>
      <c r="BH25" s="413" t="str">
        <f t="shared" si="8"/>
        <v xml:space="preserve"> </v>
      </c>
      <c r="BI25" s="413" t="str">
        <f t="shared" si="9"/>
        <v xml:space="preserve"> </v>
      </c>
      <c r="BJ25" s="413" t="str">
        <f t="shared" si="10"/>
        <v xml:space="preserve"> </v>
      </c>
      <c r="BK25" s="413" t="str">
        <f t="shared" si="11"/>
        <v xml:space="preserve"> </v>
      </c>
      <c r="BL25" s="413" t="str">
        <f t="shared" si="12"/>
        <v xml:space="preserve"> </v>
      </c>
      <c r="BM25" s="413" t="str">
        <f t="shared" si="13"/>
        <v xml:space="preserve"> </v>
      </c>
      <c r="BN25" s="413" t="str">
        <f t="shared" si="14"/>
        <v xml:space="preserve"> </v>
      </c>
      <c r="BO25" s="413" t="str">
        <f t="shared" si="15"/>
        <v xml:space="preserve"> </v>
      </c>
      <c r="BP25" s="413" t="str">
        <f t="shared" si="16"/>
        <v xml:space="preserve"> </v>
      </c>
      <c r="BQ25" s="413" t="str">
        <f t="shared" si="60"/>
        <v xml:space="preserve"> </v>
      </c>
      <c r="BR25" s="413" t="str">
        <f t="shared" si="61"/>
        <v>NOW</v>
      </c>
      <c r="BS25" s="413" t="str">
        <f>IF(Table7[[#This Row],[NOW vs PICK1]]="PICK1",Table7[[#This Row],[PICK 1]],Table7[[#This Row],[Now Count]])</f>
        <v xml:space="preserve"> </v>
      </c>
      <c r="BT25" s="413" t="str">
        <f>IFERROR(VLOOKUP($B25,'Raw Data'!$A$3:$W$30,'SPORTSBET FIXED ODDS FOR PARLAY'!$I$2,FALSE)," ")</f>
        <v xml:space="preserve"> </v>
      </c>
      <c r="BU25" s="413" t="str">
        <f t="shared" si="17"/>
        <v xml:space="preserve"> </v>
      </c>
      <c r="BV25" s="413" t="str">
        <f t="shared" si="62"/>
        <v xml:space="preserve"> </v>
      </c>
      <c r="BW25" s="413" t="str">
        <f t="shared" si="18"/>
        <v xml:space="preserve"> </v>
      </c>
      <c r="BX25" s="413" t="str">
        <f t="shared" si="19"/>
        <v xml:space="preserve"> </v>
      </c>
      <c r="BY25" s="413" t="str">
        <f>IF(C25=" "," ",IF(AND(BV25&gt;=$BV$34),1,IF(AND($K$4="TT",$BN$38="NARROW",Table7[[#This Row],[J7-K7 Count]]=1),1," ")))</f>
        <v xml:space="preserve"> </v>
      </c>
      <c r="BZ25"/>
      <c r="CA25"/>
      <c r="CB25"/>
      <c r="CC25"/>
      <c r="CD25"/>
      <c r="CE25"/>
      <c r="CF25"/>
      <c r="CG25"/>
      <c r="CH25"/>
    </row>
    <row r="26" spans="1:86" ht="18.899999999999999" customHeight="1" x14ac:dyDescent="0.3">
      <c r="A26" s="208" t="str">
        <f t="shared" si="20"/>
        <v xml:space="preserve"> </v>
      </c>
      <c r="B26" s="109">
        <v>20</v>
      </c>
      <c r="C26" s="111" t="str">
        <f>IFERROR(VLOOKUP(B26,'Raw Data'!$A$3:$EA$30,2,0)," ")</f>
        <v xml:space="preserve"> </v>
      </c>
      <c r="D26" s="200" t="str">
        <f>IF(C26=" "," ",VLOOKUP(B26,LastStart!$A$3:$AI$28,$AU$5,FALSE))</f>
        <v xml:space="preserve"> </v>
      </c>
      <c r="E26" s="111" t="str">
        <f t="shared" si="21"/>
        <v xml:space="preserve"> </v>
      </c>
      <c r="F26" s="111" t="str">
        <f t="shared" si="22"/>
        <v xml:space="preserve"> </v>
      </c>
      <c r="G26" s="112" t="str">
        <f t="shared" si="23"/>
        <v xml:space="preserve"> </v>
      </c>
      <c r="H26" s="113" t="str">
        <f t="shared" si="24"/>
        <v xml:space="preserve"> </v>
      </c>
      <c r="I26" s="113" t="str">
        <f>IF(C26=" "," ",VLOOKUP(B26,LastStart!$A$3:$AN$28,40,FALSE))</f>
        <v xml:space="preserve"> </v>
      </c>
      <c r="J26" s="166" t="str">
        <f t="shared" si="25"/>
        <v/>
      </c>
      <c r="K26" s="113" t="str">
        <f t="shared" si="26"/>
        <v xml:space="preserve"> </v>
      </c>
      <c r="L26" s="338" t="str">
        <f xml:space="preserve">
IF($A26=" "," ",
IF(AND($A26="YES",VLOOKUP($B26,'Raw Data'!$A$3:$W$30,'SPORTSBET FIXED ODDS FOR PARLAY'!$I$2,FALSE)&gt;0),VLOOKUP($B26,'Raw Data'!$A$3:$W$30,'SPORTSBET FIXED ODDS FOR PARLAY'!$I$2,FALSE),
" "))</f>
        <v xml:space="preserve"> </v>
      </c>
      <c r="M26" s="124" t="str">
        <f t="shared" si="27"/>
        <v xml:space="preserve"> </v>
      </c>
      <c r="N26" s="114">
        <f t="shared" si="5"/>
        <v>0</v>
      </c>
      <c r="O26" s="115">
        <f t="shared" si="28"/>
        <v>0</v>
      </c>
      <c r="P26" s="114">
        <f t="shared" si="66"/>
        <v>0</v>
      </c>
      <c r="Q26" s="116" t="str">
        <f t="shared" si="30"/>
        <v xml:space="preserve"> </v>
      </c>
      <c r="R26" s="116">
        <f t="shared" si="31"/>
        <v>0</v>
      </c>
      <c r="S26" s="117" t="str">
        <f t="shared" si="67"/>
        <v xml:space="preserve"> </v>
      </c>
      <c r="T26" s="82"/>
      <c r="U26" s="118" t="str">
        <f t="shared" si="33"/>
        <v xml:space="preserve"> </v>
      </c>
      <c r="V26" s="119" t="str">
        <f t="shared" si="64"/>
        <v xml:space="preserve"> </v>
      </c>
      <c r="W26" s="119" t="str">
        <f t="shared" si="65"/>
        <v xml:space="preserve"> </v>
      </c>
      <c r="X26" s="120" t="str">
        <f t="shared" si="63"/>
        <v xml:space="preserve"> </v>
      </c>
      <c r="Y26" s="152" t="str">
        <f>IF(D26=" "," ",IFERROR(VLOOKUP($B26,'Raw Data'!$A$3:$X$32,$I$2,0)," "))</f>
        <v xml:space="preserve"> </v>
      </c>
      <c r="Z26" s="233" t="str">
        <f>VLOOKUP(B26,'S31.ODDS'!$B$7:$Y$30,24,0)</f>
        <v xml:space="preserve"> </v>
      </c>
      <c r="AA26" s="119" t="str">
        <f>VLOOKUP(B26,'A1. PICKS'!$B$7:$Y$30,24,0)</f>
        <v xml:space="preserve"> </v>
      </c>
      <c r="AB26" s="174" t="str">
        <f>IF(ISERROR(VLOOKUP(B26,'Dashboard '!$A$3:$AF$26,32,FALSE))," ",VLOOKUP(B26,'Dashboard '!$A$3:$AF$26,32,FALSE))</f>
        <v xml:space="preserve"> </v>
      </c>
      <c r="AC26" s="343" t="str">
        <f>IFERROR(VLOOKUP(B26,Results!$A$3:$DY$29,129,FALSE)," ")</f>
        <v xml:space="preserve"> </v>
      </c>
      <c r="AD26" s="343" t="str">
        <f>IFERROR(VLOOKUP($B26,'cluster'!$A$20:$CI$45,87,0)," ")</f>
        <v xml:space="preserve"> </v>
      </c>
      <c r="AE26" s="343" t="str">
        <f t="shared" si="36"/>
        <v xml:space="preserve"> </v>
      </c>
      <c r="AF26" s="343" t="str">
        <f t="shared" si="37"/>
        <v/>
      </c>
      <c r="AG26" s="367" t="str">
        <f>IF(ISERROR(VLOOKUP(B26,'Raw Data'!$A$3:$EA$29,131,FALSE))," ",VLOOKUP(B26,'Raw Data'!$A$3:$EA$29,131,FALSE))</f>
        <v xml:space="preserve"> </v>
      </c>
      <c r="AH26" s="343" t="str">
        <f t="shared" si="38"/>
        <v xml:space="preserve"> </v>
      </c>
      <c r="AI26" s="343" t="str">
        <f t="shared" si="39"/>
        <v/>
      </c>
      <c r="AJ26" s="343" t="str">
        <f>IF($C26=" "," ",IF(VLOOKUP($B26,'Raw Data'!$A$3:$EI$31,139,FALSE)=" "," ",IF(VLOOKUP($B26,'Raw Data'!$A$3:$EI$31,139,FALSE)&gt;0,VLOOKUP($B26,'Raw Data'!$A$3:$EI$31,139,FALSE)," ")))</f>
        <v xml:space="preserve"> </v>
      </c>
      <c r="AK26" s="393" t="str">
        <f t="shared" si="40"/>
        <v xml:space="preserve"> </v>
      </c>
      <c r="AL26" s="393" t="str">
        <f t="shared" si="41"/>
        <v xml:space="preserve"> </v>
      </c>
      <c r="AM26" s="393" t="str">
        <f>IF(C26=" "," ",IF(AND(VLOOKUP($B26,'cluster'!$A$20:$DN$45,118,0)="NOW"),$B26," "))</f>
        <v xml:space="preserve"> </v>
      </c>
      <c r="AN26" s="343" t="str">
        <f t="shared" si="42"/>
        <v/>
      </c>
      <c r="AO26" s="393" t="str">
        <f t="shared" si="43"/>
        <v xml:space="preserve"> </v>
      </c>
      <c r="AP26" s="393" t="str">
        <f t="shared" si="44"/>
        <v xml:space="preserve"> </v>
      </c>
      <c r="AQ26" s="343" t="str">
        <f t="shared" si="45"/>
        <v xml:space="preserve"> </v>
      </c>
      <c r="AR26" s="360" t="str">
        <f t="shared" si="46"/>
        <v xml:space="preserve"> </v>
      </c>
      <c r="AS26" s="343" t="str">
        <f t="shared" si="47"/>
        <v xml:space="preserve"> </v>
      </c>
      <c r="AT26" s="343" t="str">
        <f t="shared" si="48"/>
        <v xml:space="preserve"> </v>
      </c>
      <c r="AU26" s="360" t="str">
        <f>IF(C26=" "," ",VLOOKUP(B26,LastStart!$A$3:$AI$28,$AU$5,FALSE))</f>
        <v xml:space="preserve"> </v>
      </c>
      <c r="AV26" s="343" t="str">
        <f t="shared" si="49"/>
        <v xml:space="preserve"> </v>
      </c>
      <c r="AW26" s="360" t="str">
        <f t="shared" si="50"/>
        <v xml:space="preserve"> </v>
      </c>
      <c r="AX26" s="343" t="str">
        <f t="shared" si="51"/>
        <v xml:space="preserve"> </v>
      </c>
      <c r="AY26" s="343" t="str">
        <f t="shared" si="52"/>
        <v xml:space="preserve"> </v>
      </c>
      <c r="AZ26" s="343" t="str">
        <f t="shared" si="53"/>
        <v xml:space="preserve"> </v>
      </c>
      <c r="BA26" s="360" t="str">
        <f t="shared" si="54"/>
        <v xml:space="preserve"> </v>
      </c>
      <c r="BB26" s="360" t="str">
        <f t="shared" si="55"/>
        <v xml:space="preserve"> </v>
      </c>
      <c r="BC26" s="412" t="str">
        <f t="shared" si="56"/>
        <v xml:space="preserve"> </v>
      </c>
      <c r="BD26" s="413" t="str">
        <f t="shared" si="57"/>
        <v xml:space="preserve"> </v>
      </c>
      <c r="BE26" s="413" t="str">
        <f t="shared" si="58"/>
        <v xml:space="preserve"> </v>
      </c>
      <c r="BF26" s="413" t="str">
        <f t="shared" si="59"/>
        <v xml:space="preserve"> </v>
      </c>
      <c r="BG26" s="413" t="str">
        <f t="shared" si="7"/>
        <v xml:space="preserve"> </v>
      </c>
      <c r="BH26" s="413" t="str">
        <f t="shared" si="8"/>
        <v xml:space="preserve"> </v>
      </c>
      <c r="BI26" s="413" t="str">
        <f t="shared" si="9"/>
        <v xml:space="preserve"> </v>
      </c>
      <c r="BJ26" s="413" t="str">
        <f t="shared" si="10"/>
        <v xml:space="preserve"> </v>
      </c>
      <c r="BK26" s="413" t="str">
        <f t="shared" si="11"/>
        <v xml:space="preserve"> </v>
      </c>
      <c r="BL26" s="413" t="str">
        <f t="shared" si="12"/>
        <v xml:space="preserve"> </v>
      </c>
      <c r="BM26" s="413" t="str">
        <f t="shared" si="13"/>
        <v xml:space="preserve"> </v>
      </c>
      <c r="BN26" s="413" t="str">
        <f t="shared" si="14"/>
        <v xml:space="preserve"> </v>
      </c>
      <c r="BO26" s="413" t="str">
        <f t="shared" si="15"/>
        <v xml:space="preserve"> </v>
      </c>
      <c r="BP26" s="413" t="str">
        <f t="shared" si="16"/>
        <v xml:space="preserve"> </v>
      </c>
      <c r="BQ26" s="413" t="str">
        <f t="shared" si="60"/>
        <v xml:space="preserve"> </v>
      </c>
      <c r="BR26" s="413" t="str">
        <f t="shared" si="61"/>
        <v>NOW</v>
      </c>
      <c r="BS26" s="413" t="str">
        <f>IF(Table7[[#This Row],[NOW vs PICK1]]="PICK1",Table7[[#This Row],[PICK 1]],Table7[[#This Row],[Now Count]])</f>
        <v xml:space="preserve"> </v>
      </c>
      <c r="BT26" s="413" t="str">
        <f>IFERROR(VLOOKUP($B26,'Raw Data'!$A$3:$W$30,'SPORTSBET FIXED ODDS FOR PARLAY'!$I$2,FALSE)," ")</f>
        <v xml:space="preserve"> </v>
      </c>
      <c r="BU26" s="413" t="str">
        <f t="shared" si="17"/>
        <v xml:space="preserve"> </v>
      </c>
      <c r="BV26" s="413" t="str">
        <f t="shared" si="62"/>
        <v xml:space="preserve"> </v>
      </c>
      <c r="BW26" s="413" t="str">
        <f t="shared" si="18"/>
        <v xml:space="preserve"> </v>
      </c>
      <c r="BX26" s="413" t="str">
        <f t="shared" si="19"/>
        <v xml:space="preserve"> </v>
      </c>
      <c r="BY26" s="413" t="str">
        <f>IF(C26=" "," ",IF(AND(BV26&gt;=$BV$34),1,IF(AND($K$4="TT",$BN$38="NARROW",Table7[[#This Row],[J7-K7 Count]]=1),1," ")))</f>
        <v xml:space="preserve"> </v>
      </c>
      <c r="BZ26"/>
      <c r="CA26"/>
      <c r="CB26"/>
      <c r="CC26"/>
      <c r="CD26"/>
      <c r="CE26"/>
      <c r="CF26"/>
      <c r="CG26"/>
      <c r="CH26"/>
    </row>
    <row r="27" spans="1:86" ht="18.899999999999999" customHeight="1" x14ac:dyDescent="0.3">
      <c r="A27" s="208" t="str">
        <f t="shared" si="20"/>
        <v xml:space="preserve"> </v>
      </c>
      <c r="B27" s="109">
        <v>21</v>
      </c>
      <c r="C27" s="111" t="str">
        <f>IFERROR(VLOOKUP(B27,'Raw Data'!$A$3:$EA$30,2,0)," ")</f>
        <v xml:space="preserve"> </v>
      </c>
      <c r="D27" s="200" t="str">
        <f>IF(C27=" "," ",VLOOKUP(B27,LastStart!$A$3:$AI$28,$AU$5,FALSE))</f>
        <v xml:space="preserve"> </v>
      </c>
      <c r="E27" s="111" t="str">
        <f t="shared" si="21"/>
        <v xml:space="preserve"> </v>
      </c>
      <c r="F27" s="111" t="str">
        <f t="shared" si="22"/>
        <v xml:space="preserve"> </v>
      </c>
      <c r="G27" s="112" t="str">
        <f t="shared" si="23"/>
        <v xml:space="preserve"> </v>
      </c>
      <c r="H27" s="113" t="str">
        <f t="shared" si="24"/>
        <v xml:space="preserve"> </v>
      </c>
      <c r="I27" s="113" t="str">
        <f>IF(C27=" "," ",VLOOKUP(B27,LastStart!$A$3:$AN$28,40,FALSE))</f>
        <v xml:space="preserve"> </v>
      </c>
      <c r="J27" s="166" t="str">
        <f t="shared" si="25"/>
        <v/>
      </c>
      <c r="K27" s="113" t="str">
        <f t="shared" si="26"/>
        <v xml:space="preserve"> </v>
      </c>
      <c r="L27" s="338" t="str">
        <f xml:space="preserve">
IF($A27=" "," ",
IF(AND($A27="YES",VLOOKUP($B27,'Raw Data'!$A$3:$W$30,'SPORTSBET FIXED ODDS FOR PARLAY'!$I$2,FALSE)&gt;0),VLOOKUP($B27,'Raw Data'!$A$3:$W$30,'SPORTSBET FIXED ODDS FOR PARLAY'!$I$2,FALSE),
" "))</f>
        <v xml:space="preserve"> </v>
      </c>
      <c r="M27" s="124" t="str">
        <f t="shared" si="27"/>
        <v xml:space="preserve"> </v>
      </c>
      <c r="N27" s="114">
        <f t="shared" si="5"/>
        <v>0</v>
      </c>
      <c r="O27" s="115">
        <f t="shared" si="28"/>
        <v>0</v>
      </c>
      <c r="P27" s="114">
        <f t="shared" si="66"/>
        <v>0</v>
      </c>
      <c r="Q27" s="116" t="str">
        <f t="shared" si="30"/>
        <v xml:space="preserve"> </v>
      </c>
      <c r="R27" s="116">
        <f t="shared" si="31"/>
        <v>0</v>
      </c>
      <c r="S27" s="117" t="str">
        <f t="shared" si="67"/>
        <v xml:space="preserve"> </v>
      </c>
      <c r="T27" s="82"/>
      <c r="U27" s="118" t="str">
        <f t="shared" si="33"/>
        <v xml:space="preserve"> </v>
      </c>
      <c r="V27" s="119" t="str">
        <f t="shared" si="64"/>
        <v xml:space="preserve"> </v>
      </c>
      <c r="W27" s="119" t="str">
        <f t="shared" si="65"/>
        <v xml:space="preserve"> </v>
      </c>
      <c r="X27" s="120" t="str">
        <f t="shared" si="63"/>
        <v xml:space="preserve"> </v>
      </c>
      <c r="Y27" s="152" t="str">
        <f>IF(D27=" "," ",IFERROR(VLOOKUP($B27,'Raw Data'!$A$3:$X$32,$I$2,0)," "))</f>
        <v xml:space="preserve"> </v>
      </c>
      <c r="Z27" s="233" t="str">
        <f>VLOOKUP(B27,'S31.ODDS'!$B$7:$Y$30,24,0)</f>
        <v xml:space="preserve"> </v>
      </c>
      <c r="AA27" s="119" t="str">
        <f>VLOOKUP(B27,'A1. PICKS'!$B$7:$Y$30,24,0)</f>
        <v xml:space="preserve"> </v>
      </c>
      <c r="AB27" s="174" t="str">
        <f>IF(ISERROR(VLOOKUP(B27,'Dashboard '!$A$3:$AF$26,32,FALSE))," ",VLOOKUP(B27,'Dashboard '!$A$3:$AF$26,32,FALSE))</f>
        <v xml:space="preserve"> </v>
      </c>
      <c r="AC27" s="343" t="str">
        <f>IFERROR(VLOOKUP(B27,Results!$A$3:$DY$29,129,FALSE)," ")</f>
        <v xml:space="preserve"> </v>
      </c>
      <c r="AD27" s="343" t="str">
        <f>IFERROR(VLOOKUP($B27,'cluster'!$A$20:$CI$45,87,0)," ")</f>
        <v xml:space="preserve"> </v>
      </c>
      <c r="AE27" s="343" t="str">
        <f t="shared" si="36"/>
        <v xml:space="preserve"> </v>
      </c>
      <c r="AF27" s="343" t="str">
        <f t="shared" si="37"/>
        <v/>
      </c>
      <c r="AG27" s="367" t="str">
        <f>IF(ISERROR(VLOOKUP(B27,'Raw Data'!$A$3:$EA$29,131,FALSE))," ",VLOOKUP(B27,'Raw Data'!$A$3:$EA$29,131,FALSE))</f>
        <v xml:space="preserve"> </v>
      </c>
      <c r="AH27" s="343" t="str">
        <f t="shared" si="38"/>
        <v xml:space="preserve"> </v>
      </c>
      <c r="AI27" s="343" t="str">
        <f t="shared" si="39"/>
        <v/>
      </c>
      <c r="AJ27" s="343" t="str">
        <f>IF($C27=" "," ",IF(VLOOKUP($B27,'Raw Data'!$A$3:$EI$31,139,FALSE)=" "," ",IF(VLOOKUP($B27,'Raw Data'!$A$3:$EI$31,139,FALSE)&gt;0,VLOOKUP($B27,'Raw Data'!$A$3:$EI$31,139,FALSE)," ")))</f>
        <v xml:space="preserve"> </v>
      </c>
      <c r="AK27" s="393" t="str">
        <f t="shared" si="40"/>
        <v xml:space="preserve"> </v>
      </c>
      <c r="AL27" s="393" t="str">
        <f t="shared" si="41"/>
        <v xml:space="preserve"> </v>
      </c>
      <c r="AM27" s="393" t="str">
        <f>IF(C27=" "," ",IF(AND(VLOOKUP($B27,'cluster'!$A$20:$DN$45,118,0)="NOW"),$B27," "))</f>
        <v xml:space="preserve"> </v>
      </c>
      <c r="AN27" s="343" t="str">
        <f t="shared" si="42"/>
        <v/>
      </c>
      <c r="AO27" s="393" t="str">
        <f t="shared" si="43"/>
        <v xml:space="preserve"> </v>
      </c>
      <c r="AP27" s="393" t="str">
        <f t="shared" si="44"/>
        <v xml:space="preserve"> </v>
      </c>
      <c r="AQ27" s="343" t="str">
        <f t="shared" si="45"/>
        <v xml:space="preserve"> </v>
      </c>
      <c r="AR27" s="360" t="str">
        <f t="shared" si="46"/>
        <v xml:space="preserve"> </v>
      </c>
      <c r="AS27" s="343" t="str">
        <f t="shared" si="47"/>
        <v xml:space="preserve"> </v>
      </c>
      <c r="AT27" s="343" t="str">
        <f t="shared" si="48"/>
        <v xml:space="preserve"> </v>
      </c>
      <c r="AU27" s="360" t="str">
        <f>IF(C27=" "," ",VLOOKUP(B27,LastStart!$A$3:$AI$28,$AU$5,FALSE))</f>
        <v xml:space="preserve"> </v>
      </c>
      <c r="AV27" s="343" t="str">
        <f t="shared" si="49"/>
        <v xml:space="preserve"> </v>
      </c>
      <c r="AW27" s="360" t="str">
        <f t="shared" si="50"/>
        <v xml:space="preserve"> </v>
      </c>
      <c r="AX27" s="343" t="str">
        <f t="shared" si="51"/>
        <v xml:space="preserve"> </v>
      </c>
      <c r="AY27" s="343" t="str">
        <f t="shared" si="52"/>
        <v xml:space="preserve"> </v>
      </c>
      <c r="AZ27" s="343" t="str">
        <f t="shared" si="53"/>
        <v xml:space="preserve"> </v>
      </c>
      <c r="BA27" s="360" t="str">
        <f t="shared" si="54"/>
        <v xml:space="preserve"> </v>
      </c>
      <c r="BB27" s="360" t="str">
        <f t="shared" si="55"/>
        <v xml:space="preserve"> </v>
      </c>
      <c r="BC27" s="412" t="str">
        <f t="shared" si="56"/>
        <v xml:space="preserve"> </v>
      </c>
      <c r="BD27" s="413" t="str">
        <f t="shared" si="57"/>
        <v xml:space="preserve"> </v>
      </c>
      <c r="BE27" s="413" t="str">
        <f t="shared" si="58"/>
        <v xml:space="preserve"> </v>
      </c>
      <c r="BF27" s="413" t="str">
        <f t="shared" si="59"/>
        <v xml:space="preserve"> </v>
      </c>
      <c r="BG27" s="413" t="str">
        <f t="shared" si="7"/>
        <v xml:space="preserve"> </v>
      </c>
      <c r="BH27" s="413" t="str">
        <f t="shared" si="8"/>
        <v xml:space="preserve"> </v>
      </c>
      <c r="BI27" s="413" t="str">
        <f t="shared" si="9"/>
        <v xml:space="preserve"> </v>
      </c>
      <c r="BJ27" s="413" t="str">
        <f t="shared" si="10"/>
        <v xml:space="preserve"> </v>
      </c>
      <c r="BK27" s="413" t="str">
        <f t="shared" si="11"/>
        <v xml:space="preserve"> </v>
      </c>
      <c r="BL27" s="413" t="str">
        <f t="shared" si="12"/>
        <v xml:space="preserve"> </v>
      </c>
      <c r="BM27" s="413" t="str">
        <f t="shared" si="13"/>
        <v xml:space="preserve"> </v>
      </c>
      <c r="BN27" s="413" t="str">
        <f t="shared" si="14"/>
        <v xml:space="preserve"> </v>
      </c>
      <c r="BO27" s="413" t="str">
        <f t="shared" si="15"/>
        <v xml:space="preserve"> </v>
      </c>
      <c r="BP27" s="413" t="str">
        <f t="shared" si="16"/>
        <v xml:space="preserve"> </v>
      </c>
      <c r="BQ27" s="413" t="str">
        <f t="shared" si="60"/>
        <v xml:space="preserve"> </v>
      </c>
      <c r="BR27" s="413" t="str">
        <f t="shared" si="61"/>
        <v>NOW</v>
      </c>
      <c r="BS27" s="413" t="str">
        <f>IF(Table7[[#This Row],[NOW vs PICK1]]="PICK1",Table7[[#This Row],[PICK 1]],Table7[[#This Row],[Now Count]])</f>
        <v xml:space="preserve"> </v>
      </c>
      <c r="BT27" s="413" t="str">
        <f>IFERROR(VLOOKUP($B27,'Raw Data'!$A$3:$W$30,'SPORTSBET FIXED ODDS FOR PARLAY'!$I$2,FALSE)," ")</f>
        <v xml:space="preserve"> </v>
      </c>
      <c r="BU27" s="413" t="str">
        <f t="shared" si="17"/>
        <v xml:space="preserve"> </v>
      </c>
      <c r="BV27" s="413" t="str">
        <f t="shared" si="62"/>
        <v xml:space="preserve"> </v>
      </c>
      <c r="BW27" s="413" t="str">
        <f t="shared" si="18"/>
        <v xml:space="preserve"> </v>
      </c>
      <c r="BX27" s="413" t="str">
        <f t="shared" si="19"/>
        <v xml:space="preserve"> </v>
      </c>
      <c r="BY27" s="413" t="str">
        <f>IF(C27=" "," ",IF(AND(BV27&gt;=$BV$34),1,IF(AND($K$4="TT",$BN$38="NARROW",Table7[[#This Row],[J7-K7 Count]]=1),1," ")))</f>
        <v xml:space="preserve"> </v>
      </c>
      <c r="BZ27"/>
      <c r="CA27"/>
      <c r="CB27"/>
      <c r="CC27"/>
      <c r="CD27"/>
      <c r="CE27"/>
      <c r="CF27"/>
      <c r="CG27"/>
      <c r="CH27"/>
    </row>
    <row r="28" spans="1:86" ht="18.899999999999999" customHeight="1" x14ac:dyDescent="0.3">
      <c r="A28" s="208" t="str">
        <f t="shared" si="20"/>
        <v xml:space="preserve"> </v>
      </c>
      <c r="B28" s="109">
        <v>22</v>
      </c>
      <c r="C28" s="111" t="str">
        <f>IFERROR(VLOOKUP(B28,'Raw Data'!$A$3:$EA$30,2,0)," ")</f>
        <v xml:space="preserve"> </v>
      </c>
      <c r="D28" s="200" t="str">
        <f>IF(C28=" "," ",VLOOKUP(B28,LastStart!$A$3:$AI$28,$AU$5,FALSE))</f>
        <v xml:space="preserve"> </v>
      </c>
      <c r="E28" s="111" t="str">
        <f t="shared" si="21"/>
        <v xml:space="preserve"> </v>
      </c>
      <c r="F28" s="111" t="str">
        <f t="shared" si="22"/>
        <v xml:space="preserve"> </v>
      </c>
      <c r="G28" s="112" t="str">
        <f t="shared" si="23"/>
        <v xml:space="preserve"> </v>
      </c>
      <c r="H28" s="113" t="str">
        <f t="shared" si="24"/>
        <v xml:space="preserve"> </v>
      </c>
      <c r="I28" s="113" t="str">
        <f>IF(C28=" "," ",VLOOKUP(B28,LastStart!$A$3:$AN$28,40,FALSE))</f>
        <v xml:space="preserve"> </v>
      </c>
      <c r="J28" s="166" t="str">
        <f t="shared" si="25"/>
        <v/>
      </c>
      <c r="K28" s="113" t="str">
        <f t="shared" si="26"/>
        <v xml:space="preserve"> </v>
      </c>
      <c r="L28" s="338" t="str">
        <f xml:space="preserve">
IF($A28=" "," ",
IF(AND($A28="YES",VLOOKUP($B28,'Raw Data'!$A$3:$W$30,'SPORTSBET FIXED ODDS FOR PARLAY'!$I$2,FALSE)&gt;0),VLOOKUP($B28,'Raw Data'!$A$3:$W$30,'SPORTSBET FIXED ODDS FOR PARLAY'!$I$2,FALSE),
" "))</f>
        <v xml:space="preserve"> </v>
      </c>
      <c r="M28" s="124" t="str">
        <f t="shared" si="27"/>
        <v xml:space="preserve"> </v>
      </c>
      <c r="N28" s="114">
        <f t="shared" si="5"/>
        <v>0</v>
      </c>
      <c r="O28" s="115">
        <f t="shared" si="28"/>
        <v>0</v>
      </c>
      <c r="P28" s="114">
        <f t="shared" si="66"/>
        <v>0</v>
      </c>
      <c r="Q28" s="116" t="str">
        <f t="shared" si="30"/>
        <v xml:space="preserve"> </v>
      </c>
      <c r="R28" s="116">
        <f t="shared" si="31"/>
        <v>0</v>
      </c>
      <c r="S28" s="117" t="str">
        <f t="shared" si="67"/>
        <v xml:space="preserve"> </v>
      </c>
      <c r="T28" s="82"/>
      <c r="U28" s="118" t="str">
        <f t="shared" si="33"/>
        <v xml:space="preserve"> </v>
      </c>
      <c r="V28" s="119" t="str">
        <f t="shared" si="64"/>
        <v xml:space="preserve"> </v>
      </c>
      <c r="W28" s="119" t="str">
        <f t="shared" si="65"/>
        <v xml:space="preserve"> </v>
      </c>
      <c r="X28" s="120" t="str">
        <f t="shared" si="63"/>
        <v xml:space="preserve"> </v>
      </c>
      <c r="Y28" s="152" t="str">
        <f>IF(D28=" "," ",IFERROR(VLOOKUP($B28,'Raw Data'!$A$3:$X$32,$I$2,0)," "))</f>
        <v xml:space="preserve"> </v>
      </c>
      <c r="Z28" s="233" t="str">
        <f>VLOOKUP(B28,'S31.ODDS'!$B$7:$Y$30,24,0)</f>
        <v xml:space="preserve"> </v>
      </c>
      <c r="AA28" s="119" t="str">
        <f>VLOOKUP(B28,'A1. PICKS'!$B$7:$Y$30,24,0)</f>
        <v xml:space="preserve"> </v>
      </c>
      <c r="AB28" s="174" t="str">
        <f>IF(ISERROR(VLOOKUP(B28,'Dashboard '!$A$3:$AF$26,32,FALSE))," ",VLOOKUP(B28,'Dashboard '!$A$3:$AF$26,32,FALSE))</f>
        <v xml:space="preserve"> </v>
      </c>
      <c r="AC28" s="343" t="str">
        <f>IFERROR(VLOOKUP(B28,Results!$A$3:$DY$29,129,FALSE)," ")</f>
        <v xml:space="preserve"> </v>
      </c>
      <c r="AD28" s="343" t="str">
        <f>IFERROR(VLOOKUP($B28,'cluster'!$A$20:$CI$45,87,0)," ")</f>
        <v xml:space="preserve"> </v>
      </c>
      <c r="AE28" s="343" t="str">
        <f t="shared" si="36"/>
        <v xml:space="preserve"> </v>
      </c>
      <c r="AF28" s="343" t="str">
        <f t="shared" si="37"/>
        <v/>
      </c>
      <c r="AG28" s="367" t="str">
        <f>IF(ISERROR(VLOOKUP(B28,'Raw Data'!$A$3:$EA$29,131,FALSE))," ",VLOOKUP(B28,'Raw Data'!$A$3:$EA$29,131,FALSE))</f>
        <v xml:space="preserve"> </v>
      </c>
      <c r="AH28" s="343" t="str">
        <f t="shared" si="38"/>
        <v xml:space="preserve"> </v>
      </c>
      <c r="AI28" s="343" t="str">
        <f t="shared" si="39"/>
        <v/>
      </c>
      <c r="AJ28" s="343" t="str">
        <f>IF($C28=" "," ",IF(VLOOKUP($B28,'Raw Data'!$A$3:$EI$31,139,FALSE)=" "," ",IF(VLOOKUP($B28,'Raw Data'!$A$3:$EI$31,139,FALSE)&gt;0,VLOOKUP($B28,'Raw Data'!$A$3:$EI$31,139,FALSE)," ")))</f>
        <v xml:space="preserve"> </v>
      </c>
      <c r="AK28" s="393" t="str">
        <f t="shared" si="40"/>
        <v xml:space="preserve"> </v>
      </c>
      <c r="AL28" s="393" t="str">
        <f t="shared" si="41"/>
        <v xml:space="preserve"> </v>
      </c>
      <c r="AM28" s="393" t="str">
        <f>IF(C28=" "," ",IF(AND(VLOOKUP($B28,'cluster'!$A$20:$DN$45,118,0)="NOW"),$B28," "))</f>
        <v xml:space="preserve"> </v>
      </c>
      <c r="AN28" s="343" t="str">
        <f t="shared" si="42"/>
        <v/>
      </c>
      <c r="AO28" s="393" t="str">
        <f t="shared" si="43"/>
        <v xml:space="preserve"> </v>
      </c>
      <c r="AP28" s="393" t="str">
        <f t="shared" si="44"/>
        <v xml:space="preserve"> </v>
      </c>
      <c r="AQ28" s="343" t="str">
        <f t="shared" si="45"/>
        <v xml:space="preserve"> </v>
      </c>
      <c r="AR28" s="360" t="str">
        <f t="shared" si="46"/>
        <v xml:space="preserve"> </v>
      </c>
      <c r="AS28" s="343" t="str">
        <f t="shared" si="47"/>
        <v xml:space="preserve"> </v>
      </c>
      <c r="AT28" s="343" t="str">
        <f t="shared" si="48"/>
        <v xml:space="preserve"> </v>
      </c>
      <c r="AU28" s="360" t="str">
        <f>IF(C28=" "," ",VLOOKUP(B28,LastStart!$A$3:$AI$28,$AU$5,FALSE))</f>
        <v xml:space="preserve"> </v>
      </c>
      <c r="AV28" s="343" t="str">
        <f t="shared" si="49"/>
        <v xml:space="preserve"> </v>
      </c>
      <c r="AW28" s="360" t="str">
        <f t="shared" si="50"/>
        <v xml:space="preserve"> </v>
      </c>
      <c r="AX28" s="343" t="str">
        <f t="shared" si="51"/>
        <v xml:space="preserve"> </v>
      </c>
      <c r="AY28" s="343" t="str">
        <f t="shared" si="52"/>
        <v xml:space="preserve"> </v>
      </c>
      <c r="AZ28" s="343" t="str">
        <f t="shared" si="53"/>
        <v xml:space="preserve"> </v>
      </c>
      <c r="BA28" s="360" t="str">
        <f t="shared" si="54"/>
        <v xml:space="preserve"> </v>
      </c>
      <c r="BB28" s="360" t="str">
        <f t="shared" si="55"/>
        <v xml:space="preserve"> </v>
      </c>
      <c r="BC28" s="412" t="str">
        <f t="shared" si="56"/>
        <v xml:space="preserve"> </v>
      </c>
      <c r="BD28" s="413" t="str">
        <f t="shared" si="57"/>
        <v xml:space="preserve"> </v>
      </c>
      <c r="BE28" s="413" t="str">
        <f t="shared" si="58"/>
        <v xml:space="preserve"> </v>
      </c>
      <c r="BF28" s="413" t="str">
        <f t="shared" si="59"/>
        <v xml:space="preserve"> </v>
      </c>
      <c r="BG28" s="413" t="str">
        <f t="shared" si="7"/>
        <v xml:space="preserve"> </v>
      </c>
      <c r="BH28" s="413" t="str">
        <f t="shared" si="8"/>
        <v xml:space="preserve"> </v>
      </c>
      <c r="BI28" s="413" t="str">
        <f t="shared" si="9"/>
        <v xml:space="preserve"> </v>
      </c>
      <c r="BJ28" s="413" t="str">
        <f t="shared" si="10"/>
        <v xml:space="preserve"> </v>
      </c>
      <c r="BK28" s="413" t="str">
        <f t="shared" si="11"/>
        <v xml:space="preserve"> </v>
      </c>
      <c r="BL28" s="413" t="str">
        <f t="shared" si="12"/>
        <v xml:space="preserve"> </v>
      </c>
      <c r="BM28" s="413" t="str">
        <f t="shared" si="13"/>
        <v xml:space="preserve"> </v>
      </c>
      <c r="BN28" s="413" t="str">
        <f t="shared" si="14"/>
        <v xml:space="preserve"> </v>
      </c>
      <c r="BO28" s="413" t="str">
        <f t="shared" si="15"/>
        <v xml:space="preserve"> </v>
      </c>
      <c r="BP28" s="413" t="str">
        <f t="shared" si="16"/>
        <v xml:space="preserve"> </v>
      </c>
      <c r="BQ28" s="413" t="str">
        <f t="shared" si="60"/>
        <v xml:space="preserve"> </v>
      </c>
      <c r="BR28" s="413" t="str">
        <f t="shared" si="61"/>
        <v>NOW</v>
      </c>
      <c r="BS28" s="413" t="str">
        <f>IF(Table7[[#This Row],[NOW vs PICK1]]="PICK1",Table7[[#This Row],[PICK 1]],Table7[[#This Row],[Now Count]])</f>
        <v xml:space="preserve"> </v>
      </c>
      <c r="BT28" s="413" t="str">
        <f>IFERROR(VLOOKUP($B28,'Raw Data'!$A$3:$W$30,'SPORTSBET FIXED ODDS FOR PARLAY'!$I$2,FALSE)," ")</f>
        <v xml:space="preserve"> </v>
      </c>
      <c r="BU28" s="413" t="str">
        <f t="shared" si="17"/>
        <v xml:space="preserve"> </v>
      </c>
      <c r="BV28" s="413" t="str">
        <f t="shared" si="62"/>
        <v xml:space="preserve"> </v>
      </c>
      <c r="BW28" s="413" t="str">
        <f t="shared" si="18"/>
        <v xml:space="preserve"> </v>
      </c>
      <c r="BX28" s="413" t="str">
        <f t="shared" si="19"/>
        <v xml:space="preserve"> </v>
      </c>
      <c r="BY28" s="413" t="str">
        <f>IF(C28=" "," ",IF(AND(BV28&gt;=$BV$34),1,IF(AND($K$4="TT",$BN$38="NARROW",Table7[[#This Row],[J7-K7 Count]]=1),1," ")))</f>
        <v xml:space="preserve"> </v>
      </c>
      <c r="BZ28"/>
      <c r="CA28"/>
      <c r="CB28"/>
      <c r="CC28"/>
      <c r="CD28"/>
      <c r="CE28"/>
      <c r="CF28"/>
      <c r="CG28"/>
      <c r="CH28"/>
    </row>
    <row r="29" spans="1:86" ht="18.899999999999999" customHeight="1" x14ac:dyDescent="0.3">
      <c r="A29" s="208" t="str">
        <f t="shared" si="20"/>
        <v xml:space="preserve"> </v>
      </c>
      <c r="B29" s="109">
        <v>23</v>
      </c>
      <c r="C29" s="111" t="str">
        <f>IFERROR(VLOOKUP(B29,'Raw Data'!$A$3:$EA$30,2,0)," ")</f>
        <v xml:space="preserve"> </v>
      </c>
      <c r="D29" s="200" t="str">
        <f>IF(C29=" "," ",VLOOKUP(B29,LastStart!$A$3:$AI$28,$AU$5,FALSE))</f>
        <v xml:space="preserve"> </v>
      </c>
      <c r="E29" s="111" t="str">
        <f t="shared" si="21"/>
        <v xml:space="preserve"> </v>
      </c>
      <c r="F29" s="111" t="str">
        <f t="shared" si="22"/>
        <v xml:space="preserve"> </v>
      </c>
      <c r="G29" s="112" t="str">
        <f t="shared" si="23"/>
        <v xml:space="preserve"> </v>
      </c>
      <c r="H29" s="113" t="str">
        <f t="shared" si="24"/>
        <v xml:space="preserve"> </v>
      </c>
      <c r="I29" s="113" t="str">
        <f>IF(C29=" "," ",VLOOKUP(B29,LastStart!$A$3:$AN$28,40,FALSE))</f>
        <v xml:space="preserve"> </v>
      </c>
      <c r="J29" s="166" t="str">
        <f t="shared" si="25"/>
        <v/>
      </c>
      <c r="K29" s="113" t="str">
        <f t="shared" si="26"/>
        <v xml:space="preserve"> </v>
      </c>
      <c r="L29" s="338" t="str">
        <f xml:space="preserve">
IF($A29=" "," ",
IF(AND($A29="YES",VLOOKUP($B29,'Raw Data'!$A$3:$W$30,'SPORTSBET FIXED ODDS FOR PARLAY'!$I$2,FALSE)&gt;0),VLOOKUP($B29,'Raw Data'!$A$3:$W$30,'SPORTSBET FIXED ODDS FOR PARLAY'!$I$2,FALSE),
" "))</f>
        <v xml:space="preserve"> </v>
      </c>
      <c r="M29" s="124" t="str">
        <f t="shared" si="27"/>
        <v xml:space="preserve"> </v>
      </c>
      <c r="N29" s="114">
        <f t="shared" si="5"/>
        <v>0</v>
      </c>
      <c r="O29" s="115">
        <f t="shared" si="28"/>
        <v>0</v>
      </c>
      <c r="P29" s="114">
        <f t="shared" si="66"/>
        <v>0</v>
      </c>
      <c r="Q29" s="116" t="str">
        <f t="shared" si="30"/>
        <v xml:space="preserve"> </v>
      </c>
      <c r="R29" s="116">
        <f t="shared" si="31"/>
        <v>0</v>
      </c>
      <c r="S29" s="117" t="str">
        <f t="shared" si="67"/>
        <v xml:space="preserve"> </v>
      </c>
      <c r="T29" s="82"/>
      <c r="U29" s="118" t="str">
        <f t="shared" si="33"/>
        <v xml:space="preserve"> </v>
      </c>
      <c r="V29" s="119" t="str">
        <f t="shared" si="64"/>
        <v xml:space="preserve"> </v>
      </c>
      <c r="W29" s="119" t="str">
        <f t="shared" si="65"/>
        <v xml:space="preserve"> </v>
      </c>
      <c r="X29" s="120" t="str">
        <f t="shared" si="63"/>
        <v xml:space="preserve"> </v>
      </c>
      <c r="Y29" s="152" t="str">
        <f>IF(D29=" "," ",IFERROR(VLOOKUP($B29,'Raw Data'!$A$3:$X$32,$I$2,0)," "))</f>
        <v xml:space="preserve"> </v>
      </c>
      <c r="Z29" s="233" t="str">
        <f>VLOOKUP(B29,'S31.ODDS'!$B$7:$Y$30,24,0)</f>
        <v xml:space="preserve"> </v>
      </c>
      <c r="AA29" s="119" t="str">
        <f>VLOOKUP(B29,'A1. PICKS'!$B$7:$Y$30,24,0)</f>
        <v xml:space="preserve"> </v>
      </c>
      <c r="AB29" s="174" t="str">
        <f>IF(ISERROR(VLOOKUP(B29,'Dashboard '!$A$3:$AF$26,32,FALSE))," ",VLOOKUP(B29,'Dashboard '!$A$3:$AF$26,32,FALSE))</f>
        <v xml:space="preserve"> </v>
      </c>
      <c r="AC29" s="343" t="str">
        <f>IFERROR(VLOOKUP(B29,Results!$A$3:$DY$29,129,FALSE)," ")</f>
        <v xml:space="preserve"> </v>
      </c>
      <c r="AD29" s="343" t="str">
        <f>IFERROR(VLOOKUP($B29,'cluster'!$A$20:$CI$45,87,0)," ")</f>
        <v xml:space="preserve"> </v>
      </c>
      <c r="AE29" s="343" t="str">
        <f t="shared" si="36"/>
        <v xml:space="preserve"> </v>
      </c>
      <c r="AF29" s="343" t="str">
        <f t="shared" si="37"/>
        <v/>
      </c>
      <c r="AG29" s="367" t="str">
        <f>IF(ISERROR(VLOOKUP(B29,'Raw Data'!$A$3:$EA$29,131,FALSE))," ",VLOOKUP(B29,'Raw Data'!$A$3:$EA$29,131,FALSE))</f>
        <v xml:space="preserve"> </v>
      </c>
      <c r="AH29" s="343" t="str">
        <f t="shared" si="38"/>
        <v xml:space="preserve"> </v>
      </c>
      <c r="AI29" s="343" t="str">
        <f t="shared" si="39"/>
        <v/>
      </c>
      <c r="AJ29" s="343" t="str">
        <f>IF($C29=" "," ",IF(VLOOKUP($B29,'Raw Data'!$A$3:$EI$31,139,FALSE)=" "," ",IF(VLOOKUP($B29,'Raw Data'!$A$3:$EI$31,139,FALSE)&gt;0,VLOOKUP($B29,'Raw Data'!$A$3:$EI$31,139,FALSE)," ")))</f>
        <v xml:space="preserve"> </v>
      </c>
      <c r="AK29" s="393" t="str">
        <f t="shared" si="40"/>
        <v xml:space="preserve"> </v>
      </c>
      <c r="AL29" s="393" t="str">
        <f t="shared" si="41"/>
        <v xml:space="preserve"> </v>
      </c>
      <c r="AM29" s="393" t="str">
        <f>IF(C29=" "," ",IF(AND(VLOOKUP($B29,'cluster'!$A$20:$DN$45,118,0)="NOW"),$B29," "))</f>
        <v xml:space="preserve"> </v>
      </c>
      <c r="AN29" s="343" t="str">
        <f t="shared" si="42"/>
        <v/>
      </c>
      <c r="AO29" s="393" t="str">
        <f t="shared" si="43"/>
        <v xml:space="preserve"> </v>
      </c>
      <c r="AP29" s="393" t="str">
        <f t="shared" si="44"/>
        <v xml:space="preserve"> </v>
      </c>
      <c r="AQ29" s="343" t="str">
        <f t="shared" si="45"/>
        <v xml:space="preserve"> </v>
      </c>
      <c r="AR29" s="360" t="str">
        <f t="shared" si="46"/>
        <v xml:space="preserve"> </v>
      </c>
      <c r="AS29" s="343" t="str">
        <f t="shared" si="47"/>
        <v xml:space="preserve"> </v>
      </c>
      <c r="AT29" s="343" t="str">
        <f t="shared" si="48"/>
        <v xml:space="preserve"> </v>
      </c>
      <c r="AU29" s="360" t="str">
        <f>IF(C29=" "," ",VLOOKUP(B29,LastStart!$A$3:$AI$28,$AU$5,FALSE))</f>
        <v xml:space="preserve"> </v>
      </c>
      <c r="AV29" s="343" t="str">
        <f t="shared" si="49"/>
        <v xml:space="preserve"> </v>
      </c>
      <c r="AW29" s="360" t="str">
        <f t="shared" si="50"/>
        <v xml:space="preserve"> </v>
      </c>
      <c r="AX29" s="343" t="str">
        <f t="shared" si="51"/>
        <v xml:space="preserve"> </v>
      </c>
      <c r="AY29" s="343" t="str">
        <f t="shared" si="52"/>
        <v xml:space="preserve"> </v>
      </c>
      <c r="AZ29" s="343" t="str">
        <f t="shared" si="53"/>
        <v xml:space="preserve"> </v>
      </c>
      <c r="BA29" s="360" t="str">
        <f t="shared" si="54"/>
        <v xml:space="preserve"> </v>
      </c>
      <c r="BB29" s="360" t="str">
        <f t="shared" si="55"/>
        <v xml:space="preserve"> </v>
      </c>
      <c r="BC29" s="412" t="str">
        <f t="shared" si="56"/>
        <v xml:space="preserve"> </v>
      </c>
      <c r="BD29" s="413" t="str">
        <f t="shared" si="57"/>
        <v xml:space="preserve"> </v>
      </c>
      <c r="BE29" s="413" t="str">
        <f t="shared" si="58"/>
        <v xml:space="preserve"> </v>
      </c>
      <c r="BF29" s="413" t="str">
        <f t="shared" si="59"/>
        <v xml:space="preserve"> </v>
      </c>
      <c r="BG29" s="413" t="str">
        <f t="shared" si="7"/>
        <v xml:space="preserve"> </v>
      </c>
      <c r="BH29" s="413" t="str">
        <f t="shared" si="8"/>
        <v xml:space="preserve"> </v>
      </c>
      <c r="BI29" s="413" t="str">
        <f t="shared" si="9"/>
        <v xml:space="preserve"> </v>
      </c>
      <c r="BJ29" s="413" t="str">
        <f t="shared" si="10"/>
        <v xml:space="preserve"> </v>
      </c>
      <c r="BK29" s="413" t="str">
        <f t="shared" si="11"/>
        <v xml:space="preserve"> </v>
      </c>
      <c r="BL29" s="413" t="str">
        <f t="shared" si="12"/>
        <v xml:space="preserve"> </v>
      </c>
      <c r="BM29" s="413" t="str">
        <f t="shared" si="13"/>
        <v xml:space="preserve"> </v>
      </c>
      <c r="BN29" s="413" t="str">
        <f t="shared" si="14"/>
        <v xml:space="preserve"> </v>
      </c>
      <c r="BO29" s="413" t="str">
        <f t="shared" si="15"/>
        <v xml:space="preserve"> </v>
      </c>
      <c r="BP29" s="413" t="str">
        <f t="shared" si="16"/>
        <v xml:space="preserve"> </v>
      </c>
      <c r="BQ29" s="413" t="str">
        <f t="shared" si="60"/>
        <v xml:space="preserve"> </v>
      </c>
      <c r="BR29" s="413" t="str">
        <f t="shared" si="61"/>
        <v>NOW</v>
      </c>
      <c r="BS29" s="413" t="str">
        <f>IF(Table7[[#This Row],[NOW vs PICK1]]="PICK1",Table7[[#This Row],[PICK 1]],Table7[[#This Row],[Now Count]])</f>
        <v xml:space="preserve"> </v>
      </c>
      <c r="BT29" s="413" t="str">
        <f>IFERROR(VLOOKUP($B29,'Raw Data'!$A$3:$W$30,'SPORTSBET FIXED ODDS FOR PARLAY'!$I$2,FALSE)," ")</f>
        <v xml:space="preserve"> </v>
      </c>
      <c r="BU29" s="413" t="str">
        <f t="shared" si="17"/>
        <v xml:space="preserve"> </v>
      </c>
      <c r="BV29" s="413" t="str">
        <f t="shared" si="62"/>
        <v xml:space="preserve"> </v>
      </c>
      <c r="BW29" s="413" t="str">
        <f t="shared" si="18"/>
        <v xml:space="preserve"> </v>
      </c>
      <c r="BX29" s="413" t="str">
        <f t="shared" si="19"/>
        <v xml:space="preserve"> </v>
      </c>
      <c r="BY29" s="413" t="str">
        <f>IF(C29=" "," ",IF(AND(BV29&gt;=$BV$34),1,IF(AND($K$4="TT",$BN$38="NARROW",Table7[[#This Row],[J7-K7 Count]]=1),1," ")))</f>
        <v xml:space="preserve"> </v>
      </c>
      <c r="BZ29"/>
      <c r="CA29"/>
      <c r="CB29"/>
      <c r="CC29"/>
      <c r="CD29"/>
      <c r="CE29"/>
      <c r="CF29"/>
      <c r="CG29"/>
      <c r="CH29"/>
    </row>
    <row r="30" spans="1:86" ht="18.899999999999999" customHeight="1" x14ac:dyDescent="0.3">
      <c r="A30" s="208" t="str">
        <f t="shared" si="20"/>
        <v xml:space="preserve"> </v>
      </c>
      <c r="B30" s="109">
        <v>24</v>
      </c>
      <c r="C30" s="111" t="str">
        <f>IFERROR(VLOOKUP(B30,'Raw Data'!$A$3:$EA$30,2,0)," ")</f>
        <v xml:space="preserve"> </v>
      </c>
      <c r="D30" s="200" t="str">
        <f>IF(C30=" "," ",VLOOKUP(B30,LastStart!$A$3:$AI$28,$AU$5,FALSE))</f>
        <v xml:space="preserve"> </v>
      </c>
      <c r="E30" s="111" t="str">
        <f t="shared" si="21"/>
        <v xml:space="preserve"> </v>
      </c>
      <c r="F30" s="111" t="str">
        <f t="shared" si="22"/>
        <v xml:space="preserve"> </v>
      </c>
      <c r="G30" s="112" t="str">
        <f t="shared" si="23"/>
        <v xml:space="preserve"> </v>
      </c>
      <c r="H30" s="113" t="str">
        <f t="shared" si="24"/>
        <v xml:space="preserve"> </v>
      </c>
      <c r="I30" s="113" t="str">
        <f>IF(C30=" "," ",VLOOKUP(B30,LastStart!$A$3:$AN$28,40,FALSE))</f>
        <v xml:space="preserve"> </v>
      </c>
      <c r="J30" s="166" t="str">
        <f t="shared" si="25"/>
        <v/>
      </c>
      <c r="K30" s="113" t="str">
        <f t="shared" si="26"/>
        <v xml:space="preserve"> </v>
      </c>
      <c r="L30" s="338" t="str">
        <f xml:space="preserve">
IF($A30=" "," ",
IF(AND($A30="YES",VLOOKUP($B30,'Raw Data'!$A$3:$W$30,'SPORTSBET FIXED ODDS FOR PARLAY'!$I$2,FALSE)&gt;0),VLOOKUP($B30,'Raw Data'!$A$3:$W$30,'SPORTSBET FIXED ODDS FOR PARLAY'!$I$2,FALSE),
" "))</f>
        <v xml:space="preserve"> </v>
      </c>
      <c r="M30" s="124" t="str">
        <f t="shared" si="27"/>
        <v xml:space="preserve"> </v>
      </c>
      <c r="N30" s="114">
        <f t="shared" si="5"/>
        <v>0</v>
      </c>
      <c r="O30" s="115">
        <f t="shared" si="28"/>
        <v>0</v>
      </c>
      <c r="P30" s="114">
        <f t="shared" si="66"/>
        <v>0</v>
      </c>
      <c r="Q30" s="116" t="str">
        <f t="shared" si="30"/>
        <v xml:space="preserve"> </v>
      </c>
      <c r="R30" s="116">
        <f t="shared" si="31"/>
        <v>0</v>
      </c>
      <c r="S30" s="117" t="str">
        <f t="shared" si="67"/>
        <v xml:space="preserve"> </v>
      </c>
      <c r="T30" s="82"/>
      <c r="U30" s="118" t="str">
        <f t="shared" si="33"/>
        <v xml:space="preserve"> </v>
      </c>
      <c r="V30" s="119" t="str">
        <f t="shared" si="64"/>
        <v xml:space="preserve"> </v>
      </c>
      <c r="W30" s="119" t="str">
        <f t="shared" si="65"/>
        <v xml:space="preserve"> </v>
      </c>
      <c r="X30" s="120" t="str">
        <f t="shared" si="63"/>
        <v xml:space="preserve"> </v>
      </c>
      <c r="Y30" s="152" t="str">
        <f>IF(D30=" "," ",IFERROR(VLOOKUP($B30,'Raw Data'!$A$3:$X$32,$I$2,0)," "))</f>
        <v xml:space="preserve"> </v>
      </c>
      <c r="Z30" s="233" t="str">
        <f>VLOOKUP(B30,'S31.ODDS'!$B$7:$Y$30,24,0)</f>
        <v xml:space="preserve"> </v>
      </c>
      <c r="AA30" s="119" t="str">
        <f>VLOOKUP(B30,'A1. PICKS'!$B$7:$Y$30,24,0)</f>
        <v xml:space="preserve"> </v>
      </c>
      <c r="AB30" s="174" t="str">
        <f>IF(ISERROR(VLOOKUP(B30,'Dashboard '!$A$3:$AF$26,32,FALSE))," ",VLOOKUP(B30,'Dashboard '!$A$3:$AF$26,32,FALSE))</f>
        <v xml:space="preserve"> </v>
      </c>
      <c r="AC30" s="343" t="str">
        <f>IFERROR(VLOOKUP(B30,Results!$A$3:$DY$29,129,FALSE)," ")</f>
        <v xml:space="preserve"> </v>
      </c>
      <c r="AD30" s="343" t="str">
        <f>IFERROR(VLOOKUP($B30,'cluster'!$A$20:$CI$45,87,0)," ")</f>
        <v xml:space="preserve"> </v>
      </c>
      <c r="AE30" s="343" t="str">
        <f t="shared" si="36"/>
        <v xml:space="preserve"> </v>
      </c>
      <c r="AF30" s="343" t="str">
        <f t="shared" si="37"/>
        <v/>
      </c>
      <c r="AG30" s="367" t="str">
        <f>IF(ISERROR(VLOOKUP(B30,'Raw Data'!$A$3:$EA$29,131,FALSE))," ",VLOOKUP(B30,'Raw Data'!$A$3:$EA$29,131,FALSE))</f>
        <v xml:space="preserve"> </v>
      </c>
      <c r="AH30" s="343" t="str">
        <f t="shared" si="38"/>
        <v xml:space="preserve"> </v>
      </c>
      <c r="AI30" s="343" t="str">
        <f t="shared" si="39"/>
        <v/>
      </c>
      <c r="AJ30" s="343" t="str">
        <f>IF($C30=" "," ",IF(VLOOKUP($B30,'Raw Data'!$A$3:$EI$31,139,FALSE)=" "," ",IF(VLOOKUP($B30,'Raw Data'!$A$3:$EI$31,139,FALSE)&gt;0,VLOOKUP($B30,'Raw Data'!$A$3:$EI$31,139,FALSE)," ")))</f>
        <v xml:space="preserve"> </v>
      </c>
      <c r="AK30" s="393" t="str">
        <f t="shared" si="40"/>
        <v xml:space="preserve"> </v>
      </c>
      <c r="AL30" s="393" t="str">
        <f t="shared" si="41"/>
        <v xml:space="preserve"> </v>
      </c>
      <c r="AM30" s="393" t="str">
        <f>IF(C30=" "," ",IF(AND(VLOOKUP($B30,'cluster'!$A$20:$DN$45,118,0)="NOW"),$B30," "))</f>
        <v xml:space="preserve"> </v>
      </c>
      <c r="AN30" s="343" t="str">
        <f t="shared" si="42"/>
        <v/>
      </c>
      <c r="AO30" s="393" t="str">
        <f t="shared" si="43"/>
        <v xml:space="preserve"> </v>
      </c>
      <c r="AP30" s="393" t="str">
        <f t="shared" si="44"/>
        <v xml:space="preserve"> </v>
      </c>
      <c r="AQ30" s="343" t="str">
        <f t="shared" si="45"/>
        <v xml:space="preserve"> </v>
      </c>
      <c r="AR30" s="360" t="str">
        <f t="shared" si="46"/>
        <v xml:space="preserve"> </v>
      </c>
      <c r="AS30" s="343" t="str">
        <f t="shared" si="47"/>
        <v xml:space="preserve"> </v>
      </c>
      <c r="AT30" s="343" t="str">
        <f t="shared" si="48"/>
        <v xml:space="preserve"> </v>
      </c>
      <c r="AU30" s="360" t="str">
        <f>IF(C30=" "," ",VLOOKUP(B30,LastStart!$A$3:$AI$28,$AU$5,FALSE))</f>
        <v xml:space="preserve"> </v>
      </c>
      <c r="AV30" s="343" t="str">
        <f t="shared" si="49"/>
        <v xml:space="preserve"> </v>
      </c>
      <c r="AW30" s="360" t="str">
        <f t="shared" si="50"/>
        <v xml:space="preserve"> </v>
      </c>
      <c r="AX30" s="343" t="str">
        <f t="shared" si="51"/>
        <v xml:space="preserve"> </v>
      </c>
      <c r="AY30" s="343" t="str">
        <f t="shared" si="52"/>
        <v xml:space="preserve"> </v>
      </c>
      <c r="AZ30" s="343" t="str">
        <f t="shared" si="53"/>
        <v xml:space="preserve"> </v>
      </c>
      <c r="BA30" s="360" t="str">
        <f t="shared" si="54"/>
        <v xml:space="preserve"> </v>
      </c>
      <c r="BB30" s="360" t="str">
        <f t="shared" si="55"/>
        <v xml:space="preserve"> </v>
      </c>
      <c r="BC30" s="412" t="str">
        <f t="shared" si="56"/>
        <v xml:space="preserve"> </v>
      </c>
      <c r="BD30" s="413" t="str">
        <f t="shared" si="57"/>
        <v xml:space="preserve"> </v>
      </c>
      <c r="BE30" s="413" t="str">
        <f t="shared" si="58"/>
        <v xml:space="preserve"> </v>
      </c>
      <c r="BF30" s="413" t="str">
        <f t="shared" si="59"/>
        <v xml:space="preserve"> </v>
      </c>
      <c r="BG30" s="413" t="str">
        <f t="shared" si="7"/>
        <v xml:space="preserve"> </v>
      </c>
      <c r="BH30" s="413" t="str">
        <f t="shared" si="8"/>
        <v xml:space="preserve"> </v>
      </c>
      <c r="BI30" s="413" t="str">
        <f t="shared" si="9"/>
        <v xml:space="preserve"> </v>
      </c>
      <c r="BJ30" s="413" t="str">
        <f t="shared" si="10"/>
        <v xml:space="preserve"> </v>
      </c>
      <c r="BK30" s="413" t="str">
        <f t="shared" si="11"/>
        <v xml:space="preserve"> </v>
      </c>
      <c r="BL30" s="413" t="str">
        <f t="shared" si="12"/>
        <v xml:space="preserve"> </v>
      </c>
      <c r="BM30" s="413" t="str">
        <f t="shared" si="13"/>
        <v xml:space="preserve"> </v>
      </c>
      <c r="BN30" s="413" t="str">
        <f t="shared" si="14"/>
        <v xml:space="preserve"> </v>
      </c>
      <c r="BO30" s="413" t="str">
        <f t="shared" si="15"/>
        <v xml:space="preserve"> </v>
      </c>
      <c r="BP30" s="413" t="str">
        <f t="shared" si="16"/>
        <v xml:space="preserve"> </v>
      </c>
      <c r="BQ30" s="413" t="str">
        <f t="shared" si="60"/>
        <v xml:space="preserve"> </v>
      </c>
      <c r="BR30" s="413" t="str">
        <f t="shared" si="61"/>
        <v>NOW</v>
      </c>
      <c r="BS30" s="413" t="str">
        <f>IF(Table7[[#This Row],[NOW vs PICK1]]="PICK1",Table7[[#This Row],[PICK 1]],Table7[[#This Row],[Now Count]])</f>
        <v xml:space="preserve"> </v>
      </c>
      <c r="BT30" s="413" t="str">
        <f>IFERROR(VLOOKUP($B30,'Raw Data'!$A$3:$W$30,'SPORTSBET FIXED ODDS FOR PARLAY'!$I$2,FALSE)," ")</f>
        <v xml:space="preserve"> </v>
      </c>
      <c r="BU30" s="413" t="str">
        <f t="shared" si="17"/>
        <v xml:space="preserve"> </v>
      </c>
      <c r="BV30" s="413" t="str">
        <f t="shared" si="62"/>
        <v xml:space="preserve"> </v>
      </c>
      <c r="BW30" s="413" t="str">
        <f t="shared" si="18"/>
        <v xml:space="preserve"> </v>
      </c>
      <c r="BX30" s="413" t="str">
        <f t="shared" si="19"/>
        <v xml:space="preserve"> </v>
      </c>
      <c r="BY30" s="413" t="str">
        <f>IF(C30=" "," ",IF(AND(BV30&gt;=$BV$34),1,IF(AND($K$4="TT",$BN$38="NARROW",Table7[[#This Row],[J7-K7 Count]]=1),1," ")))</f>
        <v xml:space="preserve"> </v>
      </c>
      <c r="BZ30"/>
      <c r="CA30"/>
      <c r="CB30"/>
      <c r="CC30"/>
      <c r="CD30"/>
      <c r="CE30"/>
      <c r="CF30"/>
      <c r="CG30"/>
      <c r="CH30"/>
    </row>
    <row r="31" spans="1:86" ht="24.9" customHeight="1" x14ac:dyDescent="0.3">
      <c r="A31" s="175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 t="s">
        <v>26</v>
      </c>
      <c r="AA31" s="175"/>
      <c r="AB31" s="175"/>
      <c r="AC31" s="175"/>
      <c r="AT31" s="322" t="s">
        <v>720</v>
      </c>
      <c r="AU31" s="175" t="s">
        <v>468</v>
      </c>
      <c r="AW31"/>
      <c r="BD31" t="str">
        <f t="shared" ref="BD31:BD44" si="68">IF($K31=1,$B31," ")</f>
        <v xml:space="preserve"> </v>
      </c>
      <c r="BE31" s="175" t="s">
        <v>815</v>
      </c>
      <c r="BF31" s="175" t="s">
        <v>816</v>
      </c>
      <c r="BG31" s="175" t="s">
        <v>817</v>
      </c>
      <c r="BH31" s="175" t="s">
        <v>818</v>
      </c>
    </row>
    <row r="32" spans="1:86" ht="24.9" customHeight="1" x14ac:dyDescent="0.3">
      <c r="A32" s="121"/>
      <c r="B32" s="128"/>
      <c r="C32" s="128" t="s">
        <v>229</v>
      </c>
      <c r="D32" s="111">
        <f>COUNT(L7:L30)</f>
        <v>3</v>
      </c>
      <c r="E32" s="123"/>
      <c r="F32" s="123"/>
      <c r="G32" s="123"/>
      <c r="H32" s="180">
        <f>COUNT(H7:H30)</f>
        <v>8</v>
      </c>
      <c r="I32" s="180">
        <f>COUNT(I7:I30)</f>
        <v>8</v>
      </c>
      <c r="J32" s="180">
        <f>COUNT(J7:J30)</f>
        <v>8</v>
      </c>
      <c r="K32" s="180">
        <f>COUNT(K7:K30)</f>
        <v>8</v>
      </c>
      <c r="L32" s="124"/>
      <c r="M32" s="124"/>
      <c r="N32" s="175"/>
      <c r="O32" s="175"/>
      <c r="P32" s="175"/>
      <c r="Q32" s="175"/>
      <c r="R32" s="175"/>
      <c r="S32" s="175"/>
      <c r="T32" s="82"/>
      <c r="U32" s="150" t="s">
        <v>179</v>
      </c>
      <c r="V32" s="181">
        <f>$D$32</f>
        <v>3</v>
      </c>
      <c r="W32" s="150" t="s">
        <v>148</v>
      </c>
      <c r="X32" s="181">
        <f>IF($K$1&gt;0.19,$D$32,$D$4)</f>
        <v>3</v>
      </c>
      <c r="Y32" s="181">
        <f>X32-V32</f>
        <v>0</v>
      </c>
      <c r="Z32" s="185">
        <f>RANK(Y32,$Y$32:$Y$36,0)</f>
        <v>5</v>
      </c>
      <c r="AA32" s="172">
        <f t="shared" ref="AA32:AA35" si="69">IF(V32=0," ",ROUNDDOWN((Y32/V32),2))</f>
        <v>0</v>
      </c>
      <c r="AC32" s="128" t="s">
        <v>224</v>
      </c>
      <c r="AD32" s="357">
        <f>ROUND(KURT(AD$7:AD$30),0)</f>
        <v>-1</v>
      </c>
      <c r="AE32" s="357">
        <f>ROUND(KURT(AU$7:AU$30),0)</f>
        <v>-1</v>
      </c>
      <c r="AF32" s="210"/>
      <c r="AG32" s="321"/>
      <c r="AH32" s="210"/>
      <c r="AI32" s="128" t="s">
        <v>224</v>
      </c>
      <c r="AJ32" s="357">
        <f>ROUND(KURT(AJ$7:AJ$30),0)</f>
        <v>-2</v>
      </c>
      <c r="AK32" s="128" t="s">
        <v>224</v>
      </c>
      <c r="AL32" s="357">
        <f>ROUND(KURT(AG$7:AG$30),0)</f>
        <v>-1</v>
      </c>
      <c r="AO32" s="128" t="s">
        <v>761</v>
      </c>
      <c r="AP32" s="111">
        <f>LARGE($AP$7:$AP$30,2)</f>
        <v>3</v>
      </c>
      <c r="AQ32" s="111">
        <f>IFERROR(KURT($AQ$7:$AQ$30),0.1)</f>
        <v>-1.6989252077562331</v>
      </c>
      <c r="AS32" s="128" t="s">
        <v>224</v>
      </c>
      <c r="AT32" s="385">
        <f>KURT(AS$7:AS$30)</f>
        <v>-0.56607351569230335</v>
      </c>
      <c r="AU32" s="385">
        <f>KURT(AU$7:AU$30)</f>
        <v>-1.3056957236057243</v>
      </c>
      <c r="AW32"/>
      <c r="AZ32" s="128" t="s">
        <v>761</v>
      </c>
      <c r="BA32" s="111">
        <f>LARGE($AP$7:$AP$30,2)</f>
        <v>3</v>
      </c>
      <c r="BB32" s="111">
        <f>LARGE($AP$7:$AP$30,2)</f>
        <v>3</v>
      </c>
      <c r="BC32" s="373" t="str">
        <f>BE7&amp;","
&amp;BE8&amp;","
&amp;BE9&amp;","
&amp;BE10&amp;","
&amp;BE11&amp;","
&amp;BE12&amp;","
&amp;BE13&amp;","
&amp;BE14&amp;","
&amp;BE15&amp;","
&amp;BE16&amp;","
&amp;BE18&amp;","
&amp;BE17&amp;","
&amp;BE19&amp;","
&amp;BE20&amp;","
&amp;BE21&amp;","
&amp;BE22&amp;","
&amp;BE23&amp;","
&amp;BE24&amp;","
&amp;BE25&amp;","
&amp;BE26&amp;","
&amp;BE27&amp;","
&amp;BE28&amp;","
&amp;BE29&amp;","
&amp;BE30&amp;","
&amp;"Dups"&amp;" "&amp;$BC$36&amp;"n"&amp;$BC$37</f>
        <v>C  1J1, ,NC  2K2,times3, , ,C  5J1, , , , , , , , , , , , , , , , , , , , ,Dups 6n2</v>
      </c>
      <c r="BD32" t="str">
        <f t="shared" si="68"/>
        <v xml:space="preserve"> </v>
      </c>
      <c r="BE32" s="373" t="s">
        <v>814</v>
      </c>
      <c r="BF32" s="373" t="s">
        <v>813</v>
      </c>
      <c r="BG32" s="373" t="s">
        <v>812</v>
      </c>
      <c r="BH32" s="373" t="s">
        <v>810</v>
      </c>
      <c r="BI32" s="373" t="str">
        <f>BG7&amp;","
&amp;BG8&amp;","
&amp;BG9&amp;","
&amp;BG10&amp;","
&amp;BG11&amp;","
&amp;BG12&amp;","
&amp;BG13&amp;","
&amp;BG14&amp;","
&amp;BG15&amp;","
&amp;BG16&amp;","
&amp;BG18&amp;","
&amp;BG17&amp;","
&amp;BG19&amp;","
&amp;BG20&amp;","
&amp;BG21&amp;","
&amp;BG22&amp;","
&amp;BG23&amp;","
&amp;BG24&amp;","
&amp;BG25&amp;","
&amp;BG26&amp;","
&amp;BG27&amp;","
&amp;BG28&amp;","
&amp;BG29&amp;","
&amp;BG30&amp;","
&amp;"Dups"&amp;" "&amp;$BI$34&amp;"n"</f>
        <v xml:space="preserve"> , , , ,now 5,now 6, , ,now 9, , , , , , , , , , , , , , , ,Dups 2.61520280557469n</v>
      </c>
      <c r="BJ32" s="373" t="s">
        <v>819</v>
      </c>
      <c r="BK32" s="395" t="s">
        <v>793</v>
      </c>
      <c r="BL32" s="373" t="s">
        <v>838</v>
      </c>
      <c r="BM32" s="373" t="s">
        <v>839</v>
      </c>
      <c r="BN32" s="373" t="s">
        <v>839</v>
      </c>
      <c r="BO32" s="373" t="s">
        <v>838</v>
      </c>
      <c r="BP32" s="373" t="s">
        <v>839</v>
      </c>
      <c r="BQ32" s="373" t="s">
        <v>839</v>
      </c>
      <c r="BU32" s="416">
        <v>2</v>
      </c>
      <c r="BV32" s="416">
        <f>QUARTILE($BV$7:$BV$30,BU32)*0.75</f>
        <v>0.421875</v>
      </c>
      <c r="BW32" s="416">
        <f>COUNTIF(BW$7:BW$30,"=1")</f>
        <v>5</v>
      </c>
      <c r="BX32" s="416">
        <f>COUNTIF(BX$7:BX$30,"=2")</f>
        <v>4</v>
      </c>
      <c r="BY32" s="416">
        <f t="shared" ref="BY32" si="70">COUNTIF(BY$7:BY$30,"=1")</f>
        <v>4</v>
      </c>
    </row>
    <row r="33" spans="1:74" ht="24.9" customHeight="1" x14ac:dyDescent="0.3">
      <c r="A33" s="121"/>
      <c r="B33" s="128" t="str">
        <f>IF($D$34&lt;$D$33,"MEAN"&amp;"&gt;positive","MEAN"&amp;"&lt; negative")</f>
        <v>MEAN&lt; negative</v>
      </c>
      <c r="C33" s="128" t="s">
        <v>230</v>
      </c>
      <c r="D33" s="111">
        <f>ROUND(AVERAGE(D7:D30),0)</f>
        <v>4</v>
      </c>
      <c r="E33" s="123"/>
      <c r="F33" s="123"/>
      <c r="G33" s="123"/>
      <c r="H33" s="192">
        <f>IF(ISERROR(ROUND(AVERAGE(H7:H30),0))," ",ROUND(AVERAGE(H7:H30),0))</f>
        <v>4</v>
      </c>
      <c r="I33" s="192">
        <f t="shared" ref="I33:K33" si="71">IF(ISERROR(ROUND(AVERAGE(I7:I30),0))," ",ROUND(AVERAGE(I7:I30),0))</f>
        <v>4</v>
      </c>
      <c r="J33" s="192">
        <f t="shared" si="71"/>
        <v>4</v>
      </c>
      <c r="K33" s="192">
        <f t="shared" si="71"/>
        <v>4</v>
      </c>
      <c r="L33" s="304"/>
      <c r="M33" s="305">
        <v>7</v>
      </c>
      <c r="N33" s="304">
        <v>8</v>
      </c>
      <c r="O33" s="175"/>
      <c r="P33" s="175"/>
      <c r="Q33" s="175"/>
      <c r="R33" s="175"/>
      <c r="S33" s="175"/>
      <c r="T33" s="82"/>
      <c r="U33" s="150" t="s">
        <v>243</v>
      </c>
      <c r="V33" s="181">
        <f>(($D32)*($D32-1))/2</f>
        <v>3</v>
      </c>
      <c r="W33" s="150" t="s">
        <v>5</v>
      </c>
      <c r="X33" s="181">
        <f>IF($K$1&gt;0.19,(($X$32*$X$32-1))/2,(($X$32)*($B4-1))/2)</f>
        <v>23.05</v>
      </c>
      <c r="Y33" s="181">
        <f t="shared" ref="Y33:Y36" si="72">X33-V33</f>
        <v>20.05</v>
      </c>
      <c r="Z33" s="185">
        <f t="shared" ref="Z33:Z36" si="73">RANK(Y33,$Y$32:$Y$36,0)</f>
        <v>4</v>
      </c>
      <c r="AA33" s="172">
        <f t="shared" si="69"/>
        <v>6.68</v>
      </c>
      <c r="AC33" s="128" t="s">
        <v>225</v>
      </c>
      <c r="AD33" s="357">
        <f>ROUND(SKEW(AD$7:AD$30),0)</f>
        <v>0</v>
      </c>
      <c r="AE33" s="357">
        <f>ROUND(SKEW(AU$7:AU$30),0)</f>
        <v>0</v>
      </c>
      <c r="AF33" s="210"/>
      <c r="AG33" s="321"/>
      <c r="AH33" s="210"/>
      <c r="AI33" s="128" t="s">
        <v>225</v>
      </c>
      <c r="AJ33" s="357">
        <f>ROUND(SKEW(AJ$7:AJ$30),0)</f>
        <v>0</v>
      </c>
      <c r="AK33" s="128" t="s">
        <v>225</v>
      </c>
      <c r="AL33" s="357">
        <f>ROUND(SKEW(AG$7:AG$30),0)</f>
        <v>0</v>
      </c>
      <c r="AO33" s="128" t="s">
        <v>760</v>
      </c>
      <c r="AP33" s="111">
        <f>SMALL($AP$7:$AP$30,4)</f>
        <v>2</v>
      </c>
      <c r="AQ33" s="111">
        <f>IFERROR(SKEW($AQ$7:$AQ$30),0.1)</f>
        <v>0.21820885463839659</v>
      </c>
      <c r="AR33" s="358" t="str">
        <f>IF(AND($AI$5&gt;0.8),"big",IF(AND($AQ$33&lt;0),"big","small"))</f>
        <v>big</v>
      </c>
      <c r="AS33" s="128" t="s">
        <v>225</v>
      </c>
      <c r="AT33" s="385">
        <f>SKEW(AS$7:AS$30)</f>
        <v>0.32486889029848476</v>
      </c>
      <c r="AU33" s="385">
        <f>SKEW(AU$7:AU$30)</f>
        <v>-9.8839615472912493E-2</v>
      </c>
      <c r="AW33"/>
      <c r="AZ33" s="128" t="s">
        <v>760</v>
      </c>
      <c r="BA33" s="111">
        <f>SMALL($AP$7:$AP$30,4)</f>
        <v>2</v>
      </c>
      <c r="BB33" s="111">
        <f>SMALL($AP$7:$AP$30,4)</f>
        <v>2</v>
      </c>
      <c r="BC33" s="373"/>
      <c r="BD33" t="str">
        <f t="shared" si="68"/>
        <v xml:space="preserve"> </v>
      </c>
      <c r="BE33" s="373">
        <f>COUNTIF($BI$7:$BI$30,"=1")</f>
        <v>0</v>
      </c>
      <c r="BF33" s="373">
        <f>COUNTIF($BF$7:$BF$30,"=times4")</f>
        <v>0</v>
      </c>
      <c r="BG33" s="373">
        <f>COUNTIF($BM$7:$BM$30,"=1")</f>
        <v>0</v>
      </c>
      <c r="BH33" s="373">
        <f>COUNTIF($BK$7:$BK$30,"=1")</f>
        <v>3</v>
      </c>
      <c r="BI33" s="373">
        <f>COUNTIF($BH$7:$BH$30,"=1")</f>
        <v>3</v>
      </c>
      <c r="BJ33" s="373">
        <f>COUNTIF($BQ$7:$BQ$30,"=1")</f>
        <v>3</v>
      </c>
      <c r="BK33" s="396">
        <v>0.66380123320248685</v>
      </c>
      <c r="BL33" s="373">
        <f>(COUNTIF($BL$7:$BL$30,"=2")/$C$5)</f>
        <v>0.75</v>
      </c>
      <c r="BM33" s="373">
        <f>(COUNTIF($BM$7:$BM$30,"=3")/$C$5)</f>
        <v>0.5</v>
      </c>
      <c r="BN33" s="373">
        <f>COUNTIF($BN$7:$BN$30,"=1")/$C$5</f>
        <v>0.5</v>
      </c>
      <c r="BO33" s="373">
        <f>(COUNTIF($BO$7:$BO$30,"=2")/$C$5)</f>
        <v>0.375</v>
      </c>
      <c r="BP33" s="373">
        <f>(COUNTIF($BP$7:$BP$30,"=3")/$C$5)</f>
        <v>0.625</v>
      </c>
      <c r="BQ33" s="373">
        <f>COUNTIF($BQ$7:$BQ$30,"=1")/$C$5</f>
        <v>0.375</v>
      </c>
      <c r="BU33" s="416">
        <v>2</v>
      </c>
      <c r="BV33" s="416">
        <f>QUARTILE($BV$7:$BV$30,BU33)</f>
        <v>0.5625</v>
      </c>
    </row>
    <row r="34" spans="1:74" ht="24.9" customHeight="1" x14ac:dyDescent="0.3">
      <c r="A34" s="121"/>
      <c r="B34" s="128" t="str">
        <f>IF($D$34&lt;$D$33,"MEAN"&amp;"&gt;positive","MEAN"&amp;"&lt; negative")</f>
        <v>MEAN&lt; negative</v>
      </c>
      <c r="C34" s="128" t="s">
        <v>222</v>
      </c>
      <c r="D34" s="111">
        <f>ROUND(MEDIAN(D7:D30),0)</f>
        <v>5</v>
      </c>
      <c r="E34" s="123"/>
      <c r="F34" s="123"/>
      <c r="G34" s="123"/>
      <c r="H34" s="147">
        <f>IF(ISERROR(ROUND(MEDIAN(H7:H30),0))," ",ROUND(MEDIAN(H7:H30),0))</f>
        <v>5</v>
      </c>
      <c r="I34" s="147">
        <f t="shared" ref="I34:J34" si="74">IF(ISERROR(ROUND(MEDIAN(I7:I30),0))," ",ROUND(MEDIAN(I7:I30),0))</f>
        <v>5</v>
      </c>
      <c r="J34" s="147">
        <f t="shared" si="74"/>
        <v>5</v>
      </c>
      <c r="K34" s="391">
        <f>IF(ISERROR(ROUND(MEDIAN(K7:K30),0))," ",ROUND(MEDIAN(K7:K30),0))</f>
        <v>5</v>
      </c>
      <c r="L34" s="124"/>
      <c r="M34" s="124"/>
      <c r="N34" s="175"/>
      <c r="O34" s="175"/>
      <c r="P34" s="175"/>
      <c r="Q34" s="175"/>
      <c r="R34" s="175"/>
      <c r="S34" s="175"/>
      <c r="T34" s="82"/>
      <c r="U34" s="181" t="s">
        <v>244</v>
      </c>
      <c r="V34" s="181">
        <f>V33*2</f>
        <v>6</v>
      </c>
      <c r="W34" s="181" t="s">
        <v>145</v>
      </c>
      <c r="X34" s="181">
        <f>X33*2</f>
        <v>46.1</v>
      </c>
      <c r="Y34" s="181">
        <f t="shared" si="72"/>
        <v>40.1</v>
      </c>
      <c r="Z34" s="185">
        <f t="shared" si="73"/>
        <v>3</v>
      </c>
      <c r="AA34" s="172">
        <f t="shared" si="69"/>
        <v>6.68</v>
      </c>
      <c r="AC34" s="128" t="s">
        <v>230</v>
      </c>
      <c r="AD34" s="357">
        <f>ROUND(AVERAGE($AD$7:$AD$30),0)</f>
        <v>5</v>
      </c>
      <c r="AE34" s="357">
        <f>ROUND(AVERAGE($AU$7:$AU$30),0)</f>
        <v>4</v>
      </c>
      <c r="AF34" s="210"/>
      <c r="AG34" s="321"/>
      <c r="AH34" s="210"/>
      <c r="AI34" s="128" t="s">
        <v>230</v>
      </c>
      <c r="AJ34" s="111">
        <f>ROUND(AVERAGE($AJ$7:$AJ$30),0)</f>
        <v>4</v>
      </c>
      <c r="AK34" s="128" t="s">
        <v>230</v>
      </c>
      <c r="AL34" s="357">
        <f>ROUND(AVERAGE($AG$7:$AG$30),0)</f>
        <v>5</v>
      </c>
      <c r="AO34" s="128" t="s">
        <v>759</v>
      </c>
      <c r="AP34" s="111">
        <f>MAX($AP$7:$AP$30,3)</f>
        <v>3</v>
      </c>
      <c r="AQ34" s="111">
        <f>ROUND(AVERAGE($AQ$7:$AQ$30),0)</f>
        <v>4</v>
      </c>
      <c r="AS34" s="128" t="s">
        <v>230</v>
      </c>
      <c r="AT34" s="111">
        <f>ROUND(AVERAGE($AT$7:$AT$30),0)</f>
        <v>4</v>
      </c>
      <c r="AU34" s="111">
        <f>ROUND(AVERAGE($AU$7:$AU$30),0)</f>
        <v>4</v>
      </c>
      <c r="AW34"/>
      <c r="AZ34" s="128" t="s">
        <v>759</v>
      </c>
      <c r="BA34" s="111">
        <f>MAX($AP$7:$AP$30,3)</f>
        <v>3</v>
      </c>
      <c r="BB34" s="111">
        <f>MAX($AP$7:$AP$30,3)</f>
        <v>3</v>
      </c>
      <c r="BC34" s="373" t="str">
        <f>INDEX($BD$7:$BD$30,MATCH(1,$K$7:$K$30,0))&amp;","&amp;INDEX($BD$7:$BD$30,MATCH(1,$J$7:$J$30,0))&amp;","</f>
        <v>3K1NC, ,1J1C, ,</v>
      </c>
      <c r="BD34" t="str">
        <f t="shared" si="68"/>
        <v xml:space="preserve"> </v>
      </c>
      <c r="BE34" s="373">
        <f>BE33/$C$5</f>
        <v>0</v>
      </c>
      <c r="BF34" s="373">
        <f>$BF$33/$C$5</f>
        <v>0</v>
      </c>
      <c r="BG34" s="373">
        <f>MIN($BL$7:$BL$30)</f>
        <v>2</v>
      </c>
      <c r="BH34" s="373">
        <f>_xlfn.STDEV.S($K$7:$K$30)</f>
        <v>2.3260942125619688</v>
      </c>
      <c r="BI34" s="373">
        <f>_xlfn.STDEV.S($J$7:$J$30)</f>
        <v>2.615202805574687</v>
      </c>
      <c r="BJ34" s="373">
        <f>AVERAGE($BJ$7:$BJ$29)</f>
        <v>4.3125</v>
      </c>
      <c r="BK34" s="420"/>
      <c r="BL34" s="240"/>
      <c r="BM34" s="240"/>
      <c r="BN34" s="240"/>
      <c r="BU34" s="416">
        <v>3</v>
      </c>
      <c r="BV34" s="416">
        <f>QUARTILE($BV$7:$BV$30,BU34)</f>
        <v>0.75</v>
      </c>
    </row>
    <row r="35" spans="1:74" ht="24.9" customHeight="1" x14ac:dyDescent="0.3">
      <c r="A35" s="121"/>
      <c r="B35" s="206">
        <f>(D33-D34)/D33</f>
        <v>-0.25</v>
      </c>
      <c r="C35" s="128" t="s">
        <v>231</v>
      </c>
      <c r="D35" s="111">
        <f>D33/D34</f>
        <v>0.8</v>
      </c>
      <c r="E35" s="123"/>
      <c r="F35" s="123"/>
      <c r="G35" s="123"/>
      <c r="H35" s="369">
        <f t="shared" ref="H35:J35" si="75">ROUND(STDEV(H$7:H$30),0)</f>
        <v>3</v>
      </c>
      <c r="I35" s="369">
        <f t="shared" si="75"/>
        <v>2</v>
      </c>
      <c r="J35" s="369">
        <f t="shared" si="75"/>
        <v>3</v>
      </c>
      <c r="K35" s="391">
        <f>ROUND(STDEV(K$7:K$30),0)</f>
        <v>2</v>
      </c>
      <c r="L35" s="124"/>
      <c r="M35" s="124"/>
      <c r="N35" s="175"/>
      <c r="O35" s="175"/>
      <c r="P35" s="175"/>
      <c r="Q35" s="175"/>
      <c r="R35" s="175"/>
      <c r="S35" s="175"/>
      <c r="T35" s="82"/>
      <c r="U35" s="172" t="s">
        <v>245</v>
      </c>
      <c r="V35" s="181">
        <f>($D32)*($D32-1)*($D32-2)</f>
        <v>6</v>
      </c>
      <c r="W35" s="172" t="s">
        <v>146</v>
      </c>
      <c r="X35" s="181">
        <f>(($X$32)*($B4-1)*($B4-2))</f>
        <v>662.3033333333334</v>
      </c>
      <c r="Y35" s="181">
        <f t="shared" si="72"/>
        <v>656.3033333333334</v>
      </c>
      <c r="Z35" s="185">
        <f t="shared" si="73"/>
        <v>2</v>
      </c>
      <c r="AA35" s="172">
        <f t="shared" si="69"/>
        <v>109.38</v>
      </c>
      <c r="AC35" s="128" t="s">
        <v>232</v>
      </c>
      <c r="AD35" s="111">
        <f>ROUND(_xlfn.STDEV.P($AD$7:$AD$30),0)</f>
        <v>2</v>
      </c>
      <c r="AE35" s="111">
        <f>ROUND(_xlfn.STDEV.P($AU$7:$AU$30),0)</f>
        <v>2</v>
      </c>
      <c r="AF35" s="210"/>
      <c r="AG35" s="321"/>
      <c r="AH35" s="210"/>
      <c r="AI35" s="128" t="s">
        <v>232</v>
      </c>
      <c r="AJ35" s="111">
        <f>ROUND(_xlfn.STDEV.P($AJ$7:$AJ$30),0)</f>
        <v>2</v>
      </c>
      <c r="AK35" s="128" t="s">
        <v>232</v>
      </c>
      <c r="AL35" s="111">
        <f>ROUND(_xlfn.STDEV.P($AG$7:$AG$30),0)</f>
        <v>2</v>
      </c>
      <c r="AO35" s="128" t="s">
        <v>704</v>
      </c>
      <c r="AP35" s="111"/>
      <c r="AQ35" s="111">
        <f>ROUND(_xlfn.STDEV.P($AQ$7:$AQ$30),0)</f>
        <v>2</v>
      </c>
      <c r="AS35" s="128" t="s">
        <v>232</v>
      </c>
      <c r="AT35" s="111">
        <f>ROUND(_xlfn.STDEV.P($AT$7:$AT$30),0)</f>
        <v>2</v>
      </c>
      <c r="AU35" s="111">
        <f>ROUND(_xlfn.STDEV.P($AU$7:$AU$30),0)</f>
        <v>2</v>
      </c>
      <c r="AW35"/>
      <c r="AZ35" s="128" t="s">
        <v>381</v>
      </c>
      <c r="BA35" s="111">
        <f>COUNT($BA$7:$BA$29)</f>
        <v>3</v>
      </c>
      <c r="BB35" s="111">
        <f>COUNT($BB$7:$BB$29)</f>
        <v>3</v>
      </c>
      <c r="BC35" s="373" t="str">
        <f>IFERROR(INDEX($B$7:$B$30,MATCH(2,$K$7:$K$30,0))&amp;",",INDEX($B$7:$B$30,MATCH(3,$K$7:$K$30,0))&amp;",")</f>
        <v>2,</v>
      </c>
      <c r="BD35" t="str">
        <f t="shared" si="68"/>
        <v xml:space="preserve"> </v>
      </c>
      <c r="BE35" s="373" t="str">
        <f t="shared" ref="BE35:BF35" si="76">IF(BE33&gt;1,BE34," ")</f>
        <v xml:space="preserve"> </v>
      </c>
      <c r="BF35" s="373" t="str">
        <f t="shared" si="76"/>
        <v xml:space="preserve"> </v>
      </c>
      <c r="BG35" s="373" t="s">
        <v>835</v>
      </c>
      <c r="BH35" s="373">
        <f>COUNTIF($K$7:$K$30,"=1")</f>
        <v>1</v>
      </c>
      <c r="BI35" s="373">
        <f>COUNTIF($J$7:$J$30,"=1")</f>
        <v>2</v>
      </c>
      <c r="BJ35" s="373">
        <f>COUNTIF($I$7:$I$30,"=1")</f>
        <v>1</v>
      </c>
      <c r="BK35" s="395" t="s">
        <v>794</v>
      </c>
      <c r="BL35" s="240"/>
      <c r="BM35" s="395" t="s">
        <v>795</v>
      </c>
      <c r="BN35" s="373">
        <f>COUNTIF($I$7:$I$30,"=1")</f>
        <v>1</v>
      </c>
      <c r="BU35" s="416">
        <v>1</v>
      </c>
      <c r="BV35" s="416">
        <f>QUARTILE($BV$7:$BV$30,BU35)</f>
        <v>0.34375</v>
      </c>
    </row>
    <row r="36" spans="1:74" ht="24.9" customHeight="1" x14ac:dyDescent="0.3">
      <c r="A36" s="121"/>
      <c r="B36" s="182"/>
      <c r="C36" s="128" t="s">
        <v>232</v>
      </c>
      <c r="D36" s="111">
        <f>STDEV(D7:D30)</f>
        <v>2.615202805574687</v>
      </c>
      <c r="E36" s="122"/>
      <c r="F36" s="123"/>
      <c r="G36" s="122"/>
      <c r="H36" s="369">
        <f>ROUND(STDEVA(H7:H30),0)</f>
        <v>3</v>
      </c>
      <c r="I36" s="421">
        <f>_xlfn.STDEV.P(I7:I30)</f>
        <v>2.0463381929681126</v>
      </c>
      <c r="J36" s="419">
        <f>_xlfn.STDEV.P(J7:J30)</f>
        <v>2.4462982238476156</v>
      </c>
      <c r="K36" s="419">
        <f>_xlfn.STDEV.P(K7:K30)</f>
        <v>2.1758618981911515</v>
      </c>
      <c r="L36" s="124" t="str">
        <f>IF(J36&gt;K36,"J","K")</f>
        <v>J</v>
      </c>
      <c r="M36" s="124"/>
      <c r="N36" s="175"/>
      <c r="O36" s="175"/>
      <c r="P36" s="175"/>
      <c r="Q36" s="175"/>
      <c r="R36" s="175"/>
      <c r="S36" s="175"/>
      <c r="T36" s="82"/>
      <c r="U36" s="172" t="s">
        <v>246</v>
      </c>
      <c r="V36" s="181">
        <f>($D32)*($D32-1)*($D32-2)*($D32-3)</f>
        <v>0</v>
      </c>
      <c r="W36" s="172" t="s">
        <v>147</v>
      </c>
      <c r="X36" s="181">
        <f>(($X$32)*($B4-1)*($B4-2)*($B4-3))</f>
        <v>8852.7878888888899</v>
      </c>
      <c r="Y36" s="181">
        <f t="shared" si="72"/>
        <v>8852.7878888888899</v>
      </c>
      <c r="Z36" s="185">
        <f t="shared" si="73"/>
        <v>1</v>
      </c>
      <c r="AA36" s="172" t="str">
        <f>IF(V36=0," ",ROUNDDOWN((Y36/V36),2))</f>
        <v xml:space="preserve"> </v>
      </c>
      <c r="AC36" s="128" t="s">
        <v>586</v>
      </c>
      <c r="AD36" s="111">
        <f>MAX(AD7:AD30)</f>
        <v>8</v>
      </c>
      <c r="AE36" s="111">
        <f>MAX(AU7:AU30)</f>
        <v>8</v>
      </c>
      <c r="AF36" s="210"/>
      <c r="AG36" s="128">
        <v>1</v>
      </c>
      <c r="AH36" s="128" t="s">
        <v>732</v>
      </c>
      <c r="AI36" s="128" t="s">
        <v>746</v>
      </c>
      <c r="AJ36" s="111">
        <f>COUNT($AK$7:$AK$30)</f>
        <v>1</v>
      </c>
      <c r="AK36" s="357">
        <f>IF(AND($AL$39="MODE2",$AJ$36&gt;1),1,IF(AND($AJ$37&gt;1,$AJ$37=$AK$37),0,IF(AND($AJ$36&gt;1,$AJ$36=$AK$37),1,IF(AND($AJ$38&gt;1,$AJ$38=$AK$37),2,IF(AND($AJ$39&gt;1,$AJ$39=$AK$37),3,4)))))</f>
        <v>0</v>
      </c>
      <c r="AL36" s="378" t="s">
        <v>221</v>
      </c>
      <c r="AP36" s="128" t="s">
        <v>712</v>
      </c>
      <c r="AQ36" s="111">
        <f>LARGE(AQ$7:AQ$30,3)</f>
        <v>6</v>
      </c>
      <c r="AS36" s="128" t="s">
        <v>381</v>
      </c>
      <c r="AT36" s="111">
        <f>COUNT($AT$7:$AT$30)</f>
        <v>8</v>
      </c>
      <c r="AU36" s="111">
        <f>COUNT($AU$7:$AU$30)</f>
        <v>8</v>
      </c>
      <c r="AW36"/>
      <c r="BC36" s="373">
        <f>IFERROR(MODE(K7:K30),0)</f>
        <v>6</v>
      </c>
      <c r="BD36" s="373" t="s">
        <v>742</v>
      </c>
      <c r="BE36" s="373">
        <f>MAX(BE35:BH35)</f>
        <v>1</v>
      </c>
      <c r="BG36" s="417" t="s">
        <v>836</v>
      </c>
      <c r="BH36" s="373">
        <f>INDEX($J$7:$J30,MATCH(1,$K$7:$K$30,0))</f>
        <v>6</v>
      </c>
      <c r="BI36" s="373">
        <f>INDEX($K$7:$K30,MATCH(1,$J$7:$J$30,0))</f>
        <v>6</v>
      </c>
      <c r="BJ36" s="373">
        <f>INDEX($K$7:$K30,MATCH(1,$I$7:$I$30,0))</f>
        <v>3</v>
      </c>
      <c r="BK36" s="396">
        <v>6.8803030303030324E-2</v>
      </c>
      <c r="BL36" s="240"/>
      <c r="BM36" s="396">
        <v>0.13760606060606065</v>
      </c>
      <c r="BN36" s="373">
        <f>INDEX($J$7:$J30,MATCH(1,$I$7:$I$30,0))</f>
        <v>1</v>
      </c>
      <c r="BU36" s="175" t="s">
        <v>833</v>
      </c>
    </row>
    <row r="37" spans="1:74" ht="24.9" customHeight="1" x14ac:dyDescent="0.3">
      <c r="A37" s="201"/>
      <c r="B37" s="206">
        <f>D36/D33</f>
        <v>0.65380070139367175</v>
      </c>
      <c r="C37" s="128" t="s">
        <v>233</v>
      </c>
      <c r="D37" s="111">
        <f>D36/D33</f>
        <v>0.65380070139367175</v>
      </c>
      <c r="E37" s="122"/>
      <c r="F37" s="123"/>
      <c r="G37" s="122"/>
      <c r="H37" s="147">
        <f>IF(ISERROR((AVERAGE(H$33:H$34)-H$38))," ",AVERAGE(H$33:H$34)-H$38)</f>
        <v>2.5</v>
      </c>
      <c r="I37" s="147">
        <f t="shared" ref="I37" si="77">IF(ISERROR((AVERAGE(I$33:I$34)-I$38))," ",AVERAGE(I$33:I$34)-I$38)</f>
        <v>1.5463381929681126</v>
      </c>
      <c r="J37" s="147">
        <f>IF(ISERROR((AVERAGE(J$33:J$34)-J$38))," ",AVERAGE(J$33:J$34)-J$38)</f>
        <v>2.9462982238476156</v>
      </c>
      <c r="K37" s="391">
        <f>IF(ISERROR((AVERAGE(K$33:K$34)-K$38))," ",AVERAGE(K$33:K$34)-K$38)</f>
        <v>1.6758618981911515</v>
      </c>
      <c r="L37" s="124"/>
      <c r="M37" s="124"/>
      <c r="N37" s="175"/>
      <c r="O37" s="175"/>
      <c r="P37" s="175"/>
      <c r="Q37" s="175"/>
      <c r="R37" s="175"/>
      <c r="S37" s="175"/>
      <c r="T37" s="82"/>
      <c r="U37" s="188" t="s">
        <v>142</v>
      </c>
      <c r="V37" s="188" t="s">
        <v>287</v>
      </c>
      <c r="W37" s="187">
        <f>AVERAGE(W38:W41)</f>
        <v>213.81876812896266</v>
      </c>
      <c r="X37" s="189">
        <f>$AA$5</f>
        <v>0</v>
      </c>
      <c r="Y37" s="189">
        <f>$J$2</f>
        <v>0.80729835631762681</v>
      </c>
      <c r="Z37" s="188" t="str">
        <f>"P(count)"&amp;D32&amp;""</f>
        <v>P(count)3</v>
      </c>
      <c r="AA37" s="362" t="s">
        <v>724</v>
      </c>
      <c r="AB37" s="128" t="s">
        <v>748</v>
      </c>
      <c r="AC37" s="128" t="s">
        <v>749</v>
      </c>
      <c r="AD37" s="111">
        <f>COUNT($AD$7:$AD$30)</f>
        <v>6</v>
      </c>
      <c r="AE37" s="111">
        <f>COUNT($AU$7:$AU$30)</f>
        <v>8</v>
      </c>
      <c r="AF37" s="210"/>
      <c r="AG37" s="128">
        <v>0</v>
      </c>
      <c r="AH37" s="128" t="s">
        <v>744</v>
      </c>
      <c r="AI37" s="128" t="s">
        <v>697</v>
      </c>
      <c r="AJ37" s="111">
        <f>COUNT($AM$7:$AM$30)</f>
        <v>3</v>
      </c>
      <c r="AK37" s="357">
        <f>IF(MIN($AJ$36:$AJ$40)&lt;=1,SMALL($AJ$36:$AJ$40,2),MIN($AJ$36:$AJ$40))</f>
        <v>3</v>
      </c>
      <c r="AL37" s="128" t="s">
        <v>191</v>
      </c>
      <c r="AM37" s="357">
        <f>$AJ$37/$C$5</f>
        <v>0.375</v>
      </c>
      <c r="AP37" s="128" t="s">
        <v>713</v>
      </c>
      <c r="AQ37" s="111">
        <f>SMALL(AQ$7:AQ$30,4)</f>
        <v>3</v>
      </c>
      <c r="AS37" s="128" t="s">
        <v>766</v>
      </c>
      <c r="AT37" s="111">
        <f>LARGE($AT$7:$AT$30,2)</f>
        <v>7</v>
      </c>
      <c r="AU37" s="111">
        <f>LARGE($AU$7:$AU$30,2)</f>
        <v>7</v>
      </c>
      <c r="AW37"/>
      <c r="BC37" s="373">
        <f>COUNTIF($K$7:$K$30,$BC$36)</f>
        <v>2</v>
      </c>
      <c r="BD37" s="262">
        <f>COUNT(_xlfn.ANCHORARRAY(BC36))</f>
        <v>1</v>
      </c>
      <c r="BE37" s="376" t="str">
        <f>INDEX($BE$31:$BH$31,MATCH($BE$36,$BE$35:$BH$35,0))</f>
        <v>BK</v>
      </c>
      <c r="BF37" s="376" t="str">
        <f>IF($BF$38&gt;=2,"SINGLE","NORM")</f>
        <v>SINGLE</v>
      </c>
      <c r="BH37" s="373" t="str">
        <f>"$K1 =" &amp;"$J"&amp;BH$36</f>
        <v>$K1 =$J6</v>
      </c>
      <c r="BI37" s="373" t="str">
        <f>"$J1 =" &amp;"$K"&amp;BI$36</f>
        <v>$J1 =$K6</v>
      </c>
      <c r="BJ37" s="373" t="str">
        <f>"$I1 =" &amp;"$K"&amp;BJ$36</f>
        <v>$I1 =$K3</v>
      </c>
      <c r="BK37" s="240"/>
      <c r="BL37" s="240"/>
      <c r="BM37" s="240"/>
      <c r="BN37" s="373" t="str">
        <f>"$I1 =" &amp;"$J"&amp;BN$36</f>
        <v>$I1 =$J1</v>
      </c>
    </row>
    <row r="38" spans="1:74" ht="24.9" customHeight="1" x14ac:dyDescent="0.3">
      <c r="A38"/>
      <c r="B38" s="128"/>
      <c r="C38" s="128" t="s">
        <v>224</v>
      </c>
      <c r="D38" s="111">
        <f>IFERROR(KURT(D7:D30),0.1)</f>
        <v>-1.3056957236057243</v>
      </c>
      <c r="E38" s="122"/>
      <c r="F38" s="123"/>
      <c r="G38" s="122"/>
      <c r="H38" s="193">
        <f t="shared" ref="H38:J38" si="78">IF(ISERROR(H40-H36)," ",H40-H36)</f>
        <v>2</v>
      </c>
      <c r="I38" s="193">
        <f t="shared" si="78"/>
        <v>2.9536618070318874</v>
      </c>
      <c r="J38" s="193">
        <f t="shared" si="78"/>
        <v>1.5537017761523844</v>
      </c>
      <c r="K38" s="193">
        <f>IF(ISERROR(K40-K36)," ",K40-K36)</f>
        <v>2.8241381018088485</v>
      </c>
      <c r="L38" s="304"/>
      <c r="M38" s="305">
        <v>7</v>
      </c>
      <c r="N38" s="304">
        <v>8</v>
      </c>
      <c r="O38" s="175"/>
      <c r="P38" s="175"/>
      <c r="Q38" s="175"/>
      <c r="R38" s="175"/>
      <c r="S38" s="175"/>
      <c r="T38" s="82"/>
      <c r="U38" s="182">
        <v>1</v>
      </c>
      <c r="V38" s="101">
        <f>$Y1</f>
        <v>7</v>
      </c>
      <c r="W38" s="186" t="str">
        <f>$V1</f>
        <v>This Track Place Strike Rate</v>
      </c>
      <c r="X38" s="190">
        <f>D4</f>
        <v>3</v>
      </c>
      <c r="Y38" s="189">
        <f>$J$3</f>
        <v>1</v>
      </c>
      <c r="Z38" s="189">
        <f>J2</f>
        <v>0.80729835631762681</v>
      </c>
      <c r="AA38" s="190">
        <f>MAX($L$7:$L$30)</f>
        <v>21</v>
      </c>
      <c r="AC38" s="211"/>
      <c r="AD38" s="175" t="s">
        <v>557</v>
      </c>
      <c r="AE38" s="175" t="s">
        <v>779</v>
      </c>
      <c r="AF38" s="210"/>
      <c r="AG38" s="128">
        <v>2</v>
      </c>
      <c r="AH38" s="128" t="s">
        <v>745</v>
      </c>
      <c r="AI38" s="128" t="s">
        <v>747</v>
      </c>
      <c r="AJ38" s="111">
        <f>COUNT($AO$7:$AO$30)</f>
        <v>5</v>
      </c>
      <c r="AK38" s="357" cm="1">
        <f t="array" ref="AK38">_xlfn.MODE.MULT($AJ$36:$AJ$40)</f>
        <v>5</v>
      </c>
      <c r="AL38" s="128" t="s">
        <v>722</v>
      </c>
      <c r="AP38" s="128" t="s">
        <v>714</v>
      </c>
      <c r="AQ38" s="111">
        <f>MIN(AQ$7:AQ$30,1)</f>
        <v>1</v>
      </c>
      <c r="AR38" s="128" t="s">
        <v>716</v>
      </c>
      <c r="AS38" s="128" t="s">
        <v>715</v>
      </c>
      <c r="AT38" s="111">
        <f>SMALL($AT$7:$AT$30,2)</f>
        <v>2</v>
      </c>
      <c r="AU38" s="111">
        <f>SMALL($AU$7:$AU$30,2)</f>
        <v>1</v>
      </c>
      <c r="AW38"/>
      <c r="BD38" t="str">
        <f t="shared" si="68"/>
        <v xml:space="preserve"> </v>
      </c>
      <c r="BE38" s="376" t="str">
        <f>IF(AND($BF$35&gt;=0.25,$BE$35&lt;=0.5),"times4",IF(AND($BF$35&gt;=0.25,$BE$35&lt;$BF$35),"times4",IF(AND($BF$35&gt;=0.25,$BJ$33&lt;$BE$33),"times4","mean")))</f>
        <v>mean</v>
      </c>
      <c r="BF38" s="376">
        <f>COUNTIF($BR$7:$BS$30,"=1")</f>
        <v>3</v>
      </c>
      <c r="BH38" s="376" t="str">
        <f>IF(AND($BI$36&lt;=4),"SAME",IF(AND($BH$36=$BI$36,$BH$35=$BI$35),"SAME","OPPOS"))</f>
        <v>OPPOS</v>
      </c>
      <c r="BI38" s="376" t="str">
        <f>IF(AND(BI35&lt;=2,BI36-BI35&lt;=3),"NARROW","WIDE")</f>
        <v>WIDE</v>
      </c>
      <c r="BJ38" s="376" t="str">
        <f>IF(OR(BJ35&lt;=2,BJ36-BJ35&lt;=3),"NARROW","WIDE")</f>
        <v>NARROW</v>
      </c>
      <c r="BK38" s="395" t="s">
        <v>796</v>
      </c>
      <c r="BL38" s="240"/>
      <c r="BM38" s="240"/>
      <c r="BN38" s="376" t="str">
        <f>IF(AND(BN35=1,BN36-BN35&lt;=3),"NARROW","WIDE")</f>
        <v>NARROW</v>
      </c>
    </row>
    <row r="39" spans="1:74" ht="24.9" customHeight="1" x14ac:dyDescent="0.3">
      <c r="A39" s="202"/>
      <c r="B39" s="128" t="s">
        <v>191</v>
      </c>
      <c r="C39" s="128" t="s">
        <v>225</v>
      </c>
      <c r="D39" s="111">
        <f>IFERROR(SKEW(D7:D30),0.1)</f>
        <v>-9.8839615472912493E-2</v>
      </c>
      <c r="E39" s="122"/>
      <c r="F39" s="123"/>
      <c r="G39" s="122"/>
      <c r="H39" s="215">
        <f t="shared" ref="H39:I39" si="79">IFERROR(H34+$B$40," ")</f>
        <v>7.1758618981911511</v>
      </c>
      <c r="I39" s="215">
        <f t="shared" si="79"/>
        <v>7.1758618981911511</v>
      </c>
      <c r="J39" s="215">
        <f>IFERROR($J34+$J$35," ")</f>
        <v>8</v>
      </c>
      <c r="K39" s="215">
        <f>IFERROR($K34+$K$35," ")</f>
        <v>7</v>
      </c>
      <c r="L39" s="124"/>
      <c r="M39" s="124"/>
      <c r="N39" s="175"/>
      <c r="O39" s="175"/>
      <c r="P39" s="175"/>
      <c r="Q39" s="175"/>
      <c r="R39" s="175"/>
      <c r="S39" s="175"/>
      <c r="T39" s="82"/>
      <c r="U39" s="182">
        <v>2</v>
      </c>
      <c r="V39" s="101">
        <f>$Y2</f>
        <v>7</v>
      </c>
      <c r="W39" s="186">
        <f t="shared" ref="W39:W41" si="80">$V2</f>
        <v>641.45630438688795</v>
      </c>
      <c r="X39" s="422" t="str">
        <f>IF(ISERROR(ROUNDDOWN(H6,2)&amp;" "&amp;I6),ROUNDDOWN(I6,2)&amp;" "&amp;H6,ROUNDDOWN(H6,2)&amp;" "&amp;I6)</f>
        <v>1.97 TOP&amp;TAILS</v>
      </c>
      <c r="Y39" s="423"/>
      <c r="Z39" s="424"/>
      <c r="AA39" s="362" t="s">
        <v>726</v>
      </c>
      <c r="AC39" s="211"/>
      <c r="AF39" s="210"/>
      <c r="AG39" s="128">
        <v>3</v>
      </c>
      <c r="AH39" s="128" t="s">
        <v>752</v>
      </c>
      <c r="AI39" s="128" t="s">
        <v>758</v>
      </c>
      <c r="AJ39" s="111">
        <f>COUNT($AL$7:$AL$30)</f>
        <v>6</v>
      </c>
      <c r="AK39" s="357"/>
      <c r="AL39" s="377" t="str">
        <f>IF(AK39&gt;0,"MODE2","NO")</f>
        <v>NO</v>
      </c>
      <c r="AP39" s="128" t="s">
        <v>766</v>
      </c>
      <c r="AQ39" s="111">
        <f>MAX(AQ7:AQ30)</f>
        <v>8</v>
      </c>
      <c r="AR39" s="111">
        <f>AQ35/AQ36</f>
        <v>0.33333333333333331</v>
      </c>
      <c r="AS39" s="128" t="s">
        <v>712</v>
      </c>
      <c r="AT39" s="111">
        <f>AT36-AT35</f>
        <v>6</v>
      </c>
      <c r="AU39" s="111">
        <f>AU36-AU35</f>
        <v>6</v>
      </c>
      <c r="AW39"/>
      <c r="BD39" t="str">
        <f t="shared" si="68"/>
        <v xml:space="preserve"> </v>
      </c>
      <c r="BK39" s="396">
        <v>0.4404575757575756</v>
      </c>
      <c r="BL39"/>
      <c r="BM39" t="s">
        <v>797</v>
      </c>
      <c r="BN39"/>
    </row>
    <row r="40" spans="1:74" ht="24.9" customHeight="1" x14ac:dyDescent="0.3">
      <c r="A40" s="203"/>
      <c r="B40" s="372">
        <f>MIN(K36,K38)</f>
        <v>2.1758618981911515</v>
      </c>
      <c r="C40" s="128" t="s">
        <v>234</v>
      </c>
      <c r="D40" s="111">
        <f>($D$39^2)</f>
        <v>9.7692695868332024E-3</v>
      </c>
      <c r="E40" s="122"/>
      <c r="F40" s="123"/>
      <c r="G40" s="122"/>
      <c r="H40" s="386">
        <f t="shared" ref="H40:I40" si="81">MAX(H33:H34)</f>
        <v>5</v>
      </c>
      <c r="I40" s="386">
        <f t="shared" si="81"/>
        <v>5</v>
      </c>
      <c r="J40" s="394">
        <f>MIN(J33:J34)</f>
        <v>4</v>
      </c>
      <c r="K40" s="391">
        <f>MAX(K33:K34)</f>
        <v>5</v>
      </c>
      <c r="L40" s="124" t="s">
        <v>832</v>
      </c>
      <c r="M40" s="124"/>
      <c r="N40" s="175"/>
      <c r="O40" s="175"/>
      <c r="P40" s="175"/>
      <c r="Q40" s="175"/>
      <c r="R40" s="175"/>
      <c r="S40" s="175"/>
      <c r="T40" s="82"/>
      <c r="U40" s="182">
        <v>3</v>
      </c>
      <c r="V40" s="101">
        <f t="shared" ref="V40:V41" si="82">$Y3</f>
        <v>0</v>
      </c>
      <c r="W40" s="186">
        <f t="shared" si="80"/>
        <v>0</v>
      </c>
      <c r="X40" s="425" t="str">
        <f>IF(ISERROR($I$6&amp;" "&amp;ROUNDDOWN(H6,2)),$H$6&amp;" "&amp;ROUNDDOWN(I6,2),$I$6&amp;" "&amp;ROUNDDOWN(H6,2))</f>
        <v>TOP&amp;TAILS 1.97</v>
      </c>
      <c r="Y40" s="426"/>
      <c r="Z40" s="427"/>
      <c r="AA40" s="190">
        <f>ROUND(AVERAGE($L$7:$L$30),0)</f>
        <v>16</v>
      </c>
      <c r="AC40" s="211"/>
      <c r="AF40" s="210"/>
      <c r="AG40" s="128">
        <v>4</v>
      </c>
      <c r="AH40" s="128" t="s">
        <v>733</v>
      </c>
      <c r="AI40" s="128" t="s">
        <v>753</v>
      </c>
      <c r="AJ40" s="111">
        <f>COUNT($AH$7:$AH$30)</f>
        <v>5</v>
      </c>
      <c r="AW40"/>
      <c r="BD40" t="str">
        <f t="shared" si="68"/>
        <v xml:space="preserve"> </v>
      </c>
      <c r="BK40" s="240" t="s">
        <v>806</v>
      </c>
      <c r="BL40" s="240"/>
      <c r="BM40" s="240" t="s">
        <v>798</v>
      </c>
      <c r="BN40" s="240"/>
    </row>
    <row r="41" spans="1:74" ht="24.9" customHeight="1" x14ac:dyDescent="0.3">
      <c r="A41"/>
      <c r="B41" s="128"/>
      <c r="C41" s="128" t="s">
        <v>704</v>
      </c>
      <c r="D41" s="111">
        <f>($D$38+$D$39)^2</f>
        <v>1.9727195187207414</v>
      </c>
      <c r="E41" s="122"/>
      <c r="F41" s="123"/>
      <c r="G41" s="122"/>
      <c r="H41" s="415">
        <f t="shared" ref="H41:J41" si="83">H40+H38</f>
        <v>7</v>
      </c>
      <c r="I41" s="415">
        <f t="shared" si="83"/>
        <v>7.953661807031887</v>
      </c>
      <c r="J41" s="415">
        <f t="shared" si="83"/>
        <v>5.5537017761523844</v>
      </c>
      <c r="K41" s="391">
        <f>K40+K38</f>
        <v>7.8241381018088489</v>
      </c>
      <c r="L41" s="124"/>
      <c r="M41" s="124"/>
      <c r="N41" s="175"/>
      <c r="O41" s="175"/>
      <c r="P41" s="175"/>
      <c r="Q41" s="175"/>
      <c r="R41" s="175"/>
      <c r="S41" s="175"/>
      <c r="T41" s="82"/>
      <c r="U41" s="182">
        <v>4</v>
      </c>
      <c r="V41" s="101">
        <f t="shared" si="82"/>
        <v>0</v>
      </c>
      <c r="W41" s="186">
        <f t="shared" si="80"/>
        <v>0</v>
      </c>
      <c r="X41" s="187">
        <f>$D$6</f>
        <v>-9.8839615472912493E-2</v>
      </c>
      <c r="Y41" s="187" t="str">
        <f>"(" &amp; $B$5&amp; ")"&amp;"Runners"</f>
        <v>(3)Runners</v>
      </c>
      <c r="Z41" s="187">
        <f>$J$6</f>
        <v>-1.3056957236057243</v>
      </c>
      <c r="AA41" s="362" t="s">
        <v>727</v>
      </c>
      <c r="AB41" s="189" t="s">
        <v>728</v>
      </c>
      <c r="AC41" s="211"/>
      <c r="AF41" s="210"/>
      <c r="AG41" s="128">
        <v>7</v>
      </c>
      <c r="AH41" s="128" t="s">
        <v>764</v>
      </c>
      <c r="AI41" s="128" t="s">
        <v>763</v>
      </c>
      <c r="AJ41" s="111">
        <f>COUNT($AE$7:$AE$30)</f>
        <v>3</v>
      </c>
      <c r="AW41"/>
      <c r="BD41" t="str">
        <f t="shared" si="68"/>
        <v xml:space="preserve"> </v>
      </c>
      <c r="BK41" s="396">
        <v>3.2008588416648296</v>
      </c>
      <c r="BL41" s="240"/>
      <c r="BM41" s="396">
        <v>2</v>
      </c>
      <c r="BN41" s="240"/>
    </row>
    <row r="42" spans="1:74" ht="24.9" customHeight="1" x14ac:dyDescent="0.3">
      <c r="A42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 s="124"/>
      <c r="N42" s="175"/>
      <c r="O42" s="175"/>
      <c r="P42" s="175"/>
      <c r="Q42" s="175"/>
      <c r="R42" s="175"/>
      <c r="S42" s="175"/>
      <c r="T42" s="82"/>
      <c r="AA42" s="190">
        <f>ROUND(MEDIAN($L$7:$L$30),0)</f>
        <v>21</v>
      </c>
      <c r="AB42" s="188">
        <f>ROUND($AA$40/$AA$42,2)</f>
        <v>0.76</v>
      </c>
      <c r="AC42" s="211"/>
      <c r="AF42" s="210"/>
      <c r="AG42" s="210"/>
      <c r="AH42" s="210"/>
      <c r="AW42"/>
      <c r="BD42" t="str">
        <f t="shared" si="68"/>
        <v xml:space="preserve"> </v>
      </c>
      <c r="BK42" s="240"/>
      <c r="BL42" s="240"/>
      <c r="BM42" s="240"/>
      <c r="BN42" s="240"/>
    </row>
    <row r="43" spans="1:74" ht="28.95" customHeight="1" x14ac:dyDescent="0.3">
      <c r="A43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 s="124"/>
      <c r="N43" s="175"/>
      <c r="O43" s="175"/>
      <c r="P43" s="175"/>
      <c r="Q43" s="175"/>
      <c r="R43" s="175"/>
      <c r="S43" s="175"/>
      <c r="T43" s="82"/>
      <c r="U43" s="301" t="s">
        <v>595</v>
      </c>
      <c r="V43" s="301" t="s">
        <v>596</v>
      </c>
      <c r="W43" s="301" t="s">
        <v>782</v>
      </c>
      <c r="X43" s="301" t="s">
        <v>229</v>
      </c>
      <c r="Y43" s="301" t="s">
        <v>598</v>
      </c>
      <c r="Z43" s="301" t="s">
        <v>599</v>
      </c>
      <c r="AA43" s="301" t="s">
        <v>597</v>
      </c>
      <c r="AB43" s="301" t="s">
        <v>770</v>
      </c>
      <c r="AC43" s="301" t="s">
        <v>703</v>
      </c>
      <c r="AD43" s="301" t="s">
        <v>780</v>
      </c>
      <c r="AE43" s="301" t="s">
        <v>689</v>
      </c>
      <c r="AF43" s="301" t="s">
        <v>781</v>
      </c>
      <c r="AG43" s="301" t="s">
        <v>783</v>
      </c>
      <c r="AH43" s="301" t="s">
        <v>754</v>
      </c>
      <c r="AI43" s="301" t="s">
        <v>755</v>
      </c>
      <c r="AJ43" s="301" t="s">
        <v>756</v>
      </c>
      <c r="AK43" s="301" t="s">
        <v>757</v>
      </c>
      <c r="AL43" s="301" t="s">
        <v>702</v>
      </c>
      <c r="AM43" s="301" t="s">
        <v>771</v>
      </c>
      <c r="AN43" s="301" t="s">
        <v>710</v>
      </c>
      <c r="AO43" s="301" t="s">
        <v>708</v>
      </c>
      <c r="AP43" s="301" t="s">
        <v>772</v>
      </c>
      <c r="AQ43" s="301" t="s">
        <v>741</v>
      </c>
      <c r="AR43" s="301" t="s">
        <v>740</v>
      </c>
      <c r="AS43" s="301" t="s">
        <v>733</v>
      </c>
      <c r="AT43" s="301" t="s">
        <v>730</v>
      </c>
      <c r="AU43" s="301" t="s">
        <v>731</v>
      </c>
      <c r="AV43" s="301" t="s">
        <v>732</v>
      </c>
      <c r="AW43" s="301" t="s">
        <v>752</v>
      </c>
      <c r="AX43" s="301" t="s">
        <v>729</v>
      </c>
      <c r="AY43" s="301" t="s">
        <v>148</v>
      </c>
      <c r="AZ43" s="301" t="s">
        <v>807</v>
      </c>
      <c r="BA43"/>
      <c r="BD43" t="str">
        <f t="shared" si="68"/>
        <v xml:space="preserve"> </v>
      </c>
      <c r="BK43" s="240" t="s">
        <v>799</v>
      </c>
      <c r="BL43" s="240"/>
      <c r="BM43" s="396" t="s">
        <v>800</v>
      </c>
      <c r="BN43" s="240" t="s">
        <v>716</v>
      </c>
    </row>
    <row r="44" spans="1:74" ht="28.95" customHeight="1" x14ac:dyDescent="0.3">
      <c r="A44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 s="124"/>
      <c r="N44" s="175"/>
      <c r="O44" s="175"/>
      <c r="P44" s="175"/>
      <c r="Q44" s="175"/>
      <c r="R44" s="175"/>
      <c r="S44" s="175"/>
      <c r="T44" s="82"/>
      <c r="U44" s="274" t="str">
        <f ca="1">MID(CELL("filename",A1),FIND("[",CELL("filename",A1))+1,FIND("]",CELL("filename",A1))-FIND("[",CELL("filename",A1))-1)</f>
        <v>RACING TEMPLATE A1_CopyContentsFromFile.xlsm</v>
      </c>
      <c r="V44" s="349">
        <f>$U$5</f>
        <v>3.1620689655172409</v>
      </c>
      <c r="W44" s="125" t="str">
        <f>$BC$6</f>
        <v xml:space="preserve">C  1J1, ,NC  2K2,times3, , ,C  5J1, , , , , , , , , , , , , , , , , , , , ,Dups 6n2 </v>
      </c>
      <c r="X44" s="303">
        <f>$B$5</f>
        <v>3</v>
      </c>
      <c r="Y44" s="303" t="str">
        <f>AF7
&amp;AF8
&amp;AF9
&amp;AF10
&amp;AF11
&amp;AF12
&amp;AF13
&amp;AF14
&amp;AF15
&amp;AF16
&amp;AF17
&amp;AF18
&amp;AF19
&amp;AF20
&amp;AF21
&amp;AF22
&amp;AF23
&amp;AF24
&amp;AF25
&amp;AF26
&amp;AF27
&amp;AF28
&amp;AF29
&amp;AF30</f>
        <v>1,5,6,</v>
      </c>
      <c r="Z44" s="349">
        <f>$D$5</f>
        <v>0.375</v>
      </c>
      <c r="AA44" s="303" t="str">
        <f>A6</f>
        <v>Last Start Finish Position2</v>
      </c>
      <c r="AB44" s="350">
        <f>$AL$3</f>
        <v>5</v>
      </c>
      <c r="AC44" s="350" t="str">
        <f>AI7
&amp;AI8
&amp;AI9
&amp;AI10
&amp;AI11
&amp;AI12
&amp;AI13
&amp;AI14
&amp;AI15
&amp;AI16
&amp;AI17
&amp;AI18
&amp;AI19
&amp;AI20
&amp;AI21
&amp;AI22
&amp;AI23
&amp;AI24
&amp;AI25
&amp;AI26
&amp;AI27
&amp;AI28
&amp;AI29
&amp;AI30</f>
        <v/>
      </c>
      <c r="AD44" s="350" t="str">
        <f>AE7&amp;","
&amp;AE8&amp;","
&amp;AE9&amp;","
&amp;AE10&amp;","
&amp;AE11&amp;","
&amp;AE12&amp;","
&amp;AE13&amp;","
&amp;AE14&amp;","
&amp;AE15&amp;","
&amp;AE16&amp;","
&amp;AE18&amp;","
&amp;AE17&amp;","
&amp;AE19&amp;","
&amp;AE20&amp;","
&amp;AE21&amp;","
&amp;AE22&amp;","
&amp;AE23&amp;","
&amp;AE24&amp;","
&amp;AE25&amp;","
&amp;AE26&amp;","
&amp;AE27&amp;","
&amp;AE28&amp;","
&amp;AE29&amp;","
&amp;AE30&amp;","
&amp;ROUND(AQ4,2)&amp;","</f>
        <v>1, , , ,5,6, , , , , , , , , , , , , , , , , , ,5.02,</v>
      </c>
      <c r="AE44" s="348">
        <f ca="1">NOW()</f>
        <v>44189.573096874999</v>
      </c>
      <c r="AF44" s="350" t="str">
        <f>BB7&amp;","
&amp;BB8&amp;","
&amp;BB9&amp;","
&amp;BB10&amp;","
&amp;BB11&amp;","
&amp;BB12&amp;","
&amp;BB13&amp;","
&amp;BB14&amp;","
&amp;BB15&amp;","
&amp;BB16&amp;","
&amp;BB18&amp;","
&amp;BB17&amp;","
&amp;BB19&amp;","
&amp;BB20&amp;","
&amp;BB21&amp;","
&amp;BB22&amp;","
&amp;BB23&amp;","
&amp;BB24&amp;","
&amp;BB25&amp;","
&amp;BB26&amp;","
&amp;BB27&amp;","
&amp;BB28&amp;","
&amp;BB29&amp;","
&amp;BB30&amp;","
&amp;ROUND(AS4,2)&amp;","</f>
        <v>1, , , ,5,6, , , , , , , , , , , , , , , , , , ,0.42,</v>
      </c>
      <c r="AG44" s="350" t="str">
        <f>BA7&amp;","
&amp;BA8&amp;","
&amp;BA9&amp;","
&amp;BA10&amp;","
&amp;BA11&amp;","
&amp;BA12&amp;","
&amp;BA13&amp;","
&amp;BA14&amp;","
&amp;BA15&amp;","
&amp;BA16&amp;","
&amp;BA18&amp;","
&amp;BA17&amp;","
&amp;BA19&amp;","
&amp;BA20&amp;","
&amp;BA21&amp;","
&amp;BA22&amp;","
&amp;BA23&amp;","
&amp;BA24&amp;","
&amp;BA25&amp;","
&amp;BA26&amp;","
&amp;BA27&amp;","
&amp;BA28&amp;","
&amp;BA29&amp;","
&amp;BA30&amp;","
&amp;ROUND($AR$4,2)&amp;","</f>
        <v>1, , , ,5,6, , , , , , , , , , , , , , , , , , ,0.02,</v>
      </c>
      <c r="AH44" s="350" t="str">
        <f>$BI$32</f>
        <v xml:space="preserve"> , , , ,now 5,now 6, , ,now 9, , , , , , , , , , , , , , , ,Dups 2.61520280557469n</v>
      </c>
      <c r="AI44" s="359" t="str">
        <f>AO7&amp;","
&amp;AO8&amp;","
&amp;AO9&amp;","
&amp;AO10&amp;","
&amp;AO11&amp;","
&amp;AO12&amp;","
&amp;AO13&amp;","
&amp;AO14&amp;","
&amp;AO15&amp;","
&amp;AO16&amp;","
&amp;AO17&amp;","
&amp;AO18&amp;","
&amp;AO19&amp;","
&amp;AO20&amp;","
&amp;AO21&amp;","
&amp;AO22&amp;","
&amp;AO23&amp;","
&amp;AO24&amp;","
&amp;AO25&amp;","
&amp;AO26&amp;","
&amp;AO27&amp;","
&amp;AO28&amp;","
&amp;AO29&amp;","
&amp;AO30&amp;","
&amp;ROUND(AO4,2)&amp;","</f>
        <v>1, , , , ,6,7,8,9, , , , , , , , , , , , , , , ,1.01,</v>
      </c>
      <c r="AJ44" s="359" t="str">
        <f>AL7&amp;","
&amp;AL8&amp;","
&amp;AL9&amp;","
&amp;AL10&amp;","
&amp;AL11&amp;","
&amp;AL12&amp;","
&amp;AL13&amp;","
&amp;AL14&amp;","
&amp;AL15&amp;","
&amp;AL16&amp;","
&amp;AL17&amp;","
&amp;AL18&amp;","
&amp;AL19&amp;","
&amp;AL20&amp;","
&amp;AL21&amp;","
&amp;AL22&amp;","
&amp;AL23&amp;","
&amp;AL24&amp;","
&amp;AL25&amp;","
&amp;AL26&amp;","
&amp;AL27&amp;","
&amp;AL28&amp;","
&amp;AL29&amp;","
&amp;AL30&amp;","
&amp;ROUND(AP4,2)&amp;","</f>
        <v>1,2,3, , ,6,7,8, , , , , , , , , , , , , , , , ,0.54,</v>
      </c>
      <c r="AK44" s="359" t="str">
        <f>$BH$38&amp;" "&amp;$BH$37&amp;" "&amp;$BI$37&amp;" "&amp;$BJ$37</f>
        <v>OPPOS $K1 =$J6 $J1 =$K6 $I1 =$K3</v>
      </c>
      <c r="AL44" s="350" t="str">
        <f>AN7
&amp;AN8
&amp;AN9
&amp;AN10
&amp;AN11
&amp;AN12
&amp;AN13
&amp;AN14
&amp;AN15
&amp;AN16
&amp;AN17
&amp;AN18
&amp;AN19
&amp;AN20
&amp;AN21
&amp;AN22
&amp;AN23
&amp;AN24
&amp;AN25
&amp;AN26
&amp;AN27
&amp;AN28
&amp;AN29
&amp;AN30</f>
        <v/>
      </c>
      <c r="AM44" s="276">
        <f>$AT$33</f>
        <v>0.32486889029848476</v>
      </c>
      <c r="AN44" s="350" t="e">
        <f>$AD$1</f>
        <v>#N/A</v>
      </c>
      <c r="AO44" s="350" t="str">
        <f>$AD$3</f>
        <v xml:space="preserve"> </v>
      </c>
      <c r="AP44" s="276">
        <f>$AT$32</f>
        <v>-0.56607351569230335</v>
      </c>
      <c r="AQ44" s="365">
        <f>$AL$3</f>
        <v>5</v>
      </c>
      <c r="AR44" s="366">
        <f>$AG$5</f>
        <v>0.13048454311777402</v>
      </c>
      <c r="AS44" s="366">
        <f>$AH$5</f>
        <v>1.8844344723371358E-2</v>
      </c>
      <c r="AT44" s="365">
        <f>$AI$5</f>
        <v>1.43165873021404</v>
      </c>
      <c r="AU44" s="366">
        <f>$AJ$5</f>
        <v>9.8588879122445711E-2</v>
      </c>
      <c r="AV44" s="366">
        <f>$AK$5</f>
        <v>0.2112889670204342</v>
      </c>
      <c r="AW44" s="366" t="str">
        <f>$BB$4&amp;" "&amp;$BE$4</f>
        <v>0.698 6</v>
      </c>
      <c r="AX44" s="365" t="str">
        <f>$BG$4&amp;$BH$4&amp;$K$4</f>
        <v>meanSINGLEOPPOSWIDEBLUETT</v>
      </c>
      <c r="AY44" s="365" t="str">
        <f>AY7
&amp;AY8
&amp;AY9
&amp;AY10
&amp;AY11
&amp;AY12
&amp;AY13
&amp;AY14
&amp;AY15
&amp;AY16
&amp;AY17
&amp;AY18
&amp;AY19
&amp;AY20
&amp;AY21
&amp;AY22
&amp;AY23
&amp;AY24
&amp;AY25
&amp;AY26
&amp;AY27
&amp;AY28
&amp;AY29
&amp;AY30</f>
        <v xml:space="preserve">                        </v>
      </c>
      <c r="AZ44" s="318" t="str">
        <f>$BH$38&amp;"BH/"&amp;$BI$38&amp;"BI/"&amp;$BJ$38&amp;"BJ/"&amp;$BN$38&amp;"BN/"</f>
        <v>OPPOSBH/WIDEBI/NARROWBJ/NARROWBN/</v>
      </c>
      <c r="BD44" t="str">
        <f t="shared" si="68"/>
        <v xml:space="preserve"> </v>
      </c>
      <c r="BK44" s="399">
        <f>(BK36*BM44)+BK39</f>
        <v>0.50926060606060597</v>
      </c>
      <c r="BL44" s="396" t="s">
        <v>801</v>
      </c>
      <c r="BM44" s="397">
        <v>1</v>
      </c>
      <c r="BN44" s="240"/>
    </row>
    <row r="45" spans="1:74" ht="28.95" customHeight="1" x14ac:dyDescent="0.3">
      <c r="A45" s="204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 s="124"/>
      <c r="N45" s="175"/>
      <c r="O45" s="175"/>
      <c r="P45" s="175"/>
      <c r="Q45" s="175"/>
      <c r="R45" s="175"/>
      <c r="S45" s="175"/>
      <c r="T45" s="82"/>
      <c r="BK45" s="240" t="s">
        <v>805</v>
      </c>
      <c r="BL45" s="240"/>
      <c r="BM45" s="240"/>
      <c r="BN45" s="240"/>
    </row>
    <row r="46" spans="1:74" ht="28.95" customHeight="1" x14ac:dyDescent="0.3">
      <c r="A46" s="205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 s="124"/>
      <c r="N46" s="175"/>
      <c r="O46" s="175"/>
      <c r="P46" s="175"/>
      <c r="Q46" s="175"/>
      <c r="R46" s="175"/>
      <c r="S46" s="175"/>
      <c r="T46" s="82"/>
      <c r="BK46" s="240" t="s">
        <v>802</v>
      </c>
      <c r="BL46" s="240"/>
      <c r="BM46" s="396" t="s">
        <v>803</v>
      </c>
      <c r="BN46" s="240" t="s">
        <v>716</v>
      </c>
    </row>
    <row r="47" spans="1:74" ht="28.95" customHeight="1" x14ac:dyDescent="0.3">
      <c r="A47" s="205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 s="124"/>
      <c r="N47" s="175"/>
      <c r="O47" s="175"/>
      <c r="P47" s="175"/>
      <c r="Q47" s="175"/>
      <c r="R47" s="175"/>
      <c r="S47" s="175"/>
      <c r="T47" s="82"/>
      <c r="U47" s="83" t="str">
        <f ca="1">CELL("filename")</f>
        <v>F:\myGear\Kingston\Gaming\Templates\GitHubTemplates\macro\[RACING TEMPLATE A1_CopyContentsFromFile.xlsm]SPORTSBET FIXED ODDS FOR PARLAY</v>
      </c>
      <c r="BK47" s="400">
        <f>ROUNDUP(-(BM47-BK39)/BK36,0)</f>
        <v>-4</v>
      </c>
      <c r="BL47" s="396" t="s">
        <v>804</v>
      </c>
      <c r="BM47" s="397">
        <f>$BB$4</f>
        <v>0.69799999999999995</v>
      </c>
      <c r="BN47" s="398">
        <f>IFERROR($BK$47-1,BK47)</f>
        <v>-5</v>
      </c>
    </row>
    <row r="48" spans="1:74" ht="24.9" customHeight="1" x14ac:dyDescent="0.3">
      <c r="A48" s="18"/>
      <c r="U48" s="83" t="str">
        <f ca="1">"'"&amp;LEFT(U47,48)&amp;U45</f>
        <v>'F:\myGear\Kingston\Gaming\Templates\GitHubTempla</v>
      </c>
      <c r="BK48" s="240" t="s">
        <v>805</v>
      </c>
      <c r="BL48" s="240"/>
      <c r="BM48" s="240"/>
      <c r="BN48" s="398">
        <f>IFERROR($BK$47-2,1)</f>
        <v>-6</v>
      </c>
    </row>
    <row r="49" spans="1:66" ht="24.9" customHeight="1" x14ac:dyDescent="0.3">
      <c r="A49" s="18"/>
      <c r="U49" s="277">
        <f ca="1">HYPERLINK(U48,U45)</f>
        <v>0</v>
      </c>
      <c r="BK49" s="240"/>
      <c r="BL49" s="240"/>
      <c r="BM49" s="240"/>
      <c r="BN49" s="398">
        <f>IFERROR($BK$47+1,BK47)</f>
        <v>-3</v>
      </c>
    </row>
    <row r="50" spans="1:66" ht="24.9" customHeight="1" x14ac:dyDescent="0.3">
      <c r="A50"/>
    </row>
    <row r="51" spans="1:66" ht="24.9" customHeight="1" x14ac:dyDescent="0.3">
      <c r="A51"/>
      <c r="U51" s="83"/>
    </row>
    <row r="52" spans="1:66" ht="24.9" customHeight="1" x14ac:dyDescent="0.3">
      <c r="A52" s="204"/>
    </row>
  </sheetData>
  <mergeCells count="2">
    <mergeCell ref="X39:Z39"/>
    <mergeCell ref="X40:Z40"/>
  </mergeCells>
  <phoneticPr fontId="80" type="noConversion"/>
  <conditionalFormatting sqref="A32:A34">
    <cfRule type="cellIs" dxfId="1372" priority="1907" operator="equal">
      <formula>"yes"</formula>
    </cfRule>
  </conditionalFormatting>
  <conditionalFormatting sqref="A35:A36">
    <cfRule type="cellIs" dxfId="1371" priority="1906" operator="equal">
      <formula>"yes"</formula>
    </cfRule>
  </conditionalFormatting>
  <conditionalFormatting sqref="A35:A36">
    <cfRule type="cellIs" dxfId="1370" priority="1905" operator="equal">
      <formula>"yes"</formula>
    </cfRule>
  </conditionalFormatting>
  <conditionalFormatting sqref="B42:B43">
    <cfRule type="cellIs" dxfId="1369" priority="1900" operator="equal">
      <formula>"yes"</formula>
    </cfRule>
  </conditionalFormatting>
  <conditionalFormatting sqref="B42:B43">
    <cfRule type="cellIs" dxfId="1368" priority="1899" operator="equal">
      <formula>"yes"</formula>
    </cfRule>
  </conditionalFormatting>
  <conditionalFormatting sqref="AA7:AA30">
    <cfRule type="cellIs" dxfId="1367" priority="1141" operator="equal">
      <formula>"YES3"</formula>
    </cfRule>
    <cfRule type="cellIs" dxfId="1366" priority="1142" operator="equal">
      <formula>"YES4A"</formula>
    </cfRule>
    <cfRule type="cellIs" dxfId="1365" priority="1143" operator="equal">
      <formula>"YES4"</formula>
    </cfRule>
    <cfRule type="cellIs" dxfId="1364" priority="1144" operator="equal">
      <formula>"YES2"</formula>
    </cfRule>
    <cfRule type="cellIs" dxfId="1363" priority="1145" operator="equal">
      <formula>"YES6"</formula>
    </cfRule>
    <cfRule type="cellIs" dxfId="1362" priority="1146" operator="equal">
      <formula>"YES6A"</formula>
    </cfRule>
    <cfRule type="cellIs" dxfId="1361" priority="1147" operator="equal">
      <formula>"YES9"</formula>
    </cfRule>
    <cfRule type="cellIs" dxfId="1360" priority="1148" operator="equal">
      <formula>11</formula>
    </cfRule>
    <cfRule type="cellIs" dxfId="1359" priority="1149" operator="equal">
      <formula>"YES1"</formula>
    </cfRule>
  </conditionalFormatting>
  <conditionalFormatting sqref="U6">
    <cfRule type="cellIs" dxfId="1358" priority="899" operator="greaterThanOrEqual">
      <formula>0.25</formula>
    </cfRule>
  </conditionalFormatting>
  <conditionalFormatting sqref="P3">
    <cfRule type="cellIs" dxfId="1357" priority="892" stopIfTrue="1" operator="greaterThan">
      <formula>0</formula>
    </cfRule>
    <cfRule type="cellIs" dxfId="1356" priority="893" stopIfTrue="1" operator="lessThan">
      <formula>0</formula>
    </cfRule>
  </conditionalFormatting>
  <conditionalFormatting sqref="Q3">
    <cfRule type="cellIs" dxfId="1355" priority="890" operator="equal">
      <formula>"BET"</formula>
    </cfRule>
    <cfRule type="cellIs" dxfId="1354" priority="891" operator="equal">
      <formula>"LAY"</formula>
    </cfRule>
  </conditionalFormatting>
  <conditionalFormatting sqref="U4">
    <cfRule type="cellIs" dxfId="1353" priority="868" operator="lessThan">
      <formula>0</formula>
    </cfRule>
  </conditionalFormatting>
  <conditionalFormatting sqref="D7:D30">
    <cfRule type="cellIs" dxfId="1352" priority="832" operator="lessThanOrEqual">
      <formula>$D$33</formula>
    </cfRule>
  </conditionalFormatting>
  <conditionalFormatting sqref="Z41">
    <cfRule type="cellIs" dxfId="1351" priority="831" operator="lessThan">
      <formula>0</formula>
    </cfRule>
  </conditionalFormatting>
  <conditionalFormatting sqref="B39:B41">
    <cfRule type="cellIs" dxfId="1350" priority="813" operator="equal">
      <formula>"yes"</formula>
    </cfRule>
  </conditionalFormatting>
  <conditionalFormatting sqref="B39:B41">
    <cfRule type="cellIs" dxfId="1349" priority="812" operator="equal">
      <formula>"yes"</formula>
    </cfRule>
  </conditionalFormatting>
  <conditionalFormatting sqref="D37">
    <cfRule type="cellIs" dxfId="1348" priority="810" operator="greaterThanOrEqual">
      <formula>0.95</formula>
    </cfRule>
    <cfRule type="cellIs" dxfId="1347" priority="811" operator="lessThan">
      <formula>0.95</formula>
    </cfRule>
  </conditionalFormatting>
  <conditionalFormatting sqref="B38">
    <cfRule type="cellIs" dxfId="1346" priority="803" operator="equal">
      <formula>"yes"</formula>
    </cfRule>
  </conditionalFormatting>
  <conditionalFormatting sqref="B38">
    <cfRule type="cellIs" dxfId="1345" priority="802" operator="equal">
      <formula>"yes"</formula>
    </cfRule>
  </conditionalFormatting>
  <conditionalFormatting sqref="H6">
    <cfRule type="cellIs" dxfId="1344" priority="708" operator="equal">
      <formula>"SKEW WIN"</formula>
    </cfRule>
    <cfRule type="cellIs" dxfId="1343" priority="709" operator="equal">
      <formula>"BONER"</formula>
    </cfRule>
    <cfRule type="cellIs" dxfId="1342" priority="710" operator="equal">
      <formula>"TOP&amp;TAILS"</formula>
    </cfRule>
  </conditionalFormatting>
  <conditionalFormatting sqref="I6">
    <cfRule type="cellIs" dxfId="1341" priority="705" operator="equal">
      <formula>"SKEW WIN"</formula>
    </cfRule>
    <cfRule type="cellIs" dxfId="1340" priority="706" operator="equal">
      <formula>"BONER"</formula>
    </cfRule>
    <cfRule type="cellIs" dxfId="1339" priority="707" operator="equal">
      <formula>"TOP&amp;TAILS"</formula>
    </cfRule>
  </conditionalFormatting>
  <conditionalFormatting sqref="B32">
    <cfRule type="cellIs" dxfId="1338" priority="660" operator="equal">
      <formula>"yes"</formula>
    </cfRule>
  </conditionalFormatting>
  <conditionalFormatting sqref="B33:B34">
    <cfRule type="cellIs" dxfId="1337" priority="659" operator="equal">
      <formula>"yes"</formula>
    </cfRule>
  </conditionalFormatting>
  <conditionalFormatting sqref="B37">
    <cfRule type="cellIs" dxfId="1336" priority="658" operator="equal">
      <formula>"yes"</formula>
    </cfRule>
  </conditionalFormatting>
  <conditionalFormatting sqref="B37">
    <cfRule type="cellIs" dxfId="1335" priority="657" operator="equal">
      <formula>"yes"</formula>
    </cfRule>
  </conditionalFormatting>
  <conditionalFormatting sqref="B35">
    <cfRule type="cellIs" dxfId="1334" priority="656" operator="equal">
      <formula>"yes"</formula>
    </cfRule>
  </conditionalFormatting>
  <conditionalFormatting sqref="B35">
    <cfRule type="cellIs" dxfId="1333" priority="655" operator="equal">
      <formula>"yes"</formula>
    </cfRule>
  </conditionalFormatting>
  <conditionalFormatting sqref="D6">
    <cfRule type="cellIs" dxfId="1332" priority="628" operator="lessThan">
      <formula>0</formula>
    </cfRule>
  </conditionalFormatting>
  <conditionalFormatting sqref="U5">
    <cfRule type="cellIs" dxfId="1331" priority="488" operator="lessThan">
      <formula>0</formula>
    </cfRule>
    <cfRule type="cellIs" dxfId="1330" priority="489" operator="greaterThanOrEqual">
      <formula>0.99</formula>
    </cfRule>
    <cfRule type="cellIs" dxfId="1329" priority="490" operator="lessThan">
      <formula>0.99</formula>
    </cfRule>
  </conditionalFormatting>
  <conditionalFormatting sqref="E2:G2">
    <cfRule type="cellIs" dxfId="1328" priority="473" operator="lessThan">
      <formula>0</formula>
    </cfRule>
  </conditionalFormatting>
  <conditionalFormatting sqref="B2:B3">
    <cfRule type="cellIs" dxfId="1327" priority="429" operator="lessThan">
      <formula>0</formula>
    </cfRule>
  </conditionalFormatting>
  <conditionalFormatting sqref="B1">
    <cfRule type="cellIs" dxfId="1326" priority="428" operator="lessThan">
      <formula>0</formula>
    </cfRule>
  </conditionalFormatting>
  <conditionalFormatting sqref="D1">
    <cfRule type="cellIs" dxfId="1325" priority="427" operator="lessThan">
      <formula>0</formula>
    </cfRule>
  </conditionalFormatting>
  <conditionalFormatting sqref="D2:D3">
    <cfRule type="cellIs" dxfId="1324" priority="426" operator="lessThan">
      <formula>0</formula>
    </cfRule>
  </conditionalFormatting>
  <conditionalFormatting sqref="J1">
    <cfRule type="cellIs" dxfId="1323" priority="421" operator="greaterThanOrEqual">
      <formula>0.99</formula>
    </cfRule>
    <cfRule type="cellIs" dxfId="1322" priority="422" operator="lessThan">
      <formula>0.99</formula>
    </cfRule>
  </conditionalFormatting>
  <conditionalFormatting sqref="H1:H3">
    <cfRule type="cellIs" dxfId="1321" priority="412" operator="lessThan">
      <formula>0</formula>
    </cfRule>
  </conditionalFormatting>
  <conditionalFormatting sqref="H32">
    <cfRule type="cellIs" dxfId="1320" priority="406" operator="lessThan">
      <formula>8</formula>
    </cfRule>
    <cfRule type="cellIs" dxfId="1319" priority="407" operator="greaterThanOrEqual">
      <formula>8</formula>
    </cfRule>
  </conditionalFormatting>
  <conditionalFormatting sqref="I32:K32">
    <cfRule type="cellIs" dxfId="1318" priority="404" operator="lessThan">
      <formula>8</formula>
    </cfRule>
    <cfRule type="cellIs" dxfId="1317" priority="405" operator="greaterThanOrEqual">
      <formula>8</formula>
    </cfRule>
  </conditionalFormatting>
  <conditionalFormatting sqref="X32">
    <cfRule type="cellIs" dxfId="1316" priority="397" operator="lessThan">
      <formula>$V$32</formula>
    </cfRule>
  </conditionalFormatting>
  <conditionalFormatting sqref="X33">
    <cfRule type="cellIs" dxfId="1315" priority="396" operator="lessThan">
      <formula>$V$33</formula>
    </cfRule>
  </conditionalFormatting>
  <conditionalFormatting sqref="X34">
    <cfRule type="cellIs" dxfId="1314" priority="395" operator="lessThan">
      <formula>$V$34</formula>
    </cfRule>
  </conditionalFormatting>
  <conditionalFormatting sqref="X35">
    <cfRule type="cellIs" dxfId="1313" priority="394" operator="lessThan">
      <formula>$V$35</formula>
    </cfRule>
  </conditionalFormatting>
  <conditionalFormatting sqref="X36">
    <cfRule type="cellIs" dxfId="1312" priority="393" operator="lessThan">
      <formula>$V$36</formula>
    </cfRule>
  </conditionalFormatting>
  <conditionalFormatting sqref="Y32:Y36">
    <cfRule type="cellIs" dxfId="1311" priority="392" operator="lessThan">
      <formula>$V$32</formula>
    </cfRule>
  </conditionalFormatting>
  <conditionalFormatting sqref="V32">
    <cfRule type="cellIs" dxfId="1310" priority="391" operator="lessThan">
      <formula>$V$32</formula>
    </cfRule>
  </conditionalFormatting>
  <conditionalFormatting sqref="V33">
    <cfRule type="cellIs" dxfId="1309" priority="390" operator="lessThan">
      <formula>$V$33</formula>
    </cfRule>
  </conditionalFormatting>
  <conditionalFormatting sqref="V34">
    <cfRule type="cellIs" dxfId="1308" priority="389" operator="lessThan">
      <formula>$V$34</formula>
    </cfRule>
  </conditionalFormatting>
  <conditionalFormatting sqref="V35">
    <cfRule type="cellIs" dxfId="1307" priority="388" operator="lessThan">
      <formula>$V$35</formula>
    </cfRule>
  </conditionalFormatting>
  <conditionalFormatting sqref="V36">
    <cfRule type="cellIs" dxfId="1306" priority="387" operator="lessThan">
      <formula>$V$36</formula>
    </cfRule>
  </conditionalFormatting>
  <conditionalFormatting sqref="AA32:AA36">
    <cfRule type="cellIs" dxfId="1305" priority="386" operator="lessThan">
      <formula>0</formula>
    </cfRule>
  </conditionalFormatting>
  <conditionalFormatting sqref="M7:M30">
    <cfRule type="cellIs" dxfId="1304" priority="352" operator="lessThanOrEqual">
      <formula>$M$6</formula>
    </cfRule>
    <cfRule type="cellIs" dxfId="1303" priority="353" operator="greaterThan">
      <formula>$M$6</formula>
    </cfRule>
  </conditionalFormatting>
  <conditionalFormatting sqref="M6">
    <cfRule type="cellIs" dxfId="1302" priority="338" operator="equal">
      <formula>"UNDERS"</formula>
    </cfRule>
    <cfRule type="cellIs" dxfId="1301" priority="339" operator="equal">
      <formula>"OVERS"</formula>
    </cfRule>
  </conditionalFormatting>
  <conditionalFormatting sqref="Z7:Z30">
    <cfRule type="cellIs" dxfId="1300" priority="320" operator="equal">
      <formula>"YES3"</formula>
    </cfRule>
    <cfRule type="cellIs" dxfId="1299" priority="321" operator="equal">
      <formula>"YES2"</formula>
    </cfRule>
    <cfRule type="cellIs" dxfId="1298" priority="322" operator="equal">
      <formula>"YES6"</formula>
    </cfRule>
    <cfRule type="cellIs" dxfId="1297" priority="323" operator="equal">
      <formula>"YES1"</formula>
    </cfRule>
  </conditionalFormatting>
  <conditionalFormatting sqref="M2">
    <cfRule type="cellIs" dxfId="1296" priority="317" operator="equal">
      <formula>"q"</formula>
    </cfRule>
  </conditionalFormatting>
  <conditionalFormatting sqref="M1">
    <cfRule type="cellIs" dxfId="1295" priority="316" operator="equal">
      <formula>"q"</formula>
    </cfRule>
  </conditionalFormatting>
  <conditionalFormatting sqref="M3">
    <cfRule type="cellIs" dxfId="1294" priority="319" operator="equal">
      <formula>"q"</formula>
    </cfRule>
  </conditionalFormatting>
  <conditionalFormatting sqref="M4">
    <cfRule type="cellIs" dxfId="1293" priority="318" operator="equal">
      <formula>"q"</formula>
    </cfRule>
  </conditionalFormatting>
  <conditionalFormatting sqref="I3">
    <cfRule type="cellIs" dxfId="1292" priority="304" operator="lessThan">
      <formula>0</formula>
    </cfRule>
    <cfRule type="cellIs" dxfId="1291" priority="305" operator="greaterThanOrEqual">
      <formula>0.99</formula>
    </cfRule>
    <cfRule type="cellIs" dxfId="1290" priority="306" operator="lessThan">
      <formula>0.99</formula>
    </cfRule>
  </conditionalFormatting>
  <conditionalFormatting sqref="J2">
    <cfRule type="cellIs" dxfId="1289" priority="298" operator="greaterThanOrEqual">
      <formula>0.99</formula>
    </cfRule>
    <cfRule type="cellIs" dxfId="1288" priority="299" operator="lessThan">
      <formula>0.99</formula>
    </cfRule>
  </conditionalFormatting>
  <conditionalFormatting sqref="L1">
    <cfRule type="cellIs" dxfId="1287" priority="286" operator="equal">
      <formula>"T3F4"</formula>
    </cfRule>
    <cfRule type="cellIs" dxfId="1286" priority="287" operator="equal">
      <formula>"EXACTA"</formula>
    </cfRule>
    <cfRule type="cellIs" dxfId="1285" priority="288" operator="equal">
      <formula>"AMANDA"</formula>
    </cfRule>
    <cfRule type="cellIs" dxfId="1284" priority="289" operator="equal">
      <formula>"QUINELLA"</formula>
    </cfRule>
  </conditionalFormatting>
  <conditionalFormatting sqref="H4">
    <cfRule type="cellIs" dxfId="1283" priority="274" operator="lessThan">
      <formula>0</formula>
    </cfRule>
  </conditionalFormatting>
  <conditionalFormatting sqref="H35:J35">
    <cfRule type="cellIs" dxfId="1282" priority="270" operator="equal">
      <formula>"F4 IN FIELD"</formula>
    </cfRule>
    <cfRule type="cellIs" dxfId="1281" priority="271" operator="equal">
      <formula>"QUINELLA"</formula>
    </cfRule>
  </conditionalFormatting>
  <conditionalFormatting sqref="J7:J30">
    <cfRule type="cellIs" dxfId="1280" priority="266" operator="lessThanOrEqual">
      <formula>$J$36</formula>
    </cfRule>
    <cfRule type="cellIs" dxfId="1279" priority="267" operator="between">
      <formula>$J$34</formula>
      <formula>$J$38</formula>
    </cfRule>
  </conditionalFormatting>
  <conditionalFormatting sqref="K7:K30">
    <cfRule type="cellIs" dxfId="1278" priority="260" operator="lessThanOrEqual">
      <formula>$K$36</formula>
    </cfRule>
    <cfRule type="cellIs" dxfId="1277" priority="261" operator="lessThanOrEqual">
      <formula>$K$34</formula>
    </cfRule>
  </conditionalFormatting>
  <conditionalFormatting sqref="H7:H30">
    <cfRule type="cellIs" dxfId="1276" priority="248" operator="greaterThan">
      <formula>$H$37</formula>
    </cfRule>
    <cfRule type="cellIs" dxfId="1275" priority="250" operator="lessThanOrEqual">
      <formula>$H$34</formula>
    </cfRule>
  </conditionalFormatting>
  <conditionalFormatting sqref="I7:I30">
    <cfRule type="cellIs" dxfId="1274" priority="247" operator="greaterThan">
      <formula>$I$39</formula>
    </cfRule>
    <cfRule type="cellIs" dxfId="1273" priority="249" operator="lessThanOrEqual">
      <formula>$I$34</formula>
    </cfRule>
  </conditionalFormatting>
  <conditionalFormatting sqref="J6">
    <cfRule type="cellIs" dxfId="1272" priority="164" operator="lessThan">
      <formula>0</formula>
    </cfRule>
  </conditionalFormatting>
  <conditionalFormatting sqref="J3">
    <cfRule type="cellIs" dxfId="1271" priority="162" operator="greaterThanOrEqual">
      <formula>0.99</formula>
    </cfRule>
    <cfRule type="cellIs" dxfId="1270" priority="163" operator="lessThan">
      <formula>0.99</formula>
    </cfRule>
  </conditionalFormatting>
  <conditionalFormatting sqref="L3">
    <cfRule type="cellIs" dxfId="1269" priority="161" operator="greaterThanOrEqual">
      <formula>0.25</formula>
    </cfRule>
  </conditionalFormatting>
  <conditionalFormatting sqref="L4">
    <cfRule type="cellIs" dxfId="1268" priority="160" operator="greaterThan">
      <formula>0.3</formula>
    </cfRule>
  </conditionalFormatting>
  <conditionalFormatting sqref="K6">
    <cfRule type="cellIs" dxfId="1267" priority="159" operator="equal">
      <formula>"&lt;   MEAN"</formula>
    </cfRule>
  </conditionalFormatting>
  <conditionalFormatting sqref="C6">
    <cfRule type="cellIs" dxfId="1266" priority="142" operator="equal">
      <formula>"&lt;   MEAN"</formula>
    </cfRule>
  </conditionalFormatting>
  <conditionalFormatting sqref="A7:A30">
    <cfRule type="cellIs" dxfId="1265" priority="134" operator="equal">
      <formula>"yes"</formula>
    </cfRule>
  </conditionalFormatting>
  <conditionalFormatting sqref="U1:U4">
    <cfRule type="cellIs" dxfId="1264" priority="125" operator="lessThan">
      <formula>0</formula>
    </cfRule>
  </conditionalFormatting>
  <conditionalFormatting sqref="I4">
    <cfRule type="cellIs" dxfId="1263" priority="122" operator="lessThan">
      <formula>0</formula>
    </cfRule>
    <cfRule type="cellIs" dxfId="1262" priority="123" operator="greaterThanOrEqual">
      <formula>0.99</formula>
    </cfRule>
    <cfRule type="cellIs" dxfId="1261" priority="124" operator="lessThan">
      <formula>0.99</formula>
    </cfRule>
  </conditionalFormatting>
  <conditionalFormatting sqref="AG2:AJ2">
    <cfRule type="cellIs" dxfId="1260" priority="111" operator="equal">
      <formula>"SPIKE"</formula>
    </cfRule>
  </conditionalFormatting>
  <conditionalFormatting sqref="AF2">
    <cfRule type="cellIs" dxfId="1259" priority="103" operator="equal">
      <formula>"SPIKE"</formula>
    </cfRule>
  </conditionalFormatting>
  <conditionalFormatting sqref="AK2">
    <cfRule type="cellIs" dxfId="1258" priority="97" operator="equal">
      <formula>"SPIKE"</formula>
    </cfRule>
  </conditionalFormatting>
  <conditionalFormatting sqref="AL2">
    <cfRule type="cellIs" dxfId="1257" priority="96" operator="equal">
      <formula>"SPIKE"</formula>
    </cfRule>
  </conditionalFormatting>
  <conditionalFormatting sqref="AL36">
    <cfRule type="cellIs" dxfId="1256" priority="94" operator="equal">
      <formula>"SPIKE"</formula>
    </cfRule>
  </conditionalFormatting>
  <conditionalFormatting sqref="J4">
    <cfRule type="cellIs" dxfId="1255" priority="88" operator="greaterThanOrEqual">
      <formula>0.99</formula>
    </cfRule>
    <cfRule type="cellIs" dxfId="1254" priority="89" operator="lessThan">
      <formula>0.99</formula>
    </cfRule>
  </conditionalFormatting>
  <conditionalFormatting sqref="K35">
    <cfRule type="cellIs" dxfId="1253" priority="80" operator="equal">
      <formula>"F4 IN FIELD"</formula>
    </cfRule>
    <cfRule type="cellIs" dxfId="1252" priority="81" operator="equal">
      <formula>"QUINELLA"</formula>
    </cfRule>
  </conditionalFormatting>
  <conditionalFormatting sqref="L6">
    <cfRule type="cellIs" dxfId="1251" priority="25" operator="equal">
      <formula>"UNDERS"</formula>
    </cfRule>
    <cfRule type="cellIs" dxfId="1250" priority="26" operator="equal">
      <formula>"OVERS"</formula>
    </cfRule>
  </conditionalFormatting>
  <conditionalFormatting sqref="A6">
    <cfRule type="cellIs" dxfId="1249" priority="24" operator="equal">
      <formula>"DATA ERROR"</formula>
    </cfRule>
  </conditionalFormatting>
  <conditionalFormatting sqref="BH4">
    <cfRule type="cellIs" dxfId="1248" priority="5" operator="equal">
      <formula>"TAN"</formula>
    </cfRule>
    <cfRule type="cellIs" dxfId="1247" priority="6" operator="equal">
      <formula>"LITEGREEN"</formula>
    </cfRule>
    <cfRule type="cellIs" dxfId="1246" priority="7" operator="equal">
      <formula>"ROUGE"</formula>
    </cfRule>
    <cfRule type="cellIs" dxfId="1245" priority="8" operator="equal">
      <formula>"LITEBROWN"</formula>
    </cfRule>
    <cfRule type="cellIs" dxfId="1244" priority="9" operator="equal">
      <formula>"GREEN"</formula>
    </cfRule>
    <cfRule type="cellIs" dxfId="1243" priority="10" operator="equal">
      <formula>"LITEBLUE"</formula>
    </cfRule>
    <cfRule type="cellIs" dxfId="1242" priority="11" operator="equal">
      <formula>"RED"</formula>
    </cfRule>
    <cfRule type="cellIs" dxfId="1241" priority="12" operator="equal">
      <formula>"BROWN"</formula>
    </cfRule>
    <cfRule type="cellIs" dxfId="1240" priority="13" operator="equal">
      <formula>"ORANGE"</formula>
    </cfRule>
    <cfRule type="cellIs" dxfId="1239" priority="14" operator="equal">
      <formula>"BLUE"</formula>
    </cfRule>
  </conditionalFormatting>
  <conditionalFormatting sqref="K3">
    <cfRule type="cellIs" dxfId="1238" priority="1" operator="equal">
      <formula>"T3F4"</formula>
    </cfRule>
    <cfRule type="cellIs" dxfId="1237" priority="2" operator="equal">
      <formula>"EXACTA"</formula>
    </cfRule>
    <cfRule type="cellIs" dxfId="1236" priority="3" operator="equal">
      <formula>"AMANDA"</formula>
    </cfRule>
    <cfRule type="cellIs" dxfId="1235" priority="4" operator="equal">
      <formula>"ALLUP"</formula>
    </cfRule>
  </conditionalFormatting>
  <dataValidations disablePrompts="1" count="1">
    <dataValidation type="list" operator="equal" allowBlank="1" showInputMessage="1" showErrorMessage="1" sqref="AW5" xr:uid="{3501922D-BD10-40E2-983A-459ADCCBCD0F}">
      <formula1>$AX$4:$AX$5</formula1>
    </dataValidation>
  </dataValidations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CSV.CopyCSV">
                <anchor moveWithCells="1" sizeWithCells="1">
                  <from>
                    <xdr:col>20</xdr:col>
                    <xdr:colOff>1074420</xdr:colOff>
                    <xdr:row>0</xdr:row>
                    <xdr:rowOff>15240</xdr:rowOff>
                  </from>
                  <to>
                    <xdr:col>23</xdr:col>
                    <xdr:colOff>1341120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esult">
                <anchor moveWithCells="1" sizeWithCells="1">
                  <from>
                    <xdr:col>24</xdr:col>
                    <xdr:colOff>15240</xdr:colOff>
                    <xdr:row>0</xdr:row>
                    <xdr:rowOff>38100</xdr:rowOff>
                  </from>
                  <to>
                    <xdr:col>27</xdr:col>
                    <xdr:colOff>30480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Y4" sqref="Y4:Y5"/>
      <selection pane="topRight" activeCell="Y4" sqref="Y4:Y5"/>
      <selection pane="bottomLeft" activeCell="Y4" sqref="Y4:Y5"/>
      <selection pane="bottomRight" activeCell="D7" sqref="D7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4414062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7" ht="39.9" customHeight="1" x14ac:dyDescent="0.3">
      <c r="A1" s="154" t="s">
        <v>238</v>
      </c>
      <c r="B1" s="145">
        <f>((D3)*(D3-1))/2</f>
        <v>15</v>
      </c>
      <c r="C1" s="145" t="s">
        <v>239</v>
      </c>
      <c r="D1" s="145">
        <f>ROUNDDOWN($W$33,0)</f>
        <v>2</v>
      </c>
      <c r="E1" s="155"/>
      <c r="F1" s="155"/>
      <c r="G1" s="155"/>
      <c r="H1" s="156">
        <f>IF(ISERROR(D1/B1)," ",(D1/B1))</f>
        <v>0.13333333333333333</v>
      </c>
      <c r="I1" s="150" t="s">
        <v>257</v>
      </c>
      <c r="J1" s="150" t="s">
        <v>258</v>
      </c>
      <c r="K1" s="150" t="s">
        <v>262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7</v>
      </c>
      <c r="V1" s="170" t="s">
        <v>271</v>
      </c>
      <c r="W1" s="163">
        <f>Y1/$B$5</f>
        <v>0</v>
      </c>
      <c r="X1" s="108">
        <f>RANK(W1,$W$1:$W$4,0)</f>
        <v>2</v>
      </c>
      <c r="Y1" s="152">
        <f>COUNTIF($Y$7:$Y$30,"YES6")+COUNTIF($Y$7:$Y$30,"YES6A")+COUNTIF($Y$7:$Y$30,"YES9")</f>
        <v>0</v>
      </c>
      <c r="Z1" s="84"/>
    </row>
    <row r="2" spans="1:27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-13</v>
      </c>
      <c r="E2" s="157"/>
      <c r="F2" s="157"/>
      <c r="G2" s="157"/>
      <c r="H2" s="145" t="s">
        <v>311</v>
      </c>
      <c r="I2" s="145">
        <f>'SPORTSBET FIXED ODDS FOR PARLAY'!$I$2</f>
        <v>22</v>
      </c>
      <c r="J2" s="145">
        <v>79</v>
      </c>
      <c r="K2" s="145">
        <f>ROUNDUP(MEDIAN(X7:X30),0)</f>
        <v>6</v>
      </c>
      <c r="L2" s="145">
        <f>SUM(L7:L47)</f>
        <v>28</v>
      </c>
      <c r="M2" s="80">
        <f>SUM(M7:M47)</f>
        <v>215.83333333333334</v>
      </c>
      <c r="N2" s="85">
        <f>SUM(N7:N47)</f>
        <v>1</v>
      </c>
      <c r="O2" s="86">
        <f>L3-O3</f>
        <v>33</v>
      </c>
      <c r="P2" s="81"/>
      <c r="Q2" s="81">
        <f>SUM(Q17:Q47)</f>
        <v>0</v>
      </c>
      <c r="R2" s="87">
        <f>AVERAGE(R7:R47)</f>
        <v>-10.733590733590733</v>
      </c>
      <c r="S2" s="82"/>
      <c r="T2" s="170" t="s">
        <v>274</v>
      </c>
      <c r="U2" s="171">
        <f>_xlfn.STDEV.P(X1:X4)</f>
        <v>0.4330127018922193</v>
      </c>
      <c r="V2" s="170" t="s">
        <v>272</v>
      </c>
      <c r="W2" s="165">
        <f>Y2/$B$5</f>
        <v>1</v>
      </c>
      <c r="X2" s="108">
        <f>RANK(W2,$W$1:$W$4,0)</f>
        <v>1</v>
      </c>
      <c r="Y2" s="152">
        <f>COUNTIF($Y$7:$Y$30,"YES4")+COUNTIF($Y$7:$Y$30,"YES4A")+COUNTIF($Y$7:$Y$30,"YES2")</f>
        <v>6</v>
      </c>
    </row>
    <row r="3" spans="1:27" ht="39.9" customHeight="1" x14ac:dyDescent="0.3">
      <c r="A3" s="154" t="s">
        <v>259</v>
      </c>
      <c r="B3" s="145">
        <f>MEDIAN(L7:L30)</f>
        <v>5.5</v>
      </c>
      <c r="C3" s="151" t="s">
        <v>260</v>
      </c>
      <c r="D3" s="145">
        <f>D32</f>
        <v>6</v>
      </c>
      <c r="E3" s="78"/>
      <c r="F3" s="78"/>
      <c r="G3" s="78"/>
      <c r="H3" s="151" t="str">
        <f>'Dashboard '!$CB$29</f>
        <v>trim</v>
      </c>
      <c r="I3" s="151">
        <f>'Dashboard '!$BZ$29</f>
        <v>0</v>
      </c>
      <c r="J3" s="207">
        <f>'Dashboard '!$DG$1</f>
        <v>111</v>
      </c>
      <c r="K3" s="151">
        <f>ROUNDUP(MEDIAN(X7:X30),0)</f>
        <v>6</v>
      </c>
      <c r="L3" s="160">
        <v>20</v>
      </c>
      <c r="M3" s="80" t="s">
        <v>7</v>
      </c>
      <c r="N3" s="80"/>
      <c r="O3" s="86">
        <f>$T$5</f>
        <v>-13</v>
      </c>
      <c r="P3" s="89" t="str">
        <f>IF(R3&lt;0, "LAY","BET")</f>
        <v>LAY</v>
      </c>
      <c r="Q3" s="90" t="s">
        <v>6</v>
      </c>
      <c r="R3" s="89">
        <f>V5</f>
        <v>-13</v>
      </c>
      <c r="S3" s="82"/>
      <c r="T3" s="170" t="s">
        <v>275</v>
      </c>
      <c r="U3" s="171">
        <f>AVERAGE(X1:X4)</f>
        <v>1.75</v>
      </c>
      <c r="V3" s="170" t="s">
        <v>267</v>
      </c>
      <c r="W3" s="163">
        <f t="shared" ref="W3" si="0">Y3/$B$5</f>
        <v>0</v>
      </c>
      <c r="X3" s="108">
        <f>RANK(W3,$W$1:$W$4,0)</f>
        <v>2</v>
      </c>
      <c r="Y3" s="152">
        <f>COUNTIF($Y$7:$Y$30,"YES3")</f>
        <v>0</v>
      </c>
      <c r="Z3" s="91"/>
    </row>
    <row r="4" spans="1:27" ht="39.9" customHeight="1" x14ac:dyDescent="0.45">
      <c r="A4" s="154" t="s">
        <v>241</v>
      </c>
      <c r="B4" s="151" t="s">
        <v>29</v>
      </c>
      <c r="C4" s="151" t="s">
        <v>242</v>
      </c>
      <c r="D4" s="145">
        <f>AVERAGE(MIN(L7:L30))</f>
        <v>1</v>
      </c>
      <c r="E4" s="78"/>
      <c r="F4" s="78"/>
      <c r="G4" s="78"/>
      <c r="H4" s="145">
        <f>B1-D1</f>
        <v>13</v>
      </c>
      <c r="I4" s="156">
        <f>IF(ISERROR(1-(H4/B1))," ",(1-(H4/B1)))</f>
        <v>0.1333333333333333</v>
      </c>
      <c r="J4" s="151" t="s">
        <v>557</v>
      </c>
      <c r="K4" s="160" t="str">
        <f>'cluster'!$CN$16</f>
        <v>SMALL</v>
      </c>
      <c r="L4" s="160">
        <f>ROUNDUP('cluster'!$CK$22,0)</f>
        <v>6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6</v>
      </c>
      <c r="U4" s="94">
        <f>COUNTIF(U7:U30,"&gt;0")</f>
        <v>6</v>
      </c>
      <c r="V4" s="170" t="s">
        <v>270</v>
      </c>
      <c r="W4" s="164">
        <f>Y4/$B$5</f>
        <v>0</v>
      </c>
      <c r="X4" s="108">
        <f>RANK(W4,$W$1:$W$4,0)</f>
        <v>2</v>
      </c>
      <c r="Y4" s="152">
        <f>COUNTIF($Y$7:$Y$30,"11")+COUNTIF($Y$7:$Y$30,"YES1")</f>
        <v>0</v>
      </c>
      <c r="AA4" s="148"/>
    </row>
    <row r="5" spans="1:27" ht="24.9" customHeight="1" x14ac:dyDescent="0.3">
      <c r="A5" s="95">
        <f>D3/B5</f>
        <v>1</v>
      </c>
      <c r="B5" s="96">
        <f>H32</f>
        <v>6</v>
      </c>
      <c r="C5" s="428"/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-0.52173913043478259</v>
      </c>
      <c r="M5" s="98"/>
      <c r="N5" s="99"/>
      <c r="O5" s="99"/>
      <c r="P5" s="99"/>
      <c r="Q5" s="99"/>
      <c r="R5" s="97"/>
      <c r="S5" s="82"/>
      <c r="T5" s="100">
        <f>U5-T6</f>
        <v>-13</v>
      </c>
      <c r="U5" s="101">
        <f>MIN(U7:U30)</f>
        <v>10</v>
      </c>
      <c r="V5" s="101">
        <f>MIN(V7:V30)</f>
        <v>-13</v>
      </c>
      <c r="W5" s="102">
        <f>MEDIAN(W7:W30)</f>
        <v>-0.52173913043478259</v>
      </c>
      <c r="X5" s="152" t="s">
        <v>263</v>
      </c>
      <c r="Y5" s="152" t="s">
        <v>264</v>
      </c>
    </row>
    <row r="6" spans="1:27" ht="38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RISKY QUINELLA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IF(L5&lt;=0.199,"UNDERS","OVERS")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23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7" ht="18.899999999999999" customHeight="1" x14ac:dyDescent="0.3">
      <c r="A7" s="119" t="str">
        <f>IF(D7=" "," ","YES2")</f>
        <v>YES2</v>
      </c>
      <c r="B7" s="109">
        <v>1</v>
      </c>
      <c r="C7" s="110" t="str">
        <f>IF(ISERROR(VLOOKUP(B7,'Raw Data'!$A$3:$EA$30,2,0))," ",VLOOKUP(B7,'Raw Data'!$A$3:$EA$30,2,0))</f>
        <v>I Do Care</v>
      </c>
      <c r="D7" s="132">
        <f>IFERROR(VLOOKUP($B7,'cluster'!$A$20:$CI$45,87,0)," ")</f>
        <v>6</v>
      </c>
      <c r="E7" s="111">
        <f>IF(ISERROR(STANDARDIZE(D7,D$33,D$36))," ",(STANDARDIZE(D7,D$33,D$36)))</f>
        <v>0.50156986257551894</v>
      </c>
      <c r="F7" s="111">
        <f>IF(E7=" "," ",($E7-$D$38)^2)</f>
        <v>2.8551371529438208</v>
      </c>
      <c r="G7" s="112">
        <f>IF(E7=" "," ",($E7-$D$39)^2)</f>
        <v>0.85355836249611028</v>
      </c>
      <c r="H7" s="113">
        <f>IFERROR(RANK(F7,F$7:F$30,1)," ")</f>
        <v>4</v>
      </c>
      <c r="I7" s="113">
        <f>IFERROR(RANK(G7,G$7:G$30,1)," ")</f>
        <v>3</v>
      </c>
      <c r="J7" s="166">
        <f>IFERROR(RANK(D7,$D$7:$D$30,1)," ")</f>
        <v>4</v>
      </c>
      <c r="K7" s="169">
        <f>IF(ISERROR(ROUNDUP(AVERAGE(H7:I7),0))," ",ROUNDUP(AVERAGE(H7:I7),0))</f>
        <v>4</v>
      </c>
      <c r="L7" s="146">
        <f>IF($A7="YES2",$D7,IF($A7="YES3",$D7," "))</f>
        <v>6</v>
      </c>
      <c r="M7" s="114">
        <f t="shared" ref="M7:M30" si="1">IF(ISERROR(100/L7),0,100/L7)</f>
        <v>16.666666666666668</v>
      </c>
      <c r="N7" s="115">
        <f t="shared" ref="N7:N30" si="2">M7/$M$2</f>
        <v>7.7220077220077218E-2</v>
      </c>
      <c r="O7" s="114">
        <f>IF(ISERROR($L$2/L7),0,$L$2/L7)</f>
        <v>4.666666666666667</v>
      </c>
      <c r="P7" s="116">
        <f>L7*O7</f>
        <v>28</v>
      </c>
      <c r="Q7" s="116">
        <f>N7*$L$3</f>
        <v>1.5444015444015444</v>
      </c>
      <c r="R7" s="117">
        <f>IF(ISERROR(IF(L7&gt;0,(Q7*L7)-$L$3,0))," ",IF(L7&gt;0,(Q7*L7)-$L$3,0))</f>
        <v>-10.733590733590734</v>
      </c>
      <c r="S7" s="82"/>
      <c r="T7" s="118">
        <f>IF(Q7&gt;0,ROUNDUP(Q7,0)," ")</f>
        <v>2</v>
      </c>
      <c r="U7" s="119">
        <f>IF(ISERROR(T7*L7)," ",T7*L7)</f>
        <v>12</v>
      </c>
      <c r="V7" s="119">
        <f>IF(ISERROR(U7-$T$6)," ",U7-$T$6)</f>
        <v>-11</v>
      </c>
      <c r="W7" s="120">
        <f>IF(ISERROR((U7-$T$6)/$T$6)," ",(U7-$T$6)/$T$6)</f>
        <v>-0.47826086956521741</v>
      </c>
      <c r="X7" s="119">
        <f>D7</f>
        <v>6</v>
      </c>
      <c r="Y7" s="119" t="str">
        <f>IF(C7&lt;&gt;" ",A7," ")</f>
        <v>YES2</v>
      </c>
      <c r="Z7" s="223">
        <f>IF(ISERROR(VLOOKUP($B7,'Raw Data'!$A$3:$DY$29,129,FALSE))," ",VLOOKUP($B7,'Raw Data'!$A$3:$DY$29,129,FALSE))</f>
        <v>4</v>
      </c>
    </row>
    <row r="8" spans="1:27" ht="18.899999999999999" customHeight="1" x14ac:dyDescent="0.3">
      <c r="A8" s="119" t="str">
        <f t="shared" ref="A8:A30" si="3">IF(D8=" "," ","YES2")</f>
        <v>YES2</v>
      </c>
      <c r="B8" s="109">
        <v>2</v>
      </c>
      <c r="C8" s="110" t="str">
        <f>IF(ISERROR(VLOOKUP(B8,'Raw Data'!$A$3:$EA$30,2,0))," ",VLOOKUP(B8,'Raw Data'!$A$3:$EA$30,2,0))</f>
        <v>Brave Dazzler</v>
      </c>
      <c r="D8" s="132">
        <f>IFERROR(VLOOKUP($B8,'cluster'!$A$20:$CI$45,87,0)," ")</f>
        <v>2</v>
      </c>
      <c r="E8" s="111">
        <f t="shared" ref="E8:E30" si="4">IF(ISERROR(STANDARDIZE(D8,D$33,D$36))," ",(STANDARDIZE(D8,D$33,D$36)))</f>
        <v>-1.0031397251510383</v>
      </c>
      <c r="F8" s="111">
        <f t="shared" ref="F8:F30" si="5">IF(E8=" "," ",($E8-$D$38)^2)</f>
        <v>3.4227043269644694E-2</v>
      </c>
      <c r="G8" s="112">
        <f t="shared" ref="G8:G30" si="6">IF(E8=" "," ",($E8-$D$39)^2)</f>
        <v>0.3373604272878501</v>
      </c>
      <c r="H8" s="113">
        <f t="shared" ref="H8:H30" si="7">IFERROR(RANK(F8,F$7:F$30,1)," ")</f>
        <v>1</v>
      </c>
      <c r="I8" s="113">
        <f t="shared" ref="I8:I30" si="8">IFERROR(RANK(G8,G$7:G$30,1)," ")</f>
        <v>2</v>
      </c>
      <c r="J8" s="166">
        <f t="shared" ref="J8:J30" si="9">IFERROR(RANK(D8,$D$7:$D$30,1)," ")</f>
        <v>2</v>
      </c>
      <c r="K8" s="169">
        <f t="shared" ref="K8:K30" si="10">IF(ISERROR(ROUNDUP(AVERAGE(H8:I8),0))," ",ROUNDUP(AVERAGE(H8:I8),0))</f>
        <v>2</v>
      </c>
      <c r="L8" s="146">
        <f t="shared" ref="L8:L30" si="11">IF($A8="YES2",$D8,IF($A8="YES3",$D8," "))</f>
        <v>2</v>
      </c>
      <c r="M8" s="114">
        <f t="shared" si="1"/>
        <v>50</v>
      </c>
      <c r="N8" s="115">
        <f t="shared" si="2"/>
        <v>0.23166023166023164</v>
      </c>
      <c r="O8" s="114">
        <f t="shared" ref="O8:O22" si="12">IF(ISERROR($L$2/L8),0,$L$2/L8)</f>
        <v>14</v>
      </c>
      <c r="P8" s="116">
        <f t="shared" ref="P8:P22" si="13">L8*O8</f>
        <v>28</v>
      </c>
      <c r="Q8" s="116">
        <f t="shared" ref="Q8:Q22" si="14">N8*$L$3</f>
        <v>4.6332046332046328</v>
      </c>
      <c r="R8" s="117">
        <f t="shared" ref="R8:R22" si="15">IF(ISERROR(IF(L8&gt;0,(Q8*L8)-$L$3,0))," ",IF(L8&gt;0,(Q8*L8)-$L$3,0))</f>
        <v>-10.733590733590734</v>
      </c>
      <c r="S8" s="82"/>
      <c r="T8" s="118">
        <f t="shared" ref="T8:T30" si="16">IF(Q8&gt;0,ROUNDUP(Q8,0)," ")</f>
        <v>5</v>
      </c>
      <c r="U8" s="119">
        <f t="shared" ref="U8:U16" si="17">IF(ISERROR(T8*L8)," ",T8*L8)</f>
        <v>10</v>
      </c>
      <c r="V8" s="119">
        <f t="shared" ref="V8:V16" si="18">IF(ISERROR(U8-$T$6)," ",U8-$T$6)</f>
        <v>-13</v>
      </c>
      <c r="W8" s="120">
        <f>IF(ISERROR((U8-$T$6)/$T$6)," ",(U8-$T$6)/$T$6)</f>
        <v>-0.56521739130434778</v>
      </c>
      <c r="X8" s="119">
        <f t="shared" ref="X8:X30" si="19">D8</f>
        <v>2</v>
      </c>
      <c r="Y8" s="119" t="str">
        <f t="shared" ref="Y8:Y30" si="20">IF(C8&lt;&gt;" ",A8," ")</f>
        <v>YES2</v>
      </c>
      <c r="Z8" s="223">
        <f>IF(ISERROR(VLOOKUP($B8,'Raw Data'!$A$3:$DY$29,129,FALSE))," ",VLOOKUP($B8,'Raw Data'!$A$3:$DY$29,129,FALSE))</f>
        <v>6</v>
      </c>
    </row>
    <row r="9" spans="1:27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Ol' Brown Eyes</v>
      </c>
      <c r="D9" s="132">
        <f>IFERROR(VLOOKUP($B9,'cluster'!$A$20:$CI$45,87,0)," ")</f>
        <v>1</v>
      </c>
      <c r="E9" s="111">
        <f t="shared" si="4"/>
        <v>-1.3793171220826774</v>
      </c>
      <c r="F9" s="111">
        <f t="shared" si="5"/>
        <v>3.6546685662421238E-2</v>
      </c>
      <c r="G9" s="112">
        <f t="shared" si="6"/>
        <v>0.9158581132971052</v>
      </c>
      <c r="H9" s="113">
        <f t="shared" si="7"/>
        <v>2</v>
      </c>
      <c r="I9" s="113">
        <f t="shared" si="8"/>
        <v>5</v>
      </c>
      <c r="J9" s="166">
        <f t="shared" si="9"/>
        <v>1</v>
      </c>
      <c r="K9" s="169">
        <f t="shared" si="10"/>
        <v>4</v>
      </c>
      <c r="L9" s="146">
        <f t="shared" si="11"/>
        <v>1</v>
      </c>
      <c r="M9" s="114">
        <f t="shared" si="1"/>
        <v>100</v>
      </c>
      <c r="N9" s="115">
        <f t="shared" si="2"/>
        <v>0.46332046332046328</v>
      </c>
      <c r="O9" s="114">
        <f t="shared" si="12"/>
        <v>28</v>
      </c>
      <c r="P9" s="116">
        <f t="shared" si="13"/>
        <v>28</v>
      </c>
      <c r="Q9" s="116">
        <f t="shared" si="14"/>
        <v>9.2664092664092657</v>
      </c>
      <c r="R9" s="117">
        <f t="shared" si="15"/>
        <v>-10.733590733590734</v>
      </c>
      <c r="S9" s="82"/>
      <c r="T9" s="118">
        <f t="shared" si="16"/>
        <v>10</v>
      </c>
      <c r="U9" s="119">
        <f t="shared" si="17"/>
        <v>10</v>
      </c>
      <c r="V9" s="119">
        <f t="shared" si="18"/>
        <v>-13</v>
      </c>
      <c r="W9" s="120">
        <f t="shared" ref="W9:W30" si="21">IF(ISERROR((U9-$T$6)/$T$6)," ",(U9-$T$6)/$T$6)</f>
        <v>-0.56521739130434778</v>
      </c>
      <c r="X9" s="119">
        <f t="shared" si="19"/>
        <v>1</v>
      </c>
      <c r="Y9" s="119" t="str">
        <f t="shared" si="20"/>
        <v>YES2</v>
      </c>
      <c r="Z9" s="223">
        <f>IF(ISERROR(VLOOKUP($B9,'Raw Data'!$A$3:$DY$29,129,FALSE))," ",VLOOKUP($B9,'Raw Data'!$A$3:$DY$29,129,FALSE))</f>
        <v>2</v>
      </c>
    </row>
    <row r="10" spans="1:27" ht="18.899999999999999" customHeight="1" x14ac:dyDescent="0.3">
      <c r="A10" s="119" t="str">
        <f t="shared" si="3"/>
        <v xml:space="preserve"> </v>
      </c>
      <c r="B10" s="109">
        <v>4</v>
      </c>
      <c r="C10" s="110" t="str">
        <f>IF(ISERROR(VLOOKUP(B10,'Raw Data'!$A$3:$EA$30,2,0))," ",VLOOKUP(B10,'Raw Data'!$A$3:$EA$30,2,0))</f>
        <v xml:space="preserve"> </v>
      </c>
      <c r="D10" s="132" t="str">
        <f>IFERROR(VLOOKUP($B10,'cluster'!$A$20:$CI$45,87,0)," ")</f>
        <v xml:space="preserve"> </v>
      </c>
      <c r="E10" s="111" t="str">
        <f t="shared" si="4"/>
        <v xml:space="preserve"> </v>
      </c>
      <c r="F10" s="111" t="str">
        <f t="shared" si="5"/>
        <v xml:space="preserve"> </v>
      </c>
      <c r="G10" s="112" t="str">
        <f t="shared" si="6"/>
        <v xml:space="preserve"> </v>
      </c>
      <c r="H10" s="113" t="str">
        <f t="shared" si="7"/>
        <v xml:space="preserve"> </v>
      </c>
      <c r="I10" s="113" t="str">
        <f t="shared" si="8"/>
        <v xml:space="preserve"> </v>
      </c>
      <c r="J10" s="166" t="str">
        <f t="shared" si="9"/>
        <v xml:space="preserve"> </v>
      </c>
      <c r="K10" s="169" t="str">
        <f t="shared" si="10"/>
        <v xml:space="preserve"> </v>
      </c>
      <c r="L10" s="146" t="str">
        <f t="shared" si="11"/>
        <v xml:space="preserve"> </v>
      </c>
      <c r="M10" s="114">
        <f t="shared" si="1"/>
        <v>0</v>
      </c>
      <c r="N10" s="115">
        <f t="shared" si="2"/>
        <v>0</v>
      </c>
      <c r="O10" s="114">
        <f t="shared" si="12"/>
        <v>0</v>
      </c>
      <c r="P10" s="116" t="e">
        <f t="shared" si="13"/>
        <v>#VALUE!</v>
      </c>
      <c r="Q10" s="116">
        <f t="shared" si="14"/>
        <v>0</v>
      </c>
      <c r="R10" s="117" t="str">
        <f t="shared" si="15"/>
        <v xml:space="preserve"> </v>
      </c>
      <c r="S10" s="82"/>
      <c r="T10" s="118" t="str">
        <f t="shared" si="16"/>
        <v xml:space="preserve"> </v>
      </c>
      <c r="U10" s="119" t="str">
        <f t="shared" si="17"/>
        <v xml:space="preserve"> </v>
      </c>
      <c r="V10" s="119" t="str">
        <f t="shared" si="18"/>
        <v xml:space="preserve"> </v>
      </c>
      <c r="W10" s="120" t="str">
        <f t="shared" si="21"/>
        <v xml:space="preserve"> </v>
      </c>
      <c r="X10" s="119" t="str">
        <f t="shared" si="19"/>
        <v xml:space="preserve"> </v>
      </c>
      <c r="Y10" s="119" t="str">
        <f t="shared" si="20"/>
        <v xml:space="preserve"> </v>
      </c>
      <c r="Z10" s="223" t="str">
        <f>IF(ISERROR(VLOOKUP($B10,'Raw Data'!$A$3:$DY$29,129,FALSE))," ",VLOOKUP($B10,'Raw Data'!$A$3:$DY$29,129,FALSE))</f>
        <v xml:space="preserve"> </v>
      </c>
    </row>
    <row r="11" spans="1:27" ht="18.899999999999999" customHeight="1" x14ac:dyDescent="0.3">
      <c r="A11" s="119" t="str">
        <f t="shared" si="3"/>
        <v xml:space="preserve"> </v>
      </c>
      <c r="B11" s="109">
        <v>5</v>
      </c>
      <c r="C11" s="110" t="str">
        <f>IF(ISERROR(VLOOKUP(B11,'Raw Data'!$A$3:$EA$30,2,0))," ",VLOOKUP(B11,'Raw Data'!$A$3:$EA$30,2,0))</f>
        <v>Dragon Street</v>
      </c>
      <c r="D11" s="132" t="str">
        <f>IFERROR(VLOOKUP($B11,'cluster'!$A$20:$CI$45,87,0)," ")</f>
        <v xml:space="preserve"> </v>
      </c>
      <c r="E11" s="111" t="str">
        <f t="shared" si="4"/>
        <v xml:space="preserve"> </v>
      </c>
      <c r="F11" s="111" t="str">
        <f t="shared" si="5"/>
        <v xml:space="preserve"> </v>
      </c>
      <c r="G11" s="112" t="str">
        <f t="shared" si="6"/>
        <v xml:space="preserve"> </v>
      </c>
      <c r="H11" s="113" t="str">
        <f t="shared" si="7"/>
        <v xml:space="preserve"> </v>
      </c>
      <c r="I11" s="113" t="str">
        <f t="shared" si="8"/>
        <v xml:space="preserve"> </v>
      </c>
      <c r="J11" s="166" t="str">
        <f t="shared" si="9"/>
        <v xml:space="preserve"> </v>
      </c>
      <c r="K11" s="169" t="str">
        <f t="shared" si="10"/>
        <v xml:space="preserve"> </v>
      </c>
      <c r="L11" s="146" t="str">
        <f t="shared" si="11"/>
        <v xml:space="preserve"> </v>
      </c>
      <c r="M11" s="114">
        <f t="shared" si="1"/>
        <v>0</v>
      </c>
      <c r="N11" s="115">
        <f t="shared" si="2"/>
        <v>0</v>
      </c>
      <c r="O11" s="114">
        <f t="shared" si="12"/>
        <v>0</v>
      </c>
      <c r="P11" s="116" t="e">
        <f t="shared" si="13"/>
        <v>#VALUE!</v>
      </c>
      <c r="Q11" s="116">
        <f t="shared" si="14"/>
        <v>0</v>
      </c>
      <c r="R11" s="117" t="str">
        <f t="shared" si="15"/>
        <v xml:space="preserve"> </v>
      </c>
      <c r="S11" s="82"/>
      <c r="T11" s="118" t="str">
        <f t="shared" si="16"/>
        <v xml:space="preserve"> </v>
      </c>
      <c r="U11" s="119" t="str">
        <f t="shared" si="17"/>
        <v xml:space="preserve"> </v>
      </c>
      <c r="V11" s="119" t="str">
        <f t="shared" si="18"/>
        <v xml:space="preserve"> </v>
      </c>
      <c r="W11" s="120" t="str">
        <f t="shared" si="21"/>
        <v xml:space="preserve"> </v>
      </c>
      <c r="X11" s="119" t="str">
        <f t="shared" si="19"/>
        <v xml:space="preserve"> </v>
      </c>
      <c r="Y11" s="119" t="str">
        <f t="shared" si="20"/>
        <v xml:space="preserve"> </v>
      </c>
      <c r="Z11" s="223">
        <f>IF(ISERROR(VLOOKUP($B11,'Raw Data'!$A$3:$DY$29,129,FALSE))," ",VLOOKUP($B11,'Raw Data'!$A$3:$DY$29,129,FALSE))</f>
        <v>5</v>
      </c>
    </row>
    <row r="12" spans="1:27" ht="18.899999999999999" customHeight="1" x14ac:dyDescent="0.3">
      <c r="A12" s="119" t="str">
        <f t="shared" si="3"/>
        <v>YES2</v>
      </c>
      <c r="B12" s="109">
        <v>6</v>
      </c>
      <c r="C12" s="110" t="str">
        <f>IF(ISERROR(VLOOKUP(B12,'Raw Data'!$A$3:$EA$30,2,0))," ",VLOOKUP(B12,'Raw Data'!$A$3:$EA$30,2,0))</f>
        <v>Noor Dropper</v>
      </c>
      <c r="D12" s="132">
        <f>IFERROR(VLOOKUP($B12,'cluster'!$A$20:$CI$45,87,0)," ")</f>
        <v>6</v>
      </c>
      <c r="E12" s="111">
        <f t="shared" si="4"/>
        <v>0.50156986257551894</v>
      </c>
      <c r="F12" s="111">
        <f t="shared" si="5"/>
        <v>2.8551371529438208</v>
      </c>
      <c r="G12" s="112">
        <f t="shared" si="6"/>
        <v>0.85355836249611028</v>
      </c>
      <c r="H12" s="113">
        <f t="shared" si="7"/>
        <v>4</v>
      </c>
      <c r="I12" s="113">
        <f t="shared" si="8"/>
        <v>3</v>
      </c>
      <c r="J12" s="166">
        <f t="shared" si="9"/>
        <v>4</v>
      </c>
      <c r="K12" s="169">
        <f t="shared" si="10"/>
        <v>4</v>
      </c>
      <c r="L12" s="146">
        <f t="shared" si="11"/>
        <v>6</v>
      </c>
      <c r="M12" s="114">
        <f t="shared" si="1"/>
        <v>16.666666666666668</v>
      </c>
      <c r="N12" s="115">
        <f t="shared" si="2"/>
        <v>7.7220077220077218E-2</v>
      </c>
      <c r="O12" s="114">
        <f t="shared" si="12"/>
        <v>4.666666666666667</v>
      </c>
      <c r="P12" s="116">
        <f t="shared" si="13"/>
        <v>28</v>
      </c>
      <c r="Q12" s="116">
        <f t="shared" si="14"/>
        <v>1.5444015444015444</v>
      </c>
      <c r="R12" s="117">
        <f t="shared" si="15"/>
        <v>-10.733590733590734</v>
      </c>
      <c r="S12" s="82"/>
      <c r="T12" s="118">
        <f t="shared" si="16"/>
        <v>2</v>
      </c>
      <c r="U12" s="119">
        <f t="shared" si="17"/>
        <v>12</v>
      </c>
      <c r="V12" s="119">
        <f t="shared" si="18"/>
        <v>-11</v>
      </c>
      <c r="W12" s="120">
        <f t="shared" si="21"/>
        <v>-0.47826086956521741</v>
      </c>
      <c r="X12" s="119">
        <f t="shared" si="19"/>
        <v>6</v>
      </c>
      <c r="Y12" s="119" t="str">
        <f t="shared" si="20"/>
        <v>YES2</v>
      </c>
      <c r="Z12" s="223">
        <f>IF(ISERROR(VLOOKUP($B12,'Raw Data'!$A$3:$DY$29,129,FALSE))," ",VLOOKUP($B12,'Raw Data'!$A$3:$DY$29,129,FALSE))</f>
        <v>1</v>
      </c>
    </row>
    <row r="13" spans="1:27" ht="18.899999999999999" customHeight="1" x14ac:dyDescent="0.3">
      <c r="A13" s="119" t="str">
        <f t="shared" si="3"/>
        <v>YES2</v>
      </c>
      <c r="B13" s="109">
        <v>7</v>
      </c>
      <c r="C13" s="110" t="str">
        <f>IF(ISERROR(VLOOKUP(B13,'Raw Data'!$A$3:$EA$30,2,0))," ",VLOOKUP(B13,'Raw Data'!$A$3:$EA$30,2,0))</f>
        <v>Golfing</v>
      </c>
      <c r="D13" s="132">
        <f>IFERROR(VLOOKUP($B13,'cluster'!$A$20:$CI$45,87,0)," ")</f>
        <v>8</v>
      </c>
      <c r="E13" s="111">
        <f t="shared" si="4"/>
        <v>1.2539246564387976</v>
      </c>
      <c r="F13" s="111">
        <f t="shared" si="5"/>
        <v>5.9637054153280777</v>
      </c>
      <c r="G13" s="112">
        <f t="shared" si="6"/>
        <v>2.80977053764741</v>
      </c>
      <c r="H13" s="113">
        <f t="shared" si="7"/>
        <v>6</v>
      </c>
      <c r="I13" s="113">
        <f t="shared" si="8"/>
        <v>6</v>
      </c>
      <c r="J13" s="166">
        <f t="shared" si="9"/>
        <v>6</v>
      </c>
      <c r="K13" s="169">
        <f t="shared" si="10"/>
        <v>6</v>
      </c>
      <c r="L13" s="146">
        <f t="shared" si="11"/>
        <v>8</v>
      </c>
      <c r="M13" s="114">
        <f t="shared" si="1"/>
        <v>12.5</v>
      </c>
      <c r="N13" s="115">
        <f t="shared" si="2"/>
        <v>5.791505791505791E-2</v>
      </c>
      <c r="O13" s="114">
        <f t="shared" si="12"/>
        <v>3.5</v>
      </c>
      <c r="P13" s="116">
        <f t="shared" si="13"/>
        <v>28</v>
      </c>
      <c r="Q13" s="116">
        <f t="shared" si="14"/>
        <v>1.1583011583011582</v>
      </c>
      <c r="R13" s="117">
        <f t="shared" si="15"/>
        <v>-10.733590733590734</v>
      </c>
      <c r="S13" s="82"/>
      <c r="T13" s="118">
        <f t="shared" si="16"/>
        <v>2</v>
      </c>
      <c r="U13" s="119">
        <f t="shared" si="17"/>
        <v>16</v>
      </c>
      <c r="V13" s="119">
        <f t="shared" si="18"/>
        <v>-7</v>
      </c>
      <c r="W13" s="120">
        <f t="shared" si="21"/>
        <v>-0.30434782608695654</v>
      </c>
      <c r="X13" s="119">
        <f t="shared" si="19"/>
        <v>8</v>
      </c>
      <c r="Y13" s="119" t="str">
        <f t="shared" si="20"/>
        <v>YES2</v>
      </c>
      <c r="Z13" s="223">
        <f>IF(ISERROR(VLOOKUP($B13,'Raw Data'!$A$3:$DY$29,129,FALSE))," ",VLOOKUP($B13,'Raw Data'!$A$3:$DY$29,129,FALSE))</f>
        <v>7</v>
      </c>
    </row>
    <row r="14" spans="1:27" ht="18.899999999999999" customHeight="1" x14ac:dyDescent="0.3">
      <c r="A14" s="119" t="str">
        <f t="shared" si="3"/>
        <v>YES2</v>
      </c>
      <c r="B14" s="109">
        <v>8</v>
      </c>
      <c r="C14" s="110" t="str">
        <f>IF(ISERROR(VLOOKUP(B14,'Raw Data'!$A$3:$EA$30,2,0))," ",VLOOKUP(B14,'Raw Data'!$A$3:$EA$30,2,0))</f>
        <v>Society Queen</v>
      </c>
      <c r="D14" s="132">
        <f>IFERROR(VLOOKUP($B14,'cluster'!$A$20:$CI$45,87,0)," ")</f>
        <v>5</v>
      </c>
      <c r="E14" s="111">
        <f t="shared" si="4"/>
        <v>0.12539246564387965</v>
      </c>
      <c r="F14" s="111">
        <f t="shared" si="5"/>
        <v>1.7253813236384843</v>
      </c>
      <c r="G14" s="112">
        <f t="shared" si="6"/>
        <v>0.29998057680725299</v>
      </c>
      <c r="H14" s="113">
        <f t="shared" si="7"/>
        <v>3</v>
      </c>
      <c r="I14" s="113">
        <f t="shared" si="8"/>
        <v>1</v>
      </c>
      <c r="J14" s="166">
        <f t="shared" si="9"/>
        <v>3</v>
      </c>
      <c r="K14" s="169">
        <f t="shared" si="10"/>
        <v>2</v>
      </c>
      <c r="L14" s="146">
        <f t="shared" si="11"/>
        <v>5</v>
      </c>
      <c r="M14" s="114">
        <f t="shared" si="1"/>
        <v>20</v>
      </c>
      <c r="N14" s="115">
        <f t="shared" si="2"/>
        <v>9.2664092664092659E-2</v>
      </c>
      <c r="O14" s="114">
        <f t="shared" si="12"/>
        <v>5.6</v>
      </c>
      <c r="P14" s="116">
        <f t="shared" si="13"/>
        <v>28</v>
      </c>
      <c r="Q14" s="116">
        <f t="shared" si="14"/>
        <v>1.8532818532818531</v>
      </c>
      <c r="R14" s="117">
        <f t="shared" si="15"/>
        <v>-10.733590733590734</v>
      </c>
      <c r="S14" s="82"/>
      <c r="T14" s="118">
        <f t="shared" si="16"/>
        <v>2</v>
      </c>
      <c r="U14" s="119">
        <f t="shared" si="17"/>
        <v>10</v>
      </c>
      <c r="V14" s="119">
        <f t="shared" si="18"/>
        <v>-13</v>
      </c>
      <c r="W14" s="120">
        <f t="shared" si="21"/>
        <v>-0.56521739130434778</v>
      </c>
      <c r="X14" s="119">
        <f t="shared" si="19"/>
        <v>5</v>
      </c>
      <c r="Y14" s="119" t="str">
        <f t="shared" si="20"/>
        <v>YES2</v>
      </c>
      <c r="Z14" s="223">
        <f>IF(ISERROR(VLOOKUP($B14,'Raw Data'!$A$3:$DY$29,129,FALSE))," ",VLOOKUP($B14,'Raw Data'!$A$3:$DY$29,129,FALSE))</f>
        <v>3</v>
      </c>
    </row>
    <row r="15" spans="1:27" ht="18.899999999999999" customHeight="1" x14ac:dyDescent="0.3">
      <c r="A15" s="119" t="str">
        <f t="shared" si="3"/>
        <v xml:space="preserve"> </v>
      </c>
      <c r="B15" s="109">
        <v>9</v>
      </c>
      <c r="C15" s="110" t="str">
        <f>IF(ISERROR(VLOOKUP(B15,'Raw Data'!$A$3:$EA$30,2,0))," ",VLOOKUP(B15,'Raw Data'!$A$3:$EA$30,2,0))</f>
        <v>Toecanargie Man</v>
      </c>
      <c r="D15" s="132" t="str">
        <f>IFERROR(VLOOKUP($B15,'cluster'!$A$20:$CI$45,87,0)," ")</f>
        <v xml:space="preserve"> </v>
      </c>
      <c r="E15" s="111" t="str">
        <f t="shared" si="4"/>
        <v xml:space="preserve"> </v>
      </c>
      <c r="F15" s="111" t="str">
        <f t="shared" si="5"/>
        <v xml:space="preserve"> </v>
      </c>
      <c r="G15" s="112" t="str">
        <f t="shared" si="6"/>
        <v xml:space="preserve"> </v>
      </c>
      <c r="H15" s="113" t="str">
        <f t="shared" si="7"/>
        <v xml:space="preserve"> </v>
      </c>
      <c r="I15" s="113" t="str">
        <f t="shared" si="8"/>
        <v xml:space="preserve"> </v>
      </c>
      <c r="J15" s="166" t="str">
        <f t="shared" si="9"/>
        <v xml:space="preserve"> </v>
      </c>
      <c r="K15" s="169" t="str">
        <f t="shared" si="10"/>
        <v xml:space="preserve"> </v>
      </c>
      <c r="L15" s="146" t="str">
        <f t="shared" si="11"/>
        <v xml:space="preserve"> </v>
      </c>
      <c r="M15" s="114">
        <f t="shared" si="1"/>
        <v>0</v>
      </c>
      <c r="N15" s="115">
        <f t="shared" si="2"/>
        <v>0</v>
      </c>
      <c r="O15" s="114">
        <f t="shared" si="12"/>
        <v>0</v>
      </c>
      <c r="P15" s="116" t="e">
        <f t="shared" si="13"/>
        <v>#VALUE!</v>
      </c>
      <c r="Q15" s="116">
        <f t="shared" si="14"/>
        <v>0</v>
      </c>
      <c r="R15" s="117" t="str">
        <f t="shared" si="15"/>
        <v xml:space="preserve"> </v>
      </c>
      <c r="S15" s="82"/>
      <c r="T15" s="118" t="str">
        <f t="shared" si="16"/>
        <v xml:space="preserve"> </v>
      </c>
      <c r="U15" s="119" t="str">
        <f t="shared" si="17"/>
        <v xml:space="preserve"> </v>
      </c>
      <c r="V15" s="119" t="str">
        <f t="shared" si="18"/>
        <v xml:space="preserve"> </v>
      </c>
      <c r="W15" s="120" t="str">
        <f t="shared" si="21"/>
        <v xml:space="preserve"> </v>
      </c>
      <c r="X15" s="119" t="str">
        <f t="shared" si="19"/>
        <v xml:space="preserve"> </v>
      </c>
      <c r="Y15" s="119" t="str">
        <f t="shared" si="20"/>
        <v xml:space="preserve"> </v>
      </c>
      <c r="Z15" s="223">
        <f>IF(ISERROR(VLOOKUP($B15,'Raw Data'!$A$3:$DY$29,129,FALSE))," ",VLOOKUP($B15,'Raw Data'!$A$3:$DY$29,129,FALSE))</f>
        <v>8</v>
      </c>
    </row>
    <row r="16" spans="1:27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32" t="str">
        <f>IFERROR(VLOOKUP($B16,'cluster'!$A$20:$CI$45,87,0)," ")</f>
        <v xml:space="preserve"> </v>
      </c>
      <c r="E16" s="111" t="str">
        <f t="shared" si="4"/>
        <v xml:space="preserve"> </v>
      </c>
      <c r="F16" s="111" t="str">
        <f t="shared" si="5"/>
        <v xml:space="preserve"> </v>
      </c>
      <c r="G16" s="112" t="str">
        <f t="shared" si="6"/>
        <v xml:space="preserve"> </v>
      </c>
      <c r="H16" s="113" t="str">
        <f t="shared" si="7"/>
        <v xml:space="preserve"> </v>
      </c>
      <c r="I16" s="113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32" t="str">
        <f>IFERROR(VLOOKUP($B17,'cluster'!$A$20:$CI$45,87,0)," ")</f>
        <v xml:space="preserve"> </v>
      </c>
      <c r="E17" s="111" t="str">
        <f t="shared" si="4"/>
        <v xml:space="preserve"> </v>
      </c>
      <c r="F17" s="111" t="str">
        <f t="shared" si="5"/>
        <v xml:space="preserve"> </v>
      </c>
      <c r="G17" s="112" t="str">
        <f t="shared" si="6"/>
        <v xml:space="preserve"> </v>
      </c>
      <c r="H17" s="113" t="str">
        <f t="shared" si="7"/>
        <v xml:space="preserve"> </v>
      </c>
      <c r="I17" s="113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32" t="str">
        <f>IFERROR(VLOOKUP($B18,'cluster'!$A$20:$CI$45,87,0)," ")</f>
        <v xml:space="preserve"> </v>
      </c>
      <c r="E18" s="111" t="str">
        <f t="shared" si="4"/>
        <v xml:space="preserve"> </v>
      </c>
      <c r="F18" s="111" t="str">
        <f t="shared" si="5"/>
        <v xml:space="preserve"> </v>
      </c>
      <c r="G18" s="112" t="str">
        <f t="shared" si="6"/>
        <v xml:space="preserve"> </v>
      </c>
      <c r="H18" s="113" t="str">
        <f t="shared" si="7"/>
        <v xml:space="preserve"> </v>
      </c>
      <c r="I18" s="113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32" t="str">
        <f>IFERROR(VLOOKUP($B19,'cluster'!$A$20:$CI$45,87,0)," ")</f>
        <v xml:space="preserve"> </v>
      </c>
      <c r="E19" s="111" t="str">
        <f t="shared" si="4"/>
        <v xml:space="preserve"> </v>
      </c>
      <c r="F19" s="111" t="str">
        <f t="shared" si="5"/>
        <v xml:space="preserve"> </v>
      </c>
      <c r="G19" s="112" t="str">
        <f t="shared" si="6"/>
        <v xml:space="preserve"> </v>
      </c>
      <c r="H19" s="113" t="str">
        <f t="shared" si="7"/>
        <v xml:space="preserve"> </v>
      </c>
      <c r="I19" s="113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32" t="str">
        <f>IFERROR(VLOOKUP($B20,'cluster'!$A$20:$CI$45,87,0)," ")</f>
        <v xml:space="preserve"> </v>
      </c>
      <c r="E20" s="111" t="str">
        <f t="shared" si="4"/>
        <v xml:space="preserve"> </v>
      </c>
      <c r="F20" s="111" t="str">
        <f t="shared" si="5"/>
        <v xml:space="preserve"> </v>
      </c>
      <c r="G20" s="112" t="str">
        <f t="shared" si="6"/>
        <v xml:space="preserve"> </v>
      </c>
      <c r="H20" s="113" t="str">
        <f t="shared" si="7"/>
        <v xml:space="preserve"> </v>
      </c>
      <c r="I20" s="113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32" t="str">
        <f>IFERROR(VLOOKUP($B21,'cluster'!$A$20:$CI$45,87,0)," ")</f>
        <v xml:space="preserve"> </v>
      </c>
      <c r="E21" s="111" t="str">
        <f t="shared" si="4"/>
        <v xml:space="preserve"> </v>
      </c>
      <c r="F21" s="111" t="str">
        <f t="shared" si="5"/>
        <v xml:space="preserve"> </v>
      </c>
      <c r="G21" s="112" t="str">
        <f t="shared" si="6"/>
        <v xml:space="preserve"> </v>
      </c>
      <c r="H21" s="113" t="str">
        <f t="shared" si="7"/>
        <v xml:space="preserve"> </v>
      </c>
      <c r="I21" s="113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32" t="str">
        <f>IFERROR(VLOOKUP($B22,'cluster'!$A$20:$CI$45,87,0)," ")</f>
        <v xml:space="preserve"> </v>
      </c>
      <c r="E22" s="111" t="str">
        <f t="shared" si="4"/>
        <v xml:space="preserve"> </v>
      </c>
      <c r="F22" s="111" t="str">
        <f t="shared" si="5"/>
        <v xml:space="preserve"> </v>
      </c>
      <c r="G22" s="112" t="str">
        <f t="shared" si="6"/>
        <v xml:space="preserve"> </v>
      </c>
      <c r="H22" s="113" t="str">
        <f t="shared" si="7"/>
        <v xml:space="preserve"> </v>
      </c>
      <c r="I22" s="113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32" t="str">
        <f>IFERROR(VLOOKUP($B23,'cluster'!$A$20:$CI$45,87,0)," ")</f>
        <v xml:space="preserve"> </v>
      </c>
      <c r="E23" s="111" t="str">
        <f t="shared" si="4"/>
        <v xml:space="preserve"> </v>
      </c>
      <c r="F23" s="111" t="str">
        <f t="shared" si="5"/>
        <v xml:space="preserve"> </v>
      </c>
      <c r="G23" s="112" t="str">
        <f t="shared" si="6"/>
        <v xml:space="preserve"> </v>
      </c>
      <c r="H23" s="113" t="str">
        <f t="shared" si="7"/>
        <v xml:space="preserve"> </v>
      </c>
      <c r="I23" s="113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 t="shared" si="19"/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32" t="str">
        <f>IFERROR(VLOOKUP($B24,'cluster'!$A$20:$CI$45,87,0)," ")</f>
        <v xml:space="preserve"> </v>
      </c>
      <c r="E24" s="111" t="str">
        <f t="shared" si="4"/>
        <v xml:space="preserve"> </v>
      </c>
      <c r="F24" s="111" t="str">
        <f t="shared" si="5"/>
        <v xml:space="preserve"> </v>
      </c>
      <c r="G24" s="112" t="str">
        <f t="shared" si="6"/>
        <v xml:space="preserve"> </v>
      </c>
      <c r="H24" s="113" t="str">
        <f t="shared" si="7"/>
        <v xml:space="preserve"> </v>
      </c>
      <c r="I24" s="113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32" t="str">
        <f>IFERROR(VLOOKUP($B25,'cluster'!$A$20:$CI$45,87,0)," ")</f>
        <v xml:space="preserve"> </v>
      </c>
      <c r="E25" s="111" t="str">
        <f t="shared" si="4"/>
        <v xml:space="preserve"> </v>
      </c>
      <c r="F25" s="111" t="str">
        <f t="shared" si="5"/>
        <v xml:space="preserve"> </v>
      </c>
      <c r="G25" s="112" t="str">
        <f t="shared" si="6"/>
        <v xml:space="preserve"> </v>
      </c>
      <c r="H25" s="113" t="str">
        <f t="shared" si="7"/>
        <v xml:space="preserve"> </v>
      </c>
      <c r="I25" s="113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32" t="str">
        <f>IFERROR(VLOOKUP($B26,'cluster'!$A$20:$CI$45,87,0)," ")</f>
        <v xml:space="preserve"> </v>
      </c>
      <c r="E26" s="111" t="str">
        <f t="shared" si="4"/>
        <v xml:space="preserve"> </v>
      </c>
      <c r="F26" s="111" t="str">
        <f t="shared" si="5"/>
        <v xml:space="preserve"> </v>
      </c>
      <c r="G26" s="112" t="str">
        <f t="shared" si="6"/>
        <v xml:space="preserve"> </v>
      </c>
      <c r="H26" s="113" t="str">
        <f t="shared" si="7"/>
        <v xml:space="preserve"> </v>
      </c>
      <c r="I26" s="113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32" t="str">
        <f>IFERROR(VLOOKUP($B27,'cluster'!$A$20:$CI$45,87,0)," ")</f>
        <v xml:space="preserve"> </v>
      </c>
      <c r="E27" s="111" t="str">
        <f t="shared" si="4"/>
        <v xml:space="preserve"> </v>
      </c>
      <c r="F27" s="111" t="str">
        <f t="shared" si="5"/>
        <v xml:space="preserve"> </v>
      </c>
      <c r="G27" s="112" t="str">
        <f t="shared" si="6"/>
        <v xml:space="preserve"> </v>
      </c>
      <c r="H27" s="113" t="str">
        <f t="shared" si="7"/>
        <v xml:space="preserve"> </v>
      </c>
      <c r="I27" s="113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32" t="str">
        <f>IFERROR(VLOOKUP($B28,'cluster'!$A$20:$CI$45,87,0)," ")</f>
        <v xml:space="preserve"> </v>
      </c>
      <c r="E28" s="111" t="str">
        <f t="shared" si="4"/>
        <v xml:space="preserve"> </v>
      </c>
      <c r="F28" s="111" t="str">
        <f t="shared" si="5"/>
        <v xml:space="preserve"> </v>
      </c>
      <c r="G28" s="112" t="str">
        <f t="shared" si="6"/>
        <v xml:space="preserve"> </v>
      </c>
      <c r="H28" s="113" t="str">
        <f t="shared" si="7"/>
        <v xml:space="preserve"> </v>
      </c>
      <c r="I28" s="113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32" t="str">
        <f>IFERROR(VLOOKUP($B29,'cluster'!$A$20:$CI$45,87,0)," ")</f>
        <v xml:space="preserve"> </v>
      </c>
      <c r="E29" s="111" t="str">
        <f t="shared" si="4"/>
        <v xml:space="preserve"> </v>
      </c>
      <c r="F29" s="111" t="str">
        <f t="shared" si="5"/>
        <v xml:space="preserve"> </v>
      </c>
      <c r="G29" s="112" t="str">
        <f t="shared" si="6"/>
        <v xml:space="preserve"> </v>
      </c>
      <c r="H29" s="113" t="str">
        <f t="shared" si="7"/>
        <v xml:space="preserve"> </v>
      </c>
      <c r="I29" s="113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32" t="str">
        <f>IFERROR(VLOOKUP($B30,'cluster'!$A$20:$CI$45,87,0)," ")</f>
        <v xml:space="preserve"> </v>
      </c>
      <c r="E30" s="111" t="str">
        <f t="shared" si="4"/>
        <v xml:space="preserve"> </v>
      </c>
      <c r="F30" s="111" t="str">
        <f t="shared" si="5"/>
        <v xml:space="preserve"> </v>
      </c>
      <c r="G30" s="112" t="str">
        <f t="shared" si="6"/>
        <v xml:space="preserve"> </v>
      </c>
      <c r="H30" s="113" t="str">
        <f t="shared" si="7"/>
        <v xml:space="preserve"> </v>
      </c>
      <c r="I30" s="113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6</v>
      </c>
      <c r="E32" s="123"/>
      <c r="F32" s="123"/>
      <c r="G32" s="123"/>
      <c r="H32" s="126">
        <f>COUNT(H7:H30)</f>
        <v>6</v>
      </c>
      <c r="I32" s="126">
        <f>COUNT(I7:I30)</f>
        <v>6</v>
      </c>
      <c r="J32" s="126">
        <f>COUNT(J7:J30)</f>
        <v>6</v>
      </c>
      <c r="K32" s="126">
        <f>COUNT(K7:K30)</f>
        <v>6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6</v>
      </c>
      <c r="V32" s="154" t="s">
        <v>148</v>
      </c>
      <c r="W32" s="159">
        <f>D4</f>
        <v>1</v>
      </c>
    </row>
    <row r="33" spans="1:32" ht="24.9" customHeight="1" x14ac:dyDescent="0.3">
      <c r="A33" s="121"/>
      <c r="B33" s="121"/>
      <c r="C33" s="128" t="s">
        <v>230</v>
      </c>
      <c r="D33" s="111">
        <f>AVERAGE(D7:D30)</f>
        <v>4.666666666666667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15</v>
      </c>
      <c r="V33" s="154" t="s">
        <v>5</v>
      </c>
      <c r="W33" s="159">
        <f>(($D4)*($B3-1))/2</f>
        <v>2.25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5.5</v>
      </c>
      <c r="E34" s="123"/>
      <c r="F34" s="123"/>
      <c r="G34" s="123"/>
      <c r="H34" s="147">
        <f t="shared" ref="H34:J34" si="28">ROUNDDOWN(MEDIAN(H7:H30),0)</f>
        <v>3</v>
      </c>
      <c r="I34" s="147">
        <f t="shared" si="28"/>
        <v>3</v>
      </c>
      <c r="J34" s="147">
        <f t="shared" si="28"/>
        <v>3</v>
      </c>
      <c r="K34" s="147">
        <f>IF(ISERROR(ROUNDDOWN(MEDIAN(H34:I34),0))," ",ROUNDDOWN(MEDIAN(H34:I34),0))</f>
        <v>3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30</v>
      </c>
      <c r="V34" s="159" t="s">
        <v>145</v>
      </c>
      <c r="W34" s="159">
        <f>W33*2</f>
        <v>4.5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0.84848484848484851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120</v>
      </c>
      <c r="V35" s="156" t="s">
        <v>146</v>
      </c>
      <c r="W35" s="159">
        <f>(($D4)*($B3-1)*($B3-2))</f>
        <v>15.75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2.6583202716502519</v>
      </c>
      <c r="E36" s="122"/>
      <c r="F36" s="123"/>
      <c r="G36" s="122"/>
      <c r="H36" s="147">
        <f t="shared" ref="H36:K36" si="29">ROUNDDOWN(STDEVA(H7:H30),0)</f>
        <v>1</v>
      </c>
      <c r="I36" s="147">
        <f t="shared" si="29"/>
        <v>1</v>
      </c>
      <c r="J36" s="147">
        <f t="shared" si="29"/>
        <v>1</v>
      </c>
      <c r="K36" s="147">
        <f t="shared" si="29"/>
        <v>1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360</v>
      </c>
      <c r="V36" s="156" t="s">
        <v>147</v>
      </c>
      <c r="W36" s="159">
        <f>(($D4)*($B3-1)*($B3-2)*($B3-3))</f>
        <v>39.375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0.56964005821076824</v>
      </c>
      <c r="E37" s="122"/>
      <c r="F37" s="123"/>
      <c r="G37" s="122"/>
      <c r="H37" s="147">
        <f t="shared" ref="H37:J37" si="30">H36+H34</f>
        <v>4</v>
      </c>
      <c r="I37" s="147">
        <f t="shared" si="30"/>
        <v>4</v>
      </c>
      <c r="J37" s="147">
        <f t="shared" si="30"/>
        <v>4</v>
      </c>
      <c r="K37" s="147">
        <f>K36+K34</f>
        <v>4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-1.1881452474190093</v>
      </c>
      <c r="E38" s="122"/>
      <c r="F38" s="123"/>
      <c r="G38" s="122"/>
      <c r="H38" s="147">
        <f t="shared" ref="H38:K38" si="31">H34-H36</f>
        <v>2</v>
      </c>
      <c r="I38" s="147">
        <f t="shared" si="31"/>
        <v>2</v>
      </c>
      <c r="J38" s="147">
        <f t="shared" si="31"/>
        <v>2</v>
      </c>
      <c r="K38" s="147">
        <f t="shared" si="31"/>
        <v>2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-0.42231236070627493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0.12633640533602716</v>
      </c>
      <c r="E40" s="122"/>
      <c r="F40" s="123"/>
      <c r="G40" s="122"/>
      <c r="H40" s="431" t="str">
        <f>IF(D40&gt;D41,"SKEW","KURT")</f>
        <v>KURT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>
        <f>(D38/D39)^2</f>
        <v>7.9153748069704779</v>
      </c>
      <c r="E41" s="122"/>
      <c r="F41" s="123"/>
      <c r="G41" s="122"/>
      <c r="H41" s="431" t="str">
        <f>IF(D41&gt;D40,"KURT","SKEW")</f>
        <v>KURT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MEDIAN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0.56964005821076824</v>
      </c>
      <c r="W44" s="140">
        <f>$D$4</f>
        <v>1</v>
      </c>
      <c r="X44" s="141">
        <f>$H$4</f>
        <v>13</v>
      </c>
      <c r="Y44" s="139">
        <f>$X$4</f>
        <v>2</v>
      </c>
      <c r="Z44" s="139" t="str">
        <f>$A$6</f>
        <v>RISKY QUINELLA</v>
      </c>
      <c r="AA44" s="142">
        <f>$AB$31</f>
        <v>0</v>
      </c>
      <c r="AB44" s="139">
        <f>$B$5</f>
        <v>6</v>
      </c>
      <c r="AC44" s="139">
        <f>$D$3</f>
        <v>6</v>
      </c>
      <c r="AD44" s="143">
        <f>$C$5</f>
        <v>0</v>
      </c>
      <c r="AE44" s="142">
        <f>$H$6</f>
        <v>0</v>
      </c>
      <c r="AF44" s="140">
        <f>$B$3</f>
        <v>5.5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sheetProtection selectLockedCells="1"/>
  <mergeCells count="5">
    <mergeCell ref="C5:D5"/>
    <mergeCell ref="H35:K35"/>
    <mergeCell ref="H40:K40"/>
    <mergeCell ref="H41:K41"/>
    <mergeCell ref="C6:K6"/>
  </mergeCells>
  <conditionalFormatting sqref="A44:A47">
    <cfRule type="cellIs" dxfId="1209" priority="469" operator="equal">
      <formula>"yes"</formula>
    </cfRule>
  </conditionalFormatting>
  <conditionalFormatting sqref="A44:A47">
    <cfRule type="cellIs" dxfId="1208" priority="468" operator="equal">
      <formula>"yes"</formula>
    </cfRule>
  </conditionalFormatting>
  <conditionalFormatting sqref="A32:A34">
    <cfRule type="cellIs" dxfId="1207" priority="467" operator="equal">
      <formula>"yes"</formula>
    </cfRule>
  </conditionalFormatting>
  <conditionalFormatting sqref="A35:A43">
    <cfRule type="cellIs" dxfId="1206" priority="466" operator="equal">
      <formula>"yes"</formula>
    </cfRule>
  </conditionalFormatting>
  <conditionalFormatting sqref="A35:A43">
    <cfRule type="cellIs" dxfId="1205" priority="465" operator="equal">
      <formula>"yes"</formula>
    </cfRule>
  </conditionalFormatting>
  <conditionalFormatting sqref="H7:H30">
    <cfRule type="cellIs" dxfId="1204" priority="463" operator="lessThanOrEqual">
      <formula>$H$34</formula>
    </cfRule>
  </conditionalFormatting>
  <conditionalFormatting sqref="I7:I30">
    <cfRule type="cellIs" dxfId="1203" priority="462" operator="lessThanOrEqual">
      <formula>$I$34</formula>
    </cfRule>
  </conditionalFormatting>
  <conditionalFormatting sqref="B32:B34">
    <cfRule type="cellIs" dxfId="1202" priority="461" operator="equal">
      <formula>"yes"</formula>
    </cfRule>
  </conditionalFormatting>
  <conditionalFormatting sqref="B35:B43">
    <cfRule type="cellIs" dxfId="1201" priority="460" operator="equal">
      <formula>"yes"</formula>
    </cfRule>
  </conditionalFormatting>
  <conditionalFormatting sqref="B35:B43">
    <cfRule type="cellIs" dxfId="1200" priority="459" operator="equal">
      <formula>"yes"</formula>
    </cfRule>
  </conditionalFormatting>
  <conditionalFormatting sqref="D7:D30">
    <cfRule type="cellIs" dxfId="1199" priority="458" operator="lessThanOrEqual">
      <formula>$D$33</formula>
    </cfRule>
  </conditionalFormatting>
  <conditionalFormatting sqref="H32">
    <cfRule type="cellIs" dxfId="1198" priority="432" operator="lessThan">
      <formula>8</formula>
    </cfRule>
    <cfRule type="cellIs" dxfId="1197" priority="433" operator="greaterThanOrEqual">
      <formula>8</formula>
    </cfRule>
  </conditionalFormatting>
  <conditionalFormatting sqref="I32:K32">
    <cfRule type="cellIs" dxfId="1196" priority="430" operator="lessThan">
      <formula>8</formula>
    </cfRule>
    <cfRule type="cellIs" dxfId="1195" priority="431" operator="greaterThanOrEqual">
      <formula>8</formula>
    </cfRule>
  </conditionalFormatting>
  <conditionalFormatting sqref="D37">
    <cfRule type="cellIs" dxfId="1194" priority="428" operator="greaterThanOrEqual">
      <formula>0.95</formula>
    </cfRule>
    <cfRule type="cellIs" dxfId="1193" priority="429" operator="lessThan">
      <formula>0.95</formula>
    </cfRule>
  </conditionalFormatting>
  <conditionalFormatting sqref="H35">
    <cfRule type="cellIs" dxfId="1192" priority="426" operator="equal">
      <formula>"F4 IN FIELD"</formula>
    </cfRule>
    <cfRule type="cellIs" dxfId="1191" priority="427" operator="equal">
      <formula>"QUINELLA"</formula>
    </cfRule>
  </conditionalFormatting>
  <conditionalFormatting sqref="X44">
    <cfRule type="cellIs" dxfId="1190" priority="254" operator="equal">
      <formula>"yes"</formula>
    </cfRule>
  </conditionalFormatting>
  <conditionalFormatting sqref="X44">
    <cfRule type="cellIs" dxfId="1189" priority="253" operator="equal">
      <formula>"yes"</formula>
    </cfRule>
  </conditionalFormatting>
  <conditionalFormatting sqref="T44">
    <cfRule type="cellIs" dxfId="1188" priority="252" operator="equal">
      <formula>"yes"</formula>
    </cfRule>
  </conditionalFormatting>
  <conditionalFormatting sqref="W32">
    <cfRule type="cellIs" dxfId="1187" priority="219" operator="lessThan">
      <formula>$U$32</formula>
    </cfRule>
  </conditionalFormatting>
  <conditionalFormatting sqref="W33">
    <cfRule type="cellIs" dxfId="1186" priority="218" operator="lessThan">
      <formula>$U$33</formula>
    </cfRule>
  </conditionalFormatting>
  <conditionalFormatting sqref="W34">
    <cfRule type="cellIs" dxfId="1185" priority="217" operator="lessThan">
      <formula>$U$34</formula>
    </cfRule>
  </conditionalFormatting>
  <conditionalFormatting sqref="W35">
    <cfRule type="cellIs" dxfId="1184" priority="216" operator="lessThan">
      <formula>$U$35</formula>
    </cfRule>
  </conditionalFormatting>
  <conditionalFormatting sqref="W36">
    <cfRule type="cellIs" dxfId="1183" priority="215" operator="lessThan">
      <formula>$U$36</formula>
    </cfRule>
  </conditionalFormatting>
  <conditionalFormatting sqref="K7:K30">
    <cfRule type="cellIs" dxfId="1182" priority="94" operator="between">
      <formula>$K$34</formula>
      <formula>$K$38</formula>
    </cfRule>
    <cfRule type="cellIs" dxfId="1181" priority="95" operator="between">
      <formula>$K$37</formula>
      <formula>$K$34</formula>
    </cfRule>
  </conditionalFormatting>
  <conditionalFormatting sqref="J7:J30">
    <cfRule type="cellIs" dxfId="1180" priority="91" operator="between">
      <formula>0</formula>
      <formula>$J$38</formula>
    </cfRule>
    <cfRule type="cellIs" dxfId="1179" priority="92" operator="between">
      <formula>$J$34</formula>
      <formula>$J$38</formula>
    </cfRule>
    <cfRule type="cellIs" dxfId="1178" priority="93" operator="between">
      <formula>$J$37</formula>
      <formula>$J$34</formula>
    </cfRule>
  </conditionalFormatting>
  <conditionalFormatting sqref="Y7:Y30">
    <cfRule type="cellIs" dxfId="1177" priority="67" operator="equal">
      <formula>"YES3"</formula>
    </cfRule>
    <cfRule type="cellIs" dxfId="1176" priority="68" operator="equal">
      <formula>"YES4A"</formula>
    </cfRule>
    <cfRule type="cellIs" dxfId="1175" priority="69" operator="equal">
      <formula>"YES4"</formula>
    </cfRule>
    <cfRule type="cellIs" dxfId="1174" priority="70" operator="equal">
      <formula>"YES2"</formula>
    </cfRule>
    <cfRule type="cellIs" dxfId="1173" priority="71" operator="equal">
      <formula>"YES6"</formula>
    </cfRule>
    <cfRule type="cellIs" dxfId="1172" priority="72" operator="equal">
      <formula>"YES6A"</formula>
    </cfRule>
    <cfRule type="cellIs" dxfId="1171" priority="73" operator="equal">
      <formula>"YES9"</formula>
    </cfRule>
  </conditionalFormatting>
  <conditionalFormatting sqref="A7:A30">
    <cfRule type="cellIs" dxfId="1170" priority="60" operator="equal">
      <formula>"YES3"</formula>
    </cfRule>
    <cfRule type="cellIs" dxfId="1169" priority="61" operator="equal">
      <formula>"YES4A"</formula>
    </cfRule>
    <cfRule type="cellIs" dxfId="1168" priority="62" operator="equal">
      <formula>"YES4"</formula>
    </cfRule>
    <cfRule type="cellIs" dxfId="1167" priority="63" operator="equal">
      <formula>"YES2"</formula>
    </cfRule>
    <cfRule type="cellIs" dxfId="1166" priority="64" operator="equal">
      <formula>"YES6"</formula>
    </cfRule>
    <cfRule type="cellIs" dxfId="1165" priority="65" operator="equal">
      <formula>"YES6A"</formula>
    </cfRule>
    <cfRule type="cellIs" dxfId="1164" priority="66" operator="equal">
      <formula>"YES9"</formula>
    </cfRule>
  </conditionalFormatting>
  <conditionalFormatting sqref="T5">
    <cfRule type="cellIs" dxfId="1163" priority="37" operator="lessThan">
      <formula>0</formula>
    </cfRule>
  </conditionalFormatting>
  <conditionalFormatting sqref="O3">
    <cfRule type="cellIs" dxfId="1162" priority="35" stopIfTrue="1" operator="greaterThan">
      <formula>0</formula>
    </cfRule>
    <cfRule type="cellIs" dxfId="1161" priority="36" stopIfTrue="1" operator="lessThan">
      <formula>0</formula>
    </cfRule>
  </conditionalFormatting>
  <conditionalFormatting sqref="P3">
    <cfRule type="cellIs" dxfId="1160" priority="33" operator="equal">
      <formula>"BET"</formula>
    </cfRule>
    <cfRule type="cellIs" dxfId="1159" priority="34" operator="equal">
      <formula>"LAY"</formula>
    </cfRule>
  </conditionalFormatting>
  <conditionalFormatting sqref="W1">
    <cfRule type="cellIs" dxfId="1158" priority="22" operator="greaterThan">
      <formula>0.09</formula>
    </cfRule>
  </conditionalFormatting>
  <conditionalFormatting sqref="W2">
    <cfRule type="cellIs" dxfId="1157" priority="21" operator="greaterThan">
      <formula>0.11</formula>
    </cfRule>
  </conditionalFormatting>
  <conditionalFormatting sqref="W3">
    <cfRule type="cellIs" dxfId="1156" priority="20" operator="greaterThan">
      <formula>0.3</formula>
    </cfRule>
  </conditionalFormatting>
  <conditionalFormatting sqref="W4">
    <cfRule type="cellIs" dxfId="1155" priority="19" operator="lessThan">
      <formula>0</formula>
    </cfRule>
  </conditionalFormatting>
  <conditionalFormatting sqref="W4">
    <cfRule type="cellIs" dxfId="1154" priority="18" operator="greaterThan">
      <formula>0.3</formula>
    </cfRule>
  </conditionalFormatting>
  <conditionalFormatting sqref="A5">
    <cfRule type="cellIs" dxfId="1153" priority="12" operator="lessThanOrEqual">
      <formula>0.69</formula>
    </cfRule>
  </conditionalFormatting>
  <conditionalFormatting sqref="L6">
    <cfRule type="cellIs" dxfId="1152" priority="10" operator="equal">
      <formula>"UNDERS"</formula>
    </cfRule>
    <cfRule type="cellIs" dxfId="1151" priority="11" operator="equal">
      <formula>"OVERS"</formula>
    </cfRule>
  </conditionalFormatting>
  <conditionalFormatting sqref="D2:H2">
    <cfRule type="cellIs" dxfId="1150" priority="9" operator="lessThan">
      <formula>0</formula>
    </cfRule>
  </conditionalFormatting>
  <conditionalFormatting sqref="H4">
    <cfRule type="cellIs" dxfId="1149" priority="8" operator="lessThan">
      <formula>0</formula>
    </cfRule>
  </conditionalFormatting>
  <conditionalFormatting sqref="A6">
    <cfRule type="cellIs" dxfId="1148" priority="5" operator="equal">
      <formula>"QUINELLA"</formula>
    </cfRule>
  </conditionalFormatting>
  <conditionalFormatting sqref="X7:X30">
    <cfRule type="cellIs" dxfId="1147" priority="4" operator="lessThanOrEqual">
      <formula>$K$3</formula>
    </cfRule>
  </conditionalFormatting>
  <conditionalFormatting sqref="K4">
    <cfRule type="cellIs" dxfId="1146" priority="3" operator="lessThan">
      <formula>0</formula>
    </cfRule>
  </conditionalFormatting>
  <conditionalFormatting sqref="L3">
    <cfRule type="cellIs" dxfId="1145" priority="2" operator="lessThan">
      <formula>0</formula>
    </cfRule>
  </conditionalFormatting>
  <conditionalFormatting sqref="L4">
    <cfRule type="cellIs" dxfId="1144" priority="1" operator="less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G19" sqref="G19"/>
      <selection pane="topRight" activeCell="G19" sqref="G19"/>
      <selection pane="bottomLeft" activeCell="G19" sqref="G19"/>
      <selection pane="bottomRight" activeCell="D8" sqref="D8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554687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6" ht="39.9" customHeight="1" x14ac:dyDescent="0.3">
      <c r="A1" s="154" t="s">
        <v>238</v>
      </c>
      <c r="B1" s="145">
        <f>((D3)*(D3-1))/2</f>
        <v>28</v>
      </c>
      <c r="C1" s="145" t="s">
        <v>239</v>
      </c>
      <c r="D1" s="145">
        <f>ROUNDDOWN($W$33,0)</f>
        <v>17</v>
      </c>
      <c r="E1" s="155"/>
      <c r="F1" s="155"/>
      <c r="G1" s="155"/>
      <c r="H1" s="156">
        <f>IF(ISERROR(D1/B1)," ",(D1/B1))</f>
        <v>0.6071428571428571</v>
      </c>
      <c r="I1" s="150" t="s">
        <v>277</v>
      </c>
      <c r="J1" s="150" t="s">
        <v>258</v>
      </c>
      <c r="K1" s="150">
        <f>(COUNTIF($L$7:$L$30,"&lt;="&amp;($D$4+2)))/$D$32</f>
        <v>0.25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9</v>
      </c>
      <c r="V1" s="170" t="s">
        <v>271</v>
      </c>
      <c r="W1" s="163">
        <f>Y1/$B$5</f>
        <v>0.125</v>
      </c>
      <c r="X1" s="108">
        <f>RANK(W1,$W$1:$W$4,0)</f>
        <v>4</v>
      </c>
      <c r="Y1" s="152">
        <f>COUNTIF($Y$7:$Y$30,"YES6")+COUNTIF($Y$7:$Y$30,"YES6A")+COUNTIF($Y$7:$Y$30,"YES9")</f>
        <v>1</v>
      </c>
      <c r="Z1" s="84"/>
    </row>
    <row r="2" spans="1:26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-11</v>
      </c>
      <c r="E2" s="157"/>
      <c r="F2" s="157"/>
      <c r="G2" s="157"/>
      <c r="H2" s="156">
        <f>IF(ISERROR(D2/B1)," ",(D2/B1))</f>
        <v>-0.39285714285714285</v>
      </c>
      <c r="I2" s="145">
        <f>'SPORTSBET FIXED ODDS FOR PARLAY'!$I$2</f>
        <v>22</v>
      </c>
      <c r="J2" s="156">
        <f>IF($B$5&lt;9,0.4,0.25)</f>
        <v>0.4</v>
      </c>
      <c r="K2" s="145">
        <f>ROUNDUP(MEDIAN(X7:X30),0)</f>
        <v>4</v>
      </c>
      <c r="L2" s="145">
        <f>SUM(L7:L47)</f>
        <v>100.35</v>
      </c>
      <c r="M2" s="80">
        <f>SUM(M7:M47)</f>
        <v>111.42321339222396</v>
      </c>
      <c r="N2" s="85">
        <f>SUM(N7:N47)</f>
        <v>0.99999999999999989</v>
      </c>
      <c r="O2" s="86">
        <f>L3-O3</f>
        <v>25</v>
      </c>
      <c r="P2" s="81"/>
      <c r="Q2" s="81">
        <f>SUM(Q17:Q47)</f>
        <v>0</v>
      </c>
      <c r="R2" s="87">
        <f>AVERAGE(R7:R47)</f>
        <v>-2.0504189467257206</v>
      </c>
      <c r="S2" s="82"/>
      <c r="T2" s="170" t="s">
        <v>274</v>
      </c>
      <c r="U2" s="171">
        <f>_xlfn.STDEV.P(X1:X4)</f>
        <v>1.0897247358851685</v>
      </c>
      <c r="V2" s="170" t="s">
        <v>272</v>
      </c>
      <c r="W2" s="165">
        <f>Y2/$B$5</f>
        <v>0.25</v>
      </c>
      <c r="X2" s="108">
        <f>RANK(W2,$W$1:$W$4,0)</f>
        <v>2</v>
      </c>
      <c r="Y2" s="152">
        <f>COUNTIF($Y$7:$Y$30,"YES4")+COUNTIF($Y$7:$Y$30,"YES4A")+COUNTIF($Y$7:$Y$30,"YES2")</f>
        <v>2</v>
      </c>
    </row>
    <row r="3" spans="1:26" ht="39.9" customHeight="1" x14ac:dyDescent="0.3">
      <c r="A3" s="154" t="s">
        <v>276</v>
      </c>
      <c r="B3" s="145">
        <f>AVERAGE(L7:L30)</f>
        <v>12.543749999999999</v>
      </c>
      <c r="C3" s="151" t="s">
        <v>260</v>
      </c>
      <c r="D3" s="145">
        <f>D32</f>
        <v>8</v>
      </c>
      <c r="E3" s="78"/>
      <c r="F3" s="78"/>
      <c r="G3" s="78"/>
      <c r="H3" s="151" t="s">
        <v>268</v>
      </c>
      <c r="I3" s="158" t="s">
        <v>269</v>
      </c>
      <c r="J3" s="151" t="s">
        <v>266</v>
      </c>
      <c r="K3" s="151">
        <f>ROUNDUP(MEDIAN(X7:X30),0)</f>
        <v>4</v>
      </c>
      <c r="L3" s="88">
        <v>20</v>
      </c>
      <c r="M3" s="80" t="s">
        <v>7</v>
      </c>
      <c r="N3" s="80"/>
      <c r="O3" s="86">
        <f>$T$5</f>
        <v>-5</v>
      </c>
      <c r="P3" s="89" t="str">
        <f>IF(R3&lt;0, "LAY","BET")</f>
        <v>LAY</v>
      </c>
      <c r="Q3" s="90" t="s">
        <v>6</v>
      </c>
      <c r="R3" s="89">
        <f>V5</f>
        <v>-5</v>
      </c>
      <c r="S3" s="82"/>
      <c r="T3" s="170" t="s">
        <v>275</v>
      </c>
      <c r="U3" s="171">
        <f>AVERAGE(X1:X4)</f>
        <v>2.25</v>
      </c>
      <c r="V3" s="170" t="s">
        <v>267</v>
      </c>
      <c r="W3" s="163">
        <f t="shared" ref="W3" si="0">Y3/$B$5</f>
        <v>0.25</v>
      </c>
      <c r="X3" s="108">
        <f>RANK(W3,$W$1:$W$4,0)</f>
        <v>2</v>
      </c>
      <c r="Y3" s="152">
        <f>COUNTIF($Y$7:$Y$30,"YES3")</f>
        <v>2</v>
      </c>
      <c r="Z3" s="91"/>
    </row>
    <row r="4" spans="1:26" ht="39.9" customHeight="1" x14ac:dyDescent="0.3">
      <c r="A4" s="154" t="s">
        <v>241</v>
      </c>
      <c r="B4" s="151" t="s">
        <v>29</v>
      </c>
      <c r="C4" s="151" t="s">
        <v>242</v>
      </c>
      <c r="D4" s="145">
        <f>AVERAGE(MIN(L7:L30))</f>
        <v>3</v>
      </c>
      <c r="E4" s="78"/>
      <c r="F4" s="78"/>
      <c r="G4" s="78"/>
      <c r="H4" s="145">
        <f>B1-D1</f>
        <v>11</v>
      </c>
      <c r="I4" s="156">
        <f>IF(ISERROR(1-(H4/B1))," ",(1-(H4/B1)))</f>
        <v>0.60714285714285721</v>
      </c>
      <c r="J4" s="151" t="s">
        <v>177</v>
      </c>
      <c r="K4" s="160" t="s">
        <v>152</v>
      </c>
      <c r="L4" s="145" t="s">
        <v>193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8</v>
      </c>
      <c r="U4" s="94">
        <f>COUNTIF(U7:U30,"&gt;0")</f>
        <v>8</v>
      </c>
      <c r="V4" s="170" t="s">
        <v>270</v>
      </c>
      <c r="W4" s="164">
        <f>Y4/$B$5</f>
        <v>0.375</v>
      </c>
      <c r="X4" s="108">
        <f>RANK(W4,$W$1:$W$4,0)</f>
        <v>1</v>
      </c>
      <c r="Y4" s="152">
        <f>COUNTIF($Y$7:$Y$30,"11")+COUNTIF($Y$7:$Y$30,"YES1")</f>
        <v>3</v>
      </c>
    </row>
    <row r="5" spans="1:26" ht="24.9" customHeight="1" x14ac:dyDescent="0.3">
      <c r="A5" s="95">
        <f>D3/B5</f>
        <v>1</v>
      </c>
      <c r="B5" s="96">
        <f>H32</f>
        <v>8</v>
      </c>
      <c r="C5" s="428" t="str">
        <f ca="1">MID(CELL("filename",A1),FIND("[",CELL("filename",A1))+1,FIND("]", CELL("filename",A1))-FIND("[",CELL("filename",A1))-1)&amp;($T$4)</f>
        <v>RACING TEMPLATE A1_CopyContentsFromFile.xlsm8</v>
      </c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-8.0434782608695715E-2</v>
      </c>
      <c r="M5" s="98"/>
      <c r="N5" s="99"/>
      <c r="O5" s="99"/>
      <c r="P5" s="99"/>
      <c r="Q5" s="99"/>
      <c r="R5" s="97"/>
      <c r="S5" s="82"/>
      <c r="T5" s="100">
        <f>U5-T6</f>
        <v>-5</v>
      </c>
      <c r="U5" s="101">
        <f>MIN(U7:U30)</f>
        <v>18</v>
      </c>
      <c r="V5" s="101">
        <f>MIN(V7:V30)</f>
        <v>-5</v>
      </c>
      <c r="W5" s="102">
        <f>MEDIAN(W7:W30)</f>
        <v>-8.0434782608695715E-2</v>
      </c>
      <c r="X5" s="152" t="s">
        <v>263</v>
      </c>
      <c r="Y5" s="152" t="s">
        <v>264</v>
      </c>
    </row>
    <row r="6" spans="1:26" ht="41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BONER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IF(L5&lt;=0.06,"UNDERS","OVERS")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23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6" ht="18.899999999999999" customHeight="1" x14ac:dyDescent="0.3">
      <c r="A7" s="119" t="str">
        <f>IF(C7=" "," ",
IF($J7&gt;=$J$37,"YES1",
IF($J7&lt;=$J$38,"YES2",
IF(AND($J7&lt;=$J$34,$J7&gt;=$J$38),"YES3",
IF(AND($J7&gt;=$J$34,$J7&lt;=$J$37),"YES6",
"YES1")))))</f>
        <v>YES1</v>
      </c>
      <c r="B7" s="109">
        <v>1</v>
      </c>
      <c r="C7" s="110" t="str">
        <f>IF(ISERROR(VLOOKUP(B7,'Raw Data'!$A$3:$EA$30,2,0))," ",VLOOKUP(B7,'Raw Data'!$A$3:$EA$30,2,0))</f>
        <v>I Do Care</v>
      </c>
      <c r="D7" s="167">
        <f>IF(ISERROR(VLOOKUP(B7,'Raw Data'!$A$2:$EA$30,$I$2,0))," ",VLOOKUP(B7,'Raw Data'!$A$2:$EA$30,$I$2,0))</f>
        <v>21</v>
      </c>
      <c r="E7" s="99">
        <f>IF(ISERROR(STANDARDIZE(D7,D$33,D$36))," ",(STANDARDIZE(D7,D$33,D$36)))</f>
        <v>1.0141284211100947</v>
      </c>
      <c r="F7" s="99">
        <f>IF(E7=" "," ",($E7-$D$38)^2)</f>
        <v>8.810116555764905</v>
      </c>
      <c r="G7" s="168">
        <f>IF(E7=" "," ",($E7-$D$39)^2)</f>
        <v>0.65403710162911033</v>
      </c>
      <c r="H7" s="166">
        <f>IF(E7=" "," ",RANK(F7,F$7:F$30,1))</f>
        <v>6</v>
      </c>
      <c r="I7" s="166">
        <f>IF(E7=" "," ",RANK(G7,G$7:G$30,1))</f>
        <v>3</v>
      </c>
      <c r="J7" s="166">
        <f>IF(D7=" "," ",RANK(D7,$D$7:$D$30,1))</f>
        <v>6</v>
      </c>
      <c r="K7" s="169">
        <f>IF(ISERROR(ROUNDUP(AVERAGE(H7:I7),0))," ",ROUNDUP(AVERAGE(H7:I7),0))</f>
        <v>5</v>
      </c>
      <c r="L7" s="146">
        <f>IF($A7="YES1",$D7,IF($A7="YES2",$D7,IF($A7="YES3",$D7,IF($A7="YES4",$D7,IF($A7="YES4A",$D7,IF($A7="YES6",$D7," "))))))</f>
        <v>21</v>
      </c>
      <c r="M7" s="114">
        <f t="shared" ref="M7:M30" si="1">IF(ISERROR(100/L7),0,100/L7)</f>
        <v>4.7619047619047619</v>
      </c>
      <c r="N7" s="115">
        <f t="shared" ref="N7:N30" si="2">M7/$M$2</f>
        <v>4.2737097745891142E-2</v>
      </c>
      <c r="O7" s="114">
        <f>IF(ISERROR($L$2/L7),0,$L$2/L7)</f>
        <v>4.7785714285714285</v>
      </c>
      <c r="P7" s="116">
        <f>L7*O7</f>
        <v>100.35</v>
      </c>
      <c r="Q7" s="116">
        <f>N7*$L$3</f>
        <v>0.85474195491782279</v>
      </c>
      <c r="R7" s="117">
        <f>IF(ISERROR(IF(L7&gt;0,(Q7*L7)-$L$3,0))," ",IF(L7&gt;0,(Q7*L7)-$L$3,0))</f>
        <v>-2.0504189467257206</v>
      </c>
      <c r="S7" s="82"/>
      <c r="T7" s="118">
        <f>IF(Q7&gt;0,ROUNDUP(Q7,0)," ")</f>
        <v>1</v>
      </c>
      <c r="U7" s="119">
        <f>IF(ISERROR(T7*L7)," ",T7*L7)</f>
        <v>21</v>
      </c>
      <c r="V7" s="119">
        <f>IF(ISERROR(U7-$T$6)," ",U7-$T$6)</f>
        <v>-2</v>
      </c>
      <c r="W7" s="120">
        <f>IF(ISERROR((U7-$T$6)/$T$6)," ",(U7-$T$6)/$T$6)</f>
        <v>-8.6956521739130432E-2</v>
      </c>
      <c r="X7" s="119">
        <f>IF(ISERROR(AVERAGE(H7:K7))," ",(AVERAGE(H7:K7)))</f>
        <v>5</v>
      </c>
      <c r="Y7" s="119" t="str">
        <f>A7</f>
        <v>YES1</v>
      </c>
      <c r="Z7" s="223">
        <f>IF(ISERROR(VLOOKUP($B7,'Raw Data'!$A$3:$DY$29,129,FALSE))," ",VLOOKUP($B7,'Raw Data'!$A$3:$DY$29,129,FALSE))</f>
        <v>4</v>
      </c>
    </row>
    <row r="8" spans="1:26" ht="18.899999999999999" customHeight="1" x14ac:dyDescent="0.3">
      <c r="A8" s="119" t="str">
        <f t="shared" ref="A8:A30" si="3">IF(C8=" "," ",
IF($J8&gt;=$J$37,"YES1",
IF($J8&lt;=$J$38,"YES2",
IF(AND($J8&lt;=$J$34,$J8&gt;=$J$38),"YES3",
IF(AND($J8&gt;=$J$34,$J8&lt;=$J$37),"YES6",
"YES1")))))</f>
        <v>YES2</v>
      </c>
      <c r="B8" s="109">
        <v>2</v>
      </c>
      <c r="C8" s="110" t="str">
        <f>IF(ISERROR(VLOOKUP(B8,'Raw Data'!$A$3:$EA$30,2,0))," ",VLOOKUP(B8,'Raw Data'!$A$3:$EA$30,2,0))</f>
        <v>Brave Dazzler</v>
      </c>
      <c r="D8" s="167">
        <f>IF(ISERROR(VLOOKUP(B8,'Raw Data'!$A$2:$EA$30,$I$2,0))," ",VLOOKUP(B8,'Raw Data'!$A$2:$EA$30,$I$2,0))</f>
        <v>3.25</v>
      </c>
      <c r="E8" s="99">
        <f t="shared" ref="E8:E30" si="4">IF(ISERROR(STANDARDIZE(D8,D$33,D$36))," ",(STANDARDIZE(D8,D$33,D$36)))</f>
        <v>-1.1145668604513752</v>
      </c>
      <c r="F8" s="99">
        <f t="shared" ref="F8:F30" si="5">IF(E8=" "," ",($E8-$D$38)^2)</f>
        <v>0.70474139264286562</v>
      </c>
      <c r="G8" s="168">
        <f t="shared" ref="G8:G30" si="6">IF(E8=" "," ",($E8-$D$39)^2)</f>
        <v>1.742319951209522</v>
      </c>
      <c r="H8" s="166">
        <f t="shared" ref="H8:H30" si="7">IF(E8=" "," ",RANK(F8,F$7:F$30,1))</f>
        <v>2</v>
      </c>
      <c r="I8" s="166">
        <f t="shared" ref="I8:I30" si="8">IF(E8=" "," ",RANK(G8,G$7:G$30,1))</f>
        <v>7</v>
      </c>
      <c r="J8" s="166">
        <f t="shared" ref="J8:J30" si="9">IF(D8=" "," ",RANK(D8,$D$7:$D$30,1))</f>
        <v>2</v>
      </c>
      <c r="K8" s="169">
        <f t="shared" ref="K8:K30" si="10">IF(ISERROR(ROUNDUP(AVERAGE(H8:I8),0))," ",ROUNDUP(AVERAGE(H8:I8),0))</f>
        <v>5</v>
      </c>
      <c r="L8" s="146">
        <f t="shared" ref="L8:L30" si="11">IF($A8="YES1",$D8,IF($A8="YES2",$D8,IF($A8="YES3",$D8,IF($A8="YES4",$D8,IF($A8="YES4A",$D8,IF($A8="YES6",$D8," "))))))</f>
        <v>3.25</v>
      </c>
      <c r="M8" s="114">
        <f t="shared" si="1"/>
        <v>30.76923076923077</v>
      </c>
      <c r="N8" s="115">
        <f t="shared" si="2"/>
        <v>0.27614740081960432</v>
      </c>
      <c r="O8" s="114">
        <f t="shared" ref="O8:O22" si="12">IF(ISERROR($L$2/L8),0,$L$2/L8)</f>
        <v>30.876923076923074</v>
      </c>
      <c r="P8" s="116">
        <f t="shared" ref="P8:P22" si="13">L8*O8</f>
        <v>100.35</v>
      </c>
      <c r="Q8" s="116">
        <f t="shared" ref="Q8:Q22" si="14">N8*$L$3</f>
        <v>5.5229480163920863</v>
      </c>
      <c r="R8" s="117">
        <f t="shared" ref="R8:R22" si="15">IF(ISERROR(IF(L8&gt;0,(Q8*L8)-$L$3,0))," ",IF(L8&gt;0,(Q8*L8)-$L$3,0))</f>
        <v>-2.0504189467257206</v>
      </c>
      <c r="S8" s="82"/>
      <c r="T8" s="118">
        <f t="shared" ref="T8:T30" si="16">IF(Q8&gt;0,ROUNDUP(Q8,0)," ")</f>
        <v>6</v>
      </c>
      <c r="U8" s="119">
        <f t="shared" ref="U8:U16" si="17">IF(ISERROR(T8*L8)," ",T8*L8)</f>
        <v>19.5</v>
      </c>
      <c r="V8" s="119">
        <f t="shared" ref="V8:V16" si="18">IF(ISERROR(U8-$T$6)," ",U8-$T$6)</f>
        <v>-3.5</v>
      </c>
      <c r="W8" s="120">
        <f>IF(ISERROR((U8-$T$6)/$T$6)," ",(U8-$T$6)/$T$6)</f>
        <v>-0.15217391304347827</v>
      </c>
      <c r="X8" s="119">
        <f t="shared" ref="X8:X30" si="19">IF(ISERROR(AVERAGE(H8:K8))," ",(AVERAGE(H8:K8)))</f>
        <v>4</v>
      </c>
      <c r="Y8" s="119" t="str">
        <f t="shared" ref="Y8:Y30" si="20">A8</f>
        <v>YES2</v>
      </c>
      <c r="Z8" s="223">
        <f>IF(ISERROR(VLOOKUP($B8,'Raw Data'!$A$3:$DY$29,129,FALSE))," ",VLOOKUP($B8,'Raw Data'!$A$3:$DY$29,129,FALSE))</f>
        <v>6</v>
      </c>
    </row>
    <row r="9" spans="1:26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Ol' Brown Eyes</v>
      </c>
      <c r="D9" s="167">
        <f>IF(ISERROR(VLOOKUP(B9,'Raw Data'!$A$2:$EA$30,$I$2,0))," ",VLOOKUP(B9,'Raw Data'!$A$2:$EA$30,$I$2,0))</f>
        <v>3</v>
      </c>
      <c r="E9" s="99">
        <f t="shared" si="4"/>
        <v>-1.1445484841353395</v>
      </c>
      <c r="F9" s="99">
        <f t="shared" si="5"/>
        <v>0.65530181770609996</v>
      </c>
      <c r="G9" s="168">
        <f t="shared" si="6"/>
        <v>1.8223685172967341</v>
      </c>
      <c r="H9" s="166">
        <f t="shared" si="7"/>
        <v>1</v>
      </c>
      <c r="I9" s="166">
        <f t="shared" si="8"/>
        <v>8</v>
      </c>
      <c r="J9" s="166">
        <f t="shared" si="9"/>
        <v>1</v>
      </c>
      <c r="K9" s="169">
        <f t="shared" si="10"/>
        <v>5</v>
      </c>
      <c r="L9" s="146">
        <f t="shared" si="11"/>
        <v>3</v>
      </c>
      <c r="M9" s="114">
        <f t="shared" si="1"/>
        <v>33.333333333333336</v>
      </c>
      <c r="N9" s="115">
        <f t="shared" si="2"/>
        <v>0.29915968422123801</v>
      </c>
      <c r="O9" s="114">
        <f t="shared" si="12"/>
        <v>33.449999999999996</v>
      </c>
      <c r="P9" s="116">
        <f t="shared" si="13"/>
        <v>100.35</v>
      </c>
      <c r="Q9" s="116">
        <f t="shared" si="14"/>
        <v>5.9831936844247604</v>
      </c>
      <c r="R9" s="117">
        <f t="shared" si="15"/>
        <v>-2.0504189467257206</v>
      </c>
      <c r="S9" s="82"/>
      <c r="T9" s="118">
        <f t="shared" si="16"/>
        <v>6</v>
      </c>
      <c r="U9" s="119">
        <f t="shared" si="17"/>
        <v>18</v>
      </c>
      <c r="V9" s="119">
        <f t="shared" si="18"/>
        <v>-5</v>
      </c>
      <c r="W9" s="120">
        <f t="shared" ref="W9:W30" si="21">IF(ISERROR((U9-$T$6)/$T$6)," ",(U9-$T$6)/$T$6)</f>
        <v>-0.21739130434782608</v>
      </c>
      <c r="X9" s="119">
        <f t="shared" si="19"/>
        <v>3.75</v>
      </c>
      <c r="Y9" s="119" t="str">
        <f t="shared" si="20"/>
        <v>YES2</v>
      </c>
      <c r="Z9" s="223">
        <f>IF(ISERROR(VLOOKUP($B9,'Raw Data'!$A$3:$DY$29,129,FALSE))," ",VLOOKUP($B9,'Raw Data'!$A$3:$DY$29,129,FALSE))</f>
        <v>2</v>
      </c>
    </row>
    <row r="10" spans="1:26" ht="18.899999999999999" customHeight="1" x14ac:dyDescent="0.3">
      <c r="A10" s="119" t="str">
        <f t="shared" si="3"/>
        <v xml:space="preserve"> </v>
      </c>
      <c r="B10" s="109">
        <v>4</v>
      </c>
      <c r="C10" s="110" t="str">
        <f>IF(ISERROR(VLOOKUP(B10,'Raw Data'!$A$3:$EA$30,2,0))," ",VLOOKUP(B10,'Raw Data'!$A$3:$EA$30,2,0))</f>
        <v xml:space="preserve"> </v>
      </c>
      <c r="D10" s="167" t="str">
        <f>IF(ISERROR(VLOOKUP(B10,'Raw Data'!$A$2:$EA$30,$I$2,0))," ",VLOOKUP(B10,'Raw Data'!$A$2:$EA$30,$I$2,0))</f>
        <v xml:space="preserve"> </v>
      </c>
      <c r="E10" s="99" t="str">
        <f t="shared" si="4"/>
        <v xml:space="preserve"> </v>
      </c>
      <c r="F10" s="99" t="str">
        <f t="shared" si="5"/>
        <v xml:space="preserve"> </v>
      </c>
      <c r="G10" s="168" t="str">
        <f t="shared" si="6"/>
        <v xml:space="preserve"> </v>
      </c>
      <c r="H10" s="166" t="str">
        <f t="shared" si="7"/>
        <v xml:space="preserve"> </v>
      </c>
      <c r="I10" s="166" t="str">
        <f>IF(E10=" "," ",RANK(G10,G$7:G$30,1))</f>
        <v xml:space="preserve"> </v>
      </c>
      <c r="J10" s="166" t="str">
        <f t="shared" si="9"/>
        <v xml:space="preserve"> </v>
      </c>
      <c r="K10" s="169" t="str">
        <f t="shared" si="10"/>
        <v xml:space="preserve"> </v>
      </c>
      <c r="L10" s="146" t="str">
        <f t="shared" si="11"/>
        <v xml:space="preserve"> </v>
      </c>
      <c r="M10" s="114">
        <f t="shared" si="1"/>
        <v>0</v>
      </c>
      <c r="N10" s="115">
        <f t="shared" si="2"/>
        <v>0</v>
      </c>
      <c r="O10" s="114">
        <f t="shared" si="12"/>
        <v>0</v>
      </c>
      <c r="P10" s="116" t="e">
        <f t="shared" si="13"/>
        <v>#VALUE!</v>
      </c>
      <c r="Q10" s="116">
        <f t="shared" si="14"/>
        <v>0</v>
      </c>
      <c r="R10" s="117" t="str">
        <f t="shared" si="15"/>
        <v xml:space="preserve"> </v>
      </c>
      <c r="S10" s="82"/>
      <c r="T10" s="118" t="str">
        <f t="shared" si="16"/>
        <v xml:space="preserve"> </v>
      </c>
      <c r="U10" s="119" t="str">
        <f t="shared" si="17"/>
        <v xml:space="preserve"> </v>
      </c>
      <c r="V10" s="119" t="str">
        <f t="shared" si="18"/>
        <v xml:space="preserve"> </v>
      </c>
      <c r="W10" s="120" t="str">
        <f t="shared" si="21"/>
        <v xml:space="preserve"> </v>
      </c>
      <c r="X10" s="119" t="str">
        <f t="shared" si="19"/>
        <v xml:space="preserve"> </v>
      </c>
      <c r="Y10" s="119" t="str">
        <f t="shared" si="20"/>
        <v xml:space="preserve"> </v>
      </c>
      <c r="Z10" s="223" t="str">
        <f>IF(ISERROR(VLOOKUP($B10,'Raw Data'!$A$3:$DY$29,129,FALSE))," ",VLOOKUP($B10,'Raw Data'!$A$3:$DY$29,129,FALSE))</f>
        <v xml:space="preserve"> </v>
      </c>
    </row>
    <row r="11" spans="1:26" ht="18.899999999999999" customHeight="1" x14ac:dyDescent="0.3">
      <c r="A11" s="119" t="str">
        <f t="shared" si="3"/>
        <v>YES3</v>
      </c>
      <c r="B11" s="109">
        <v>5</v>
      </c>
      <c r="C11" s="110" t="str">
        <f>IF(ISERROR(VLOOKUP(B11,'Raw Data'!$A$3:$EA$30,2,0))," ",VLOOKUP(B11,'Raw Data'!$A$3:$EA$30,2,0))</f>
        <v>Dragon Street</v>
      </c>
      <c r="D11" s="167">
        <f>IF(ISERROR(VLOOKUP(B11,'Raw Data'!$A$2:$EA$30,$I$2,0))," ",VLOOKUP(B11,'Raw Data'!$A$2:$EA$30,$I$2,0))</f>
        <v>7.1</v>
      </c>
      <c r="E11" s="99">
        <f t="shared" si="4"/>
        <v>-0.65284985571832399</v>
      </c>
      <c r="F11" s="99">
        <f t="shared" si="5"/>
        <v>1.6931364646131117</v>
      </c>
      <c r="G11" s="168">
        <f t="shared" si="6"/>
        <v>0.73659765141050393</v>
      </c>
      <c r="H11" s="166">
        <f t="shared" si="7"/>
        <v>3</v>
      </c>
      <c r="I11" s="166">
        <f t="shared" si="8"/>
        <v>5</v>
      </c>
      <c r="J11" s="166">
        <f t="shared" si="9"/>
        <v>3</v>
      </c>
      <c r="K11" s="169">
        <f t="shared" si="10"/>
        <v>4</v>
      </c>
      <c r="L11" s="146">
        <f t="shared" si="11"/>
        <v>7.1</v>
      </c>
      <c r="M11" s="114">
        <f t="shared" si="1"/>
        <v>14.084507042253522</v>
      </c>
      <c r="N11" s="115">
        <f t="shared" si="2"/>
        <v>0.12640550037517098</v>
      </c>
      <c r="O11" s="114">
        <f t="shared" si="12"/>
        <v>14.133802816901408</v>
      </c>
      <c r="P11" s="116">
        <f t="shared" si="13"/>
        <v>100.35</v>
      </c>
      <c r="Q11" s="116">
        <f t="shared" si="14"/>
        <v>2.5281100075034195</v>
      </c>
      <c r="R11" s="117">
        <f t="shared" si="15"/>
        <v>-2.0504189467257206</v>
      </c>
      <c r="S11" s="82"/>
      <c r="T11" s="118">
        <f t="shared" si="16"/>
        <v>3</v>
      </c>
      <c r="U11" s="119">
        <f t="shared" si="17"/>
        <v>21.299999999999997</v>
      </c>
      <c r="V11" s="119">
        <f t="shared" si="18"/>
        <v>-1.7000000000000028</v>
      </c>
      <c r="W11" s="120">
        <f t="shared" si="21"/>
        <v>-7.3913043478260998E-2</v>
      </c>
      <c r="X11" s="119">
        <f t="shared" si="19"/>
        <v>3.75</v>
      </c>
      <c r="Y11" s="119" t="str">
        <f t="shared" si="20"/>
        <v>YES3</v>
      </c>
      <c r="Z11" s="223">
        <f>IF(ISERROR(VLOOKUP($B11,'Raw Data'!$A$3:$DY$29,129,FALSE))," ",VLOOKUP($B11,'Raw Data'!$A$3:$DY$29,129,FALSE))</f>
        <v>5</v>
      </c>
    </row>
    <row r="12" spans="1:26" ht="18.899999999999999" customHeight="1" x14ac:dyDescent="0.3">
      <c r="A12" s="119" t="str">
        <f t="shared" si="3"/>
        <v>YES1</v>
      </c>
      <c r="B12" s="109">
        <v>6</v>
      </c>
      <c r="C12" s="110" t="str">
        <f>IF(ISERROR(VLOOKUP(B12,'Raw Data'!$A$3:$EA$30,2,0))," ",VLOOKUP(B12,'Raw Data'!$A$3:$EA$30,2,0))</f>
        <v>Noor Dropper</v>
      </c>
      <c r="D12" s="167">
        <f>IF(ISERROR(VLOOKUP(B12,'Raw Data'!$A$2:$EA$30,$I$2,0))," ",VLOOKUP(B12,'Raw Data'!$A$2:$EA$30,$I$2,0))</f>
        <v>21</v>
      </c>
      <c r="E12" s="99">
        <f t="shared" si="4"/>
        <v>1.0141284211100947</v>
      </c>
      <c r="F12" s="99">
        <f t="shared" si="5"/>
        <v>8.810116555764905</v>
      </c>
      <c r="G12" s="168">
        <f t="shared" si="6"/>
        <v>0.65403710162911033</v>
      </c>
      <c r="H12" s="166">
        <f t="shared" si="7"/>
        <v>6</v>
      </c>
      <c r="I12" s="166">
        <f t="shared" si="8"/>
        <v>3</v>
      </c>
      <c r="J12" s="166">
        <f t="shared" si="9"/>
        <v>6</v>
      </c>
      <c r="K12" s="169">
        <f t="shared" si="10"/>
        <v>5</v>
      </c>
      <c r="L12" s="146">
        <f t="shared" si="11"/>
        <v>21</v>
      </c>
      <c r="M12" s="114">
        <f t="shared" si="1"/>
        <v>4.7619047619047619</v>
      </c>
      <c r="N12" s="115">
        <f t="shared" si="2"/>
        <v>4.2737097745891142E-2</v>
      </c>
      <c r="O12" s="114">
        <f t="shared" si="12"/>
        <v>4.7785714285714285</v>
      </c>
      <c r="P12" s="116">
        <f t="shared" si="13"/>
        <v>100.35</v>
      </c>
      <c r="Q12" s="116">
        <f t="shared" si="14"/>
        <v>0.85474195491782279</v>
      </c>
      <c r="R12" s="117">
        <f t="shared" si="15"/>
        <v>-2.0504189467257206</v>
      </c>
      <c r="S12" s="82"/>
      <c r="T12" s="118">
        <f t="shared" si="16"/>
        <v>1</v>
      </c>
      <c r="U12" s="119">
        <f t="shared" si="17"/>
        <v>21</v>
      </c>
      <c r="V12" s="119">
        <f t="shared" si="18"/>
        <v>-2</v>
      </c>
      <c r="W12" s="120">
        <f t="shared" si="21"/>
        <v>-8.6956521739130432E-2</v>
      </c>
      <c r="X12" s="119">
        <f t="shared" si="19"/>
        <v>5</v>
      </c>
      <c r="Y12" s="119" t="str">
        <f t="shared" si="20"/>
        <v>YES1</v>
      </c>
      <c r="Z12" s="223">
        <f>IF(ISERROR(VLOOKUP($B12,'Raw Data'!$A$3:$DY$29,129,FALSE))," ",VLOOKUP($B12,'Raw Data'!$A$3:$DY$29,129,FALSE))</f>
        <v>1</v>
      </c>
    </row>
    <row r="13" spans="1:26" ht="18.899999999999999" customHeight="1" x14ac:dyDescent="0.3">
      <c r="A13" s="119" t="str">
        <f t="shared" si="3"/>
        <v>YES1</v>
      </c>
      <c r="B13" s="109">
        <v>7</v>
      </c>
      <c r="C13" s="110" t="str">
        <f>IF(ISERROR(VLOOKUP(B13,'Raw Data'!$A$3:$EA$30,2,0))," ",VLOOKUP(B13,'Raw Data'!$A$3:$EA$30,2,0))</f>
        <v>Golfing</v>
      </c>
      <c r="D13" s="167">
        <f>IF(ISERROR(VLOOKUP(B13,'Raw Data'!$A$2:$EA$30,$I$2,0))," ",VLOOKUP(B13,'Raw Data'!$A$2:$EA$30,$I$2,0))</f>
        <v>23.5</v>
      </c>
      <c r="E13" s="99">
        <f t="shared" si="4"/>
        <v>1.3139446579497382</v>
      </c>
      <c r="F13" s="99">
        <f t="shared" si="5"/>
        <v>10.679825875984644</v>
      </c>
      <c r="G13" s="168">
        <f t="shared" si="6"/>
        <v>1.2288650116090705</v>
      </c>
      <c r="H13" s="166">
        <f t="shared" si="7"/>
        <v>8</v>
      </c>
      <c r="I13" s="166">
        <f t="shared" si="8"/>
        <v>6</v>
      </c>
      <c r="J13" s="166">
        <f t="shared" si="9"/>
        <v>8</v>
      </c>
      <c r="K13" s="169">
        <f t="shared" si="10"/>
        <v>7</v>
      </c>
      <c r="L13" s="146">
        <f t="shared" si="11"/>
        <v>23.5</v>
      </c>
      <c r="M13" s="114">
        <f t="shared" si="1"/>
        <v>4.2553191489361701</v>
      </c>
      <c r="N13" s="115">
        <f t="shared" si="2"/>
        <v>3.8190597985689953E-2</v>
      </c>
      <c r="O13" s="114">
        <f t="shared" si="12"/>
        <v>4.2702127659574467</v>
      </c>
      <c r="P13" s="116">
        <f t="shared" si="13"/>
        <v>100.35</v>
      </c>
      <c r="Q13" s="116">
        <f t="shared" si="14"/>
        <v>0.76381195971379912</v>
      </c>
      <c r="R13" s="117">
        <f t="shared" si="15"/>
        <v>-2.0504189467257206</v>
      </c>
      <c r="S13" s="82"/>
      <c r="T13" s="118">
        <f t="shared" si="16"/>
        <v>1</v>
      </c>
      <c r="U13" s="119">
        <f t="shared" si="17"/>
        <v>23.5</v>
      </c>
      <c r="V13" s="119">
        <f t="shared" si="18"/>
        <v>0.5</v>
      </c>
      <c r="W13" s="120">
        <f t="shared" si="21"/>
        <v>2.1739130434782608E-2</v>
      </c>
      <c r="X13" s="119">
        <f t="shared" si="19"/>
        <v>7.25</v>
      </c>
      <c r="Y13" s="119" t="str">
        <f t="shared" si="20"/>
        <v>YES1</v>
      </c>
      <c r="Z13" s="223">
        <f>IF(ISERROR(VLOOKUP($B13,'Raw Data'!$A$3:$DY$29,129,FALSE))," ",VLOOKUP($B13,'Raw Data'!$A$3:$DY$29,129,FALSE))</f>
        <v>7</v>
      </c>
    </row>
    <row r="14" spans="1:26" ht="18.899999999999999" customHeight="1" x14ac:dyDescent="0.3">
      <c r="A14" s="119" t="str">
        <f t="shared" si="3"/>
        <v>YES6</v>
      </c>
      <c r="B14" s="109">
        <v>8</v>
      </c>
      <c r="C14" s="110" t="str">
        <f>IF(ISERROR(VLOOKUP(B14,'Raw Data'!$A$3:$EA$30,2,0))," ",VLOOKUP(B14,'Raw Data'!$A$3:$EA$30,2,0))</f>
        <v>Society Queen</v>
      </c>
      <c r="D14" s="167">
        <f>IF(ISERROR(VLOOKUP(B14,'Raw Data'!$A$2:$EA$30,$I$2,0))," ",VLOOKUP(B14,'Raw Data'!$A$2:$EA$30,$I$2,0))</f>
        <v>13</v>
      </c>
      <c r="E14" s="99">
        <f t="shared" si="4"/>
        <v>5.4716463223235048E-2</v>
      </c>
      <c r="F14" s="99">
        <f t="shared" si="5"/>
        <v>4.0351653187906189</v>
      </c>
      <c r="G14" s="168">
        <f t="shared" si="6"/>
        <v>2.2706377422126903E-2</v>
      </c>
      <c r="H14" s="166">
        <f t="shared" si="7"/>
        <v>5</v>
      </c>
      <c r="I14" s="166">
        <f t="shared" si="8"/>
        <v>1</v>
      </c>
      <c r="J14" s="166">
        <f t="shared" si="9"/>
        <v>5</v>
      </c>
      <c r="K14" s="169">
        <f t="shared" si="10"/>
        <v>3</v>
      </c>
      <c r="L14" s="146">
        <f t="shared" si="11"/>
        <v>13</v>
      </c>
      <c r="M14" s="114">
        <f t="shared" si="1"/>
        <v>7.6923076923076925</v>
      </c>
      <c r="N14" s="115">
        <f t="shared" si="2"/>
        <v>6.9036850204901079E-2</v>
      </c>
      <c r="O14" s="114">
        <f t="shared" si="12"/>
        <v>7.7192307692307685</v>
      </c>
      <c r="P14" s="116">
        <f t="shared" si="13"/>
        <v>100.35</v>
      </c>
      <c r="Q14" s="116">
        <f t="shared" si="14"/>
        <v>1.3807370040980216</v>
      </c>
      <c r="R14" s="117">
        <f t="shared" si="15"/>
        <v>-2.0504189467257206</v>
      </c>
      <c r="S14" s="82"/>
      <c r="T14" s="118">
        <f t="shared" si="16"/>
        <v>2</v>
      </c>
      <c r="U14" s="119">
        <f t="shared" si="17"/>
        <v>26</v>
      </c>
      <c r="V14" s="119">
        <f t="shared" si="18"/>
        <v>3</v>
      </c>
      <c r="W14" s="120">
        <f t="shared" si="21"/>
        <v>0.13043478260869565</v>
      </c>
      <c r="X14" s="119">
        <f t="shared" si="19"/>
        <v>3.5</v>
      </c>
      <c r="Y14" s="119" t="str">
        <f t="shared" si="20"/>
        <v>YES6</v>
      </c>
      <c r="Z14" s="223">
        <f>IF(ISERROR(VLOOKUP($B14,'Raw Data'!$A$3:$DY$29,129,FALSE))," ",VLOOKUP($B14,'Raw Data'!$A$3:$DY$29,129,FALSE))</f>
        <v>3</v>
      </c>
    </row>
    <row r="15" spans="1:26" ht="18.899999999999999" customHeight="1" x14ac:dyDescent="0.3">
      <c r="A15" s="119" t="str">
        <f t="shared" si="3"/>
        <v>YES3</v>
      </c>
      <c r="B15" s="109">
        <v>9</v>
      </c>
      <c r="C15" s="110" t="str">
        <f>IF(ISERROR(VLOOKUP(B15,'Raw Data'!$A$3:$EA$30,2,0))," ",VLOOKUP(B15,'Raw Data'!$A$3:$EA$30,2,0))</f>
        <v>Toecanargie Man</v>
      </c>
      <c r="D15" s="167">
        <f>IF(ISERROR(VLOOKUP(B15,'Raw Data'!$A$2:$EA$30,$I$2,0))," ",VLOOKUP(B15,'Raw Data'!$A$2:$EA$30,$I$2,0))</f>
        <v>8.5</v>
      </c>
      <c r="E15" s="99">
        <f t="shared" si="4"/>
        <v>-0.48495276308812346</v>
      </c>
      <c r="F15" s="99">
        <f t="shared" si="5"/>
        <v>2.1582632308467522</v>
      </c>
      <c r="G15" s="168">
        <f t="shared" si="6"/>
        <v>0.47659082790986634</v>
      </c>
      <c r="H15" s="166">
        <f t="shared" si="7"/>
        <v>4</v>
      </c>
      <c r="I15" s="166">
        <f t="shared" si="8"/>
        <v>2</v>
      </c>
      <c r="J15" s="166">
        <f t="shared" si="9"/>
        <v>4</v>
      </c>
      <c r="K15" s="169">
        <f t="shared" si="10"/>
        <v>3</v>
      </c>
      <c r="L15" s="146">
        <f t="shared" si="11"/>
        <v>8.5</v>
      </c>
      <c r="M15" s="114">
        <f t="shared" si="1"/>
        <v>11.764705882352942</v>
      </c>
      <c r="N15" s="115">
        <f t="shared" si="2"/>
        <v>0.1055857709016134</v>
      </c>
      <c r="O15" s="114">
        <f t="shared" si="12"/>
        <v>11.805882352941175</v>
      </c>
      <c r="P15" s="116">
        <f t="shared" si="13"/>
        <v>100.35</v>
      </c>
      <c r="Q15" s="116">
        <f t="shared" si="14"/>
        <v>2.1117154180322681</v>
      </c>
      <c r="R15" s="117">
        <f t="shared" si="15"/>
        <v>-2.0504189467257206</v>
      </c>
      <c r="S15" s="82"/>
      <c r="T15" s="118">
        <f t="shared" si="16"/>
        <v>3</v>
      </c>
      <c r="U15" s="119">
        <f t="shared" si="17"/>
        <v>25.5</v>
      </c>
      <c r="V15" s="119">
        <f t="shared" si="18"/>
        <v>2.5</v>
      </c>
      <c r="W15" s="120">
        <f t="shared" si="21"/>
        <v>0.10869565217391304</v>
      </c>
      <c r="X15" s="119">
        <f t="shared" si="19"/>
        <v>3.25</v>
      </c>
      <c r="Y15" s="119" t="str">
        <f t="shared" si="20"/>
        <v>YES3</v>
      </c>
      <c r="Z15" s="223">
        <f>IF(ISERROR(VLOOKUP($B15,'Raw Data'!$A$3:$DY$29,129,FALSE))," ",VLOOKUP($B15,'Raw Data'!$A$3:$DY$29,129,FALSE))</f>
        <v>8</v>
      </c>
    </row>
    <row r="16" spans="1:26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67" t="str">
        <f>IF(ISERROR(VLOOKUP(B16,'Raw Data'!$A$2:$EA$30,$I$2,0))," ",VLOOKUP(B16,'Raw Data'!$A$2:$EA$30,$I$2,0))</f>
        <v xml:space="preserve"> </v>
      </c>
      <c r="E16" s="99" t="str">
        <f t="shared" si="4"/>
        <v xml:space="preserve"> </v>
      </c>
      <c r="F16" s="99" t="str">
        <f t="shared" si="5"/>
        <v xml:space="preserve"> </v>
      </c>
      <c r="G16" s="168" t="str">
        <f t="shared" si="6"/>
        <v xml:space="preserve"> </v>
      </c>
      <c r="H16" s="166" t="str">
        <f t="shared" si="7"/>
        <v xml:space="preserve"> </v>
      </c>
      <c r="I16" s="166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67" t="str">
        <f>IF(ISERROR(VLOOKUP(B17,'Raw Data'!$A$2:$EA$30,$I$2,0))," ",VLOOKUP(B17,'Raw Data'!$A$2:$EA$30,$I$2,0))</f>
        <v xml:space="preserve"> </v>
      </c>
      <c r="E17" s="99" t="str">
        <f t="shared" si="4"/>
        <v xml:space="preserve"> </v>
      </c>
      <c r="F17" s="99" t="str">
        <f t="shared" si="5"/>
        <v xml:space="preserve"> </v>
      </c>
      <c r="G17" s="168" t="str">
        <f t="shared" si="6"/>
        <v xml:space="preserve"> </v>
      </c>
      <c r="H17" s="166" t="str">
        <f t="shared" si="7"/>
        <v xml:space="preserve"> </v>
      </c>
      <c r="I17" s="166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67" t="str">
        <f>IF(ISERROR(VLOOKUP(B18,'Raw Data'!$A$2:$EA$30,$I$2,0))," ",VLOOKUP(B18,'Raw Data'!$A$2:$EA$30,$I$2,0))</f>
        <v xml:space="preserve"> </v>
      </c>
      <c r="E18" s="99" t="str">
        <f t="shared" si="4"/>
        <v xml:space="preserve"> </v>
      </c>
      <c r="F18" s="99" t="str">
        <f t="shared" si="5"/>
        <v xml:space="preserve"> </v>
      </c>
      <c r="G18" s="168" t="str">
        <f t="shared" si="6"/>
        <v xml:space="preserve"> </v>
      </c>
      <c r="H18" s="166" t="str">
        <f t="shared" si="7"/>
        <v xml:space="preserve"> </v>
      </c>
      <c r="I18" s="166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67" t="str">
        <f>IF(ISERROR(VLOOKUP(B19,'Raw Data'!$A$2:$EA$30,$I$2,0))," ",VLOOKUP(B19,'Raw Data'!$A$2:$EA$30,$I$2,0))</f>
        <v xml:space="preserve"> </v>
      </c>
      <c r="E19" s="99" t="str">
        <f t="shared" si="4"/>
        <v xml:space="preserve"> </v>
      </c>
      <c r="F19" s="99" t="str">
        <f t="shared" si="5"/>
        <v xml:space="preserve"> </v>
      </c>
      <c r="G19" s="168" t="str">
        <f t="shared" si="6"/>
        <v xml:space="preserve"> </v>
      </c>
      <c r="H19" s="166" t="str">
        <f t="shared" si="7"/>
        <v xml:space="preserve"> </v>
      </c>
      <c r="I19" s="166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67" t="str">
        <f>IF(ISERROR(VLOOKUP(B20,'Raw Data'!$A$2:$EA$30,$I$2,0))," ",VLOOKUP(B20,'Raw Data'!$A$2:$EA$30,$I$2,0))</f>
        <v xml:space="preserve"> </v>
      </c>
      <c r="E20" s="99" t="str">
        <f t="shared" si="4"/>
        <v xml:space="preserve"> </v>
      </c>
      <c r="F20" s="99" t="str">
        <f t="shared" si="5"/>
        <v xml:space="preserve"> </v>
      </c>
      <c r="G20" s="168" t="str">
        <f t="shared" si="6"/>
        <v xml:space="preserve"> </v>
      </c>
      <c r="H20" s="166" t="str">
        <f t="shared" si="7"/>
        <v xml:space="preserve"> </v>
      </c>
      <c r="I20" s="166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67" t="str">
        <f>IF(ISERROR(VLOOKUP(B21,'Raw Data'!$A$2:$EA$30,$I$2,0))," ",VLOOKUP(B21,'Raw Data'!$A$2:$EA$30,$I$2,0))</f>
        <v xml:space="preserve"> </v>
      </c>
      <c r="E21" s="99" t="str">
        <f t="shared" si="4"/>
        <v xml:space="preserve"> </v>
      </c>
      <c r="F21" s="99" t="str">
        <f t="shared" si="5"/>
        <v xml:space="preserve"> </v>
      </c>
      <c r="G21" s="168" t="str">
        <f t="shared" si="6"/>
        <v xml:space="preserve"> </v>
      </c>
      <c r="H21" s="166" t="str">
        <f t="shared" si="7"/>
        <v xml:space="preserve"> </v>
      </c>
      <c r="I21" s="166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67" t="str">
        <f>IF(ISERROR(VLOOKUP(B22,'Raw Data'!$A$2:$EA$30,$I$2,0))," ",VLOOKUP(B22,'Raw Data'!$A$2:$EA$30,$I$2,0))</f>
        <v xml:space="preserve"> </v>
      </c>
      <c r="E22" s="99" t="str">
        <f t="shared" si="4"/>
        <v xml:space="preserve"> </v>
      </c>
      <c r="F22" s="99" t="str">
        <f t="shared" si="5"/>
        <v xml:space="preserve"> </v>
      </c>
      <c r="G22" s="168" t="str">
        <f t="shared" si="6"/>
        <v xml:space="preserve"> </v>
      </c>
      <c r="H22" s="166" t="str">
        <f t="shared" si="7"/>
        <v xml:space="preserve"> </v>
      </c>
      <c r="I22" s="166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67" t="str">
        <f>IF(ISERROR(VLOOKUP(B23,'Raw Data'!$A$2:$EA$30,$I$2,0))," ",VLOOKUP(B23,'Raw Data'!$A$2:$EA$30,$I$2,0))</f>
        <v xml:space="preserve"> </v>
      </c>
      <c r="E23" s="99" t="str">
        <f t="shared" si="4"/>
        <v xml:space="preserve"> </v>
      </c>
      <c r="F23" s="99" t="str">
        <f t="shared" si="5"/>
        <v xml:space="preserve"> </v>
      </c>
      <c r="G23" s="168" t="str">
        <f t="shared" si="6"/>
        <v xml:space="preserve"> </v>
      </c>
      <c r="H23" s="166" t="str">
        <f t="shared" si="7"/>
        <v xml:space="preserve"> </v>
      </c>
      <c r="I23" s="166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>IF(ISERROR(AVERAGE(H23:K23))," ",(AVERAGE(H23:K23)))</f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67" t="str">
        <f>IF(ISERROR(VLOOKUP(B24,'Raw Data'!$A$2:$EA$30,$I$2,0))," ",VLOOKUP(B24,'Raw Data'!$A$2:$EA$30,$I$2,0))</f>
        <v xml:space="preserve"> </v>
      </c>
      <c r="E24" s="99" t="str">
        <f t="shared" si="4"/>
        <v xml:space="preserve"> </v>
      </c>
      <c r="F24" s="99" t="str">
        <f t="shared" si="5"/>
        <v xml:space="preserve"> </v>
      </c>
      <c r="G24" s="168" t="str">
        <f t="shared" si="6"/>
        <v xml:space="preserve"> </v>
      </c>
      <c r="H24" s="166" t="str">
        <f t="shared" si="7"/>
        <v xml:space="preserve"> </v>
      </c>
      <c r="I24" s="166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67" t="str">
        <f>IF(ISERROR(VLOOKUP(B25,'Raw Data'!$A$2:$EA$30,$I$2,0))," ",VLOOKUP(B25,'Raw Data'!$A$2:$EA$30,$I$2,0))</f>
        <v xml:space="preserve"> </v>
      </c>
      <c r="E25" s="99" t="str">
        <f t="shared" si="4"/>
        <v xml:space="preserve"> </v>
      </c>
      <c r="F25" s="99" t="str">
        <f t="shared" si="5"/>
        <v xml:space="preserve"> </v>
      </c>
      <c r="G25" s="168" t="str">
        <f t="shared" si="6"/>
        <v xml:space="preserve"> </v>
      </c>
      <c r="H25" s="166" t="str">
        <f t="shared" si="7"/>
        <v xml:space="preserve"> </v>
      </c>
      <c r="I25" s="166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67" t="str">
        <f>IF(ISERROR(VLOOKUP(B26,'Raw Data'!$A$2:$EA$30,$I$2,0))," ",VLOOKUP(B26,'Raw Data'!$A$2:$EA$30,$I$2,0))</f>
        <v xml:space="preserve"> </v>
      </c>
      <c r="E26" s="99" t="str">
        <f t="shared" si="4"/>
        <v xml:space="preserve"> </v>
      </c>
      <c r="F26" s="99" t="str">
        <f t="shared" si="5"/>
        <v xml:space="preserve"> </v>
      </c>
      <c r="G26" s="168" t="str">
        <f t="shared" si="6"/>
        <v xml:space="preserve"> </v>
      </c>
      <c r="H26" s="166" t="str">
        <f t="shared" si="7"/>
        <v xml:space="preserve"> </v>
      </c>
      <c r="I26" s="166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67" t="str">
        <f>IF(ISERROR(VLOOKUP(B27,'Raw Data'!$A$2:$EA$30,$I$2,0))," ",VLOOKUP(B27,'Raw Data'!$A$2:$EA$30,$I$2,0))</f>
        <v xml:space="preserve"> </v>
      </c>
      <c r="E27" s="99" t="str">
        <f t="shared" si="4"/>
        <v xml:space="preserve"> </v>
      </c>
      <c r="F27" s="99" t="str">
        <f t="shared" si="5"/>
        <v xml:space="preserve"> </v>
      </c>
      <c r="G27" s="168" t="str">
        <f t="shared" si="6"/>
        <v xml:space="preserve"> </v>
      </c>
      <c r="H27" s="166" t="str">
        <f t="shared" si="7"/>
        <v xml:space="preserve"> </v>
      </c>
      <c r="I27" s="166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67" t="str">
        <f>IF(ISERROR(VLOOKUP(B28,'Raw Data'!$A$2:$EA$30,$I$2,0))," ",VLOOKUP(B28,'Raw Data'!$A$2:$EA$30,$I$2,0))</f>
        <v xml:space="preserve"> </v>
      </c>
      <c r="E28" s="99" t="str">
        <f t="shared" si="4"/>
        <v xml:space="preserve"> </v>
      </c>
      <c r="F28" s="99" t="str">
        <f t="shared" si="5"/>
        <v xml:space="preserve"> </v>
      </c>
      <c r="G28" s="168" t="str">
        <f t="shared" si="6"/>
        <v xml:space="preserve"> </v>
      </c>
      <c r="H28" s="166" t="str">
        <f t="shared" si="7"/>
        <v xml:space="preserve"> </v>
      </c>
      <c r="I28" s="166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67" t="str">
        <f>IF(ISERROR(VLOOKUP(B29,'Raw Data'!$A$2:$EA$30,$I$2,0))," ",VLOOKUP(B29,'Raw Data'!$A$2:$EA$30,$I$2,0))</f>
        <v xml:space="preserve"> </v>
      </c>
      <c r="E29" s="99" t="str">
        <f t="shared" si="4"/>
        <v xml:space="preserve"> </v>
      </c>
      <c r="F29" s="99" t="str">
        <f t="shared" si="5"/>
        <v xml:space="preserve"> </v>
      </c>
      <c r="G29" s="168" t="str">
        <f t="shared" si="6"/>
        <v xml:space="preserve"> </v>
      </c>
      <c r="H29" s="166" t="str">
        <f t="shared" si="7"/>
        <v xml:space="preserve"> </v>
      </c>
      <c r="I29" s="166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67" t="str">
        <f>IF(ISERROR(VLOOKUP(B30,'Raw Data'!$A$2:$EA$30,$I$2,0))," ",VLOOKUP(B30,'Raw Data'!$A$2:$EA$30,$I$2,0))</f>
        <v xml:space="preserve"> </v>
      </c>
      <c r="E30" s="99" t="str">
        <f t="shared" si="4"/>
        <v xml:space="preserve"> </v>
      </c>
      <c r="F30" s="99" t="str">
        <f t="shared" si="5"/>
        <v xml:space="preserve"> </v>
      </c>
      <c r="G30" s="168" t="str">
        <f t="shared" si="6"/>
        <v xml:space="preserve"> </v>
      </c>
      <c r="H30" s="166" t="str">
        <f t="shared" si="7"/>
        <v xml:space="preserve"> </v>
      </c>
      <c r="I30" s="166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8</v>
      </c>
      <c r="E32" s="123"/>
      <c r="F32" s="123"/>
      <c r="G32" s="123"/>
      <c r="H32" s="126">
        <f>COUNT(H7:H30)</f>
        <v>8</v>
      </c>
      <c r="I32" s="126">
        <f>COUNT(I7:I30)</f>
        <v>8</v>
      </c>
      <c r="J32" s="126">
        <f>COUNT(J7:J30)</f>
        <v>8</v>
      </c>
      <c r="K32" s="126">
        <f>COUNT(K7:K30)</f>
        <v>8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8</v>
      </c>
      <c r="V32" s="154" t="s">
        <v>148</v>
      </c>
      <c r="W32" s="159">
        <f>D4</f>
        <v>3</v>
      </c>
      <c r="Y32"/>
    </row>
    <row r="33" spans="1:32" ht="24.9" customHeight="1" x14ac:dyDescent="0.3">
      <c r="A33" s="121"/>
      <c r="B33" s="121"/>
      <c r="C33" s="128" t="s">
        <v>230</v>
      </c>
      <c r="D33" s="111">
        <f>AVERAGE(D7:D30)</f>
        <v>12.543749999999999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28</v>
      </c>
      <c r="V33" s="154" t="s">
        <v>5</v>
      </c>
      <c r="W33" s="159">
        <f>(($D4)*($B3-1))/2</f>
        <v>17.315624999999997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10.75</v>
      </c>
      <c r="E34" s="123"/>
      <c r="F34" s="123"/>
      <c r="G34" s="123"/>
      <c r="H34" s="147">
        <f t="shared" ref="H34:I34" si="28">ROUNDDOWN(MEDIAN(H7:H30),0)</f>
        <v>4</v>
      </c>
      <c r="I34" s="147">
        <f t="shared" si="28"/>
        <v>4</v>
      </c>
      <c r="J34" s="147">
        <f>ROUNDDOWN(MEDIAN(J7:J30),0)</f>
        <v>4</v>
      </c>
      <c r="K34" s="147">
        <f>IF(ISERROR(ROUNDDOWN(MEDIAN(H34:I34),0))," ",ROUNDDOWN(MEDIAN(H34:I34),0))</f>
        <v>4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56</v>
      </c>
      <c r="V34" s="159" t="s">
        <v>145</v>
      </c>
      <c r="W34" s="159">
        <f>W33*2</f>
        <v>34.631249999999994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1.1668604651162791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336</v>
      </c>
      <c r="V35" s="156" t="s">
        <v>146</v>
      </c>
      <c r="W35" s="159">
        <f>(($D4)*($B3-1)*($B3-2))</f>
        <v>365.14324218749994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8.3384409942318172</v>
      </c>
      <c r="E36" s="122"/>
      <c r="F36" s="123"/>
      <c r="G36" s="122"/>
      <c r="H36" s="147">
        <f t="shared" ref="H36:J36" si="29">ROUNDDOWN(STDEVA(H7:H30),0)</f>
        <v>2</v>
      </c>
      <c r="I36" s="147">
        <f t="shared" si="29"/>
        <v>2</v>
      </c>
      <c r="J36" s="147">
        <f t="shared" si="29"/>
        <v>2</v>
      </c>
      <c r="K36" s="147">
        <f>ROUNDDOWN(STDEVA(K7:K30),0)</f>
        <v>2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1680</v>
      </c>
      <c r="V36" s="156" t="s">
        <v>147</v>
      </c>
      <c r="W36" s="159">
        <f>(($D4)*($B3-1)*($B3-2)*($B3-3))</f>
        <v>3484.8358176269521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0.66474865923123605</v>
      </c>
      <c r="E37" s="122"/>
      <c r="F37" s="123"/>
      <c r="G37" s="122"/>
      <c r="H37" s="147">
        <f t="shared" ref="H37:J37" si="30">H36+H34</f>
        <v>6</v>
      </c>
      <c r="I37" s="147">
        <f t="shared" si="30"/>
        <v>6</v>
      </c>
      <c r="J37" s="147">
        <f t="shared" si="30"/>
        <v>6</v>
      </c>
      <c r="K37" s="147">
        <f>K36+K34</f>
        <v>6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-1.9540556290736038</v>
      </c>
      <c r="E38" s="122"/>
      <c r="F38" s="123"/>
      <c r="G38" s="122"/>
      <c r="H38" s="147">
        <f t="shared" ref="H38:J38" si="31">H34-H36</f>
        <v>2</v>
      </c>
      <c r="I38" s="147">
        <f t="shared" si="31"/>
        <v>2</v>
      </c>
      <c r="J38" s="147">
        <f t="shared" si="31"/>
        <v>2</v>
      </c>
      <c r="K38" s="147">
        <f>K34-K36</f>
        <v>2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0.20540281768881663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1.1049406397506782E-2</v>
      </c>
      <c r="E40" s="122"/>
      <c r="F40" s="123"/>
      <c r="G40" s="122"/>
      <c r="H40" s="431" t="str">
        <f>IF(D40&gt;D41,"SKEW","KURT")</f>
        <v>KURT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>
        <f>(D38/D39)^2</f>
        <v>90.502599327475437</v>
      </c>
      <c r="E41" s="122"/>
      <c r="F41" s="123"/>
      <c r="G41" s="122"/>
      <c r="H41" s="431" t="str">
        <f>IF(D41&gt;D40,"KURT","SKEW")</f>
        <v>KURT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AVERAGE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0.66474865923123605</v>
      </c>
      <c r="W44" s="140">
        <f>$D$4</f>
        <v>3</v>
      </c>
      <c r="X44" s="141">
        <f>$H$4</f>
        <v>11</v>
      </c>
      <c r="Y44" s="139">
        <f>$X$4</f>
        <v>1</v>
      </c>
      <c r="Z44" s="139" t="str">
        <f>$A$6</f>
        <v>BONER</v>
      </c>
      <c r="AA44" s="142">
        <f>$AB$31</f>
        <v>0</v>
      </c>
      <c r="AB44" s="139">
        <f>$B$5</f>
        <v>8</v>
      </c>
      <c r="AC44" s="139">
        <f>$D$3</f>
        <v>8</v>
      </c>
      <c r="AD44" s="143" t="str">
        <f ca="1">$C$5</f>
        <v>RACING TEMPLATE A1_CopyContentsFromFile.xlsm8</v>
      </c>
      <c r="AE44" s="142">
        <f>$H$6</f>
        <v>0</v>
      </c>
      <c r="AF44" s="140">
        <f>$B$3</f>
        <v>12.543749999999999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mergeCells count="5">
    <mergeCell ref="H41:K41"/>
    <mergeCell ref="C5:D5"/>
    <mergeCell ref="H35:K35"/>
    <mergeCell ref="H40:K40"/>
    <mergeCell ref="C6:K6"/>
  </mergeCells>
  <conditionalFormatting sqref="A44:A47">
    <cfRule type="cellIs" dxfId="1143" priority="644" operator="equal">
      <formula>"yes"</formula>
    </cfRule>
  </conditionalFormatting>
  <conditionalFormatting sqref="A44:A47">
    <cfRule type="cellIs" dxfId="1142" priority="643" operator="equal">
      <formula>"yes"</formula>
    </cfRule>
  </conditionalFormatting>
  <conditionalFormatting sqref="A32:A34">
    <cfRule type="cellIs" dxfId="1141" priority="642" operator="equal">
      <formula>"yes"</formula>
    </cfRule>
  </conditionalFormatting>
  <conditionalFormatting sqref="A35:A43">
    <cfRule type="cellIs" dxfId="1140" priority="641" operator="equal">
      <formula>"yes"</formula>
    </cfRule>
  </conditionalFormatting>
  <conditionalFormatting sqref="A35:A43">
    <cfRule type="cellIs" dxfId="1139" priority="640" operator="equal">
      <formula>"yes"</formula>
    </cfRule>
  </conditionalFormatting>
  <conditionalFormatting sqref="H7:H30">
    <cfRule type="cellIs" dxfId="1138" priority="632" operator="lessThanOrEqual">
      <formula>$H$34</formula>
    </cfRule>
  </conditionalFormatting>
  <conditionalFormatting sqref="I7:I30">
    <cfRule type="cellIs" dxfId="1137" priority="631" operator="lessThanOrEqual">
      <formula>$I$34</formula>
    </cfRule>
  </conditionalFormatting>
  <conditionalFormatting sqref="B32:B34">
    <cfRule type="cellIs" dxfId="1136" priority="626" operator="equal">
      <formula>"yes"</formula>
    </cfRule>
  </conditionalFormatting>
  <conditionalFormatting sqref="B35:B43">
    <cfRule type="cellIs" dxfId="1135" priority="625" operator="equal">
      <formula>"yes"</formula>
    </cfRule>
  </conditionalFormatting>
  <conditionalFormatting sqref="B35:B43">
    <cfRule type="cellIs" dxfId="1134" priority="624" operator="equal">
      <formula>"yes"</formula>
    </cfRule>
  </conditionalFormatting>
  <conditionalFormatting sqref="D7:D30">
    <cfRule type="cellIs" dxfId="1133" priority="603" operator="lessThanOrEqual">
      <formula>$D$33</formula>
    </cfRule>
  </conditionalFormatting>
  <conditionalFormatting sqref="K7:K30">
    <cfRule type="cellIs" dxfId="1132" priority="601" operator="between">
      <formula>$K$34</formula>
      <formula>$K$38</formula>
    </cfRule>
    <cfRule type="cellIs" dxfId="1131" priority="602" operator="between">
      <formula>$K$37</formula>
      <formula>$K$34</formula>
    </cfRule>
  </conditionalFormatting>
  <conditionalFormatting sqref="J7:J30">
    <cfRule type="cellIs" dxfId="1130" priority="94" operator="between">
      <formula>0</formula>
      <formula>$J$38</formula>
    </cfRule>
    <cfRule type="cellIs" dxfId="1129" priority="95" operator="between">
      <formula>$J$34</formula>
      <formula>$J$38</formula>
    </cfRule>
    <cfRule type="cellIs" dxfId="1128" priority="597" operator="between">
      <formula>$J$37</formula>
      <formula>$J$34</formula>
    </cfRule>
  </conditionalFormatting>
  <conditionalFormatting sqref="H32">
    <cfRule type="cellIs" dxfId="1127" priority="425" operator="lessThan">
      <formula>8</formula>
    </cfRule>
    <cfRule type="cellIs" dxfId="1126" priority="426" operator="greaterThanOrEqual">
      <formula>8</formula>
    </cfRule>
  </conditionalFormatting>
  <conditionalFormatting sqref="I32:K32">
    <cfRule type="cellIs" dxfId="1125" priority="423" operator="lessThan">
      <formula>8</formula>
    </cfRule>
    <cfRule type="cellIs" dxfId="1124" priority="424" operator="greaterThanOrEqual">
      <formula>8</formula>
    </cfRule>
  </conditionalFormatting>
  <conditionalFormatting sqref="D37">
    <cfRule type="cellIs" dxfId="1123" priority="421" operator="greaterThanOrEqual">
      <formula>0.95</formula>
    </cfRule>
    <cfRule type="cellIs" dxfId="1122" priority="422" operator="lessThan">
      <formula>0.95</formula>
    </cfRule>
  </conditionalFormatting>
  <conditionalFormatting sqref="H35">
    <cfRule type="cellIs" dxfId="1121" priority="416" operator="equal">
      <formula>"F4 IN FIELD"</formula>
    </cfRule>
    <cfRule type="cellIs" dxfId="1120" priority="417" operator="equal">
      <formula>"QUINELLA"</formula>
    </cfRule>
  </conditionalFormatting>
  <conditionalFormatting sqref="X7:X30">
    <cfRule type="cellIs" dxfId="1119" priority="262" operator="lessThanOrEqual">
      <formula>$K$3</formula>
    </cfRule>
  </conditionalFormatting>
  <conditionalFormatting sqref="X44">
    <cfRule type="cellIs" dxfId="1118" priority="252" operator="equal">
      <formula>"yes"</formula>
    </cfRule>
  </conditionalFormatting>
  <conditionalFormatting sqref="X44">
    <cfRule type="cellIs" dxfId="1117" priority="251" operator="equal">
      <formula>"yes"</formula>
    </cfRule>
  </conditionalFormatting>
  <conditionalFormatting sqref="T44">
    <cfRule type="cellIs" dxfId="1116" priority="250" operator="equal">
      <formula>"yes"</formula>
    </cfRule>
  </conditionalFormatting>
  <conditionalFormatting sqref="W32">
    <cfRule type="cellIs" dxfId="1115" priority="217" operator="lessThan">
      <formula>$U$32</formula>
    </cfRule>
  </conditionalFormatting>
  <conditionalFormatting sqref="W33">
    <cfRule type="cellIs" dxfId="1114" priority="216" operator="lessThan">
      <formula>$U$33</formula>
    </cfRule>
  </conditionalFormatting>
  <conditionalFormatting sqref="W34">
    <cfRule type="cellIs" dxfId="1113" priority="215" operator="lessThan">
      <formula>$U$34</formula>
    </cfRule>
  </conditionalFormatting>
  <conditionalFormatting sqref="W35">
    <cfRule type="cellIs" dxfId="1112" priority="214" operator="lessThan">
      <formula>$U$35</formula>
    </cfRule>
  </conditionalFormatting>
  <conditionalFormatting sqref="W36">
    <cfRule type="cellIs" dxfId="1111" priority="213" operator="lessThan">
      <formula>$U$36</formula>
    </cfRule>
  </conditionalFormatting>
  <conditionalFormatting sqref="Y7:Y30">
    <cfRule type="cellIs" dxfId="1110" priority="74" operator="equal">
      <formula>"YES3"</formula>
    </cfRule>
    <cfRule type="cellIs" dxfId="1109" priority="151" operator="equal">
      <formula>"YES4A"</formula>
    </cfRule>
    <cfRule type="cellIs" dxfId="1108" priority="152" operator="equal">
      <formula>"YES4"</formula>
    </cfRule>
    <cfRule type="cellIs" dxfId="1107" priority="153" operator="equal">
      <formula>"YES2"</formula>
    </cfRule>
    <cfRule type="cellIs" dxfId="1106" priority="154" operator="equal">
      <formula>"YES6"</formula>
    </cfRule>
    <cfRule type="cellIs" dxfId="1105" priority="155" operator="equal">
      <formula>"YES6A"</formula>
    </cfRule>
    <cfRule type="cellIs" dxfId="1104" priority="156" operator="equal">
      <formula>"YES9"</formula>
    </cfRule>
  </conditionalFormatting>
  <conditionalFormatting sqref="A7:A30">
    <cfRule type="cellIs" dxfId="1103" priority="67" operator="equal">
      <formula>"YES3"</formula>
    </cfRule>
    <cfRule type="cellIs" dxfId="1102" priority="68" operator="equal">
      <formula>"YES4A"</formula>
    </cfRule>
    <cfRule type="cellIs" dxfId="1101" priority="69" operator="equal">
      <formula>"YES4"</formula>
    </cfRule>
    <cfRule type="cellIs" dxfId="1100" priority="70" operator="equal">
      <formula>"YES2"</formula>
    </cfRule>
    <cfRule type="cellIs" dxfId="1099" priority="71" operator="equal">
      <formula>"YES6"</formula>
    </cfRule>
    <cfRule type="cellIs" dxfId="1098" priority="72" operator="equal">
      <formula>"YES6A"</formula>
    </cfRule>
    <cfRule type="cellIs" dxfId="1097" priority="73" operator="equal">
      <formula>"YES9"</formula>
    </cfRule>
  </conditionalFormatting>
  <conditionalFormatting sqref="T5">
    <cfRule type="cellIs" dxfId="1096" priority="44" operator="lessThan">
      <formula>0</formula>
    </cfRule>
  </conditionalFormatting>
  <conditionalFormatting sqref="O3">
    <cfRule type="cellIs" dxfId="1095" priority="42" stopIfTrue="1" operator="greaterThan">
      <formula>0</formula>
    </cfRule>
    <cfRule type="cellIs" dxfId="1094" priority="43" stopIfTrue="1" operator="lessThan">
      <formula>0</formula>
    </cfRule>
  </conditionalFormatting>
  <conditionalFormatting sqref="P3">
    <cfRule type="cellIs" dxfId="1093" priority="40" operator="equal">
      <formula>"BET"</formula>
    </cfRule>
    <cfRule type="cellIs" dxfId="1092" priority="41" operator="equal">
      <formula>"LAY"</formula>
    </cfRule>
  </conditionalFormatting>
  <conditionalFormatting sqref="W1">
    <cfRule type="cellIs" dxfId="1091" priority="29" operator="greaterThan">
      <formula>0.09</formula>
    </cfRule>
  </conditionalFormatting>
  <conditionalFormatting sqref="W2">
    <cfRule type="cellIs" dxfId="1090" priority="28" operator="greaterThan">
      <formula>0.11</formula>
    </cfRule>
  </conditionalFormatting>
  <conditionalFormatting sqref="W3">
    <cfRule type="cellIs" dxfId="1089" priority="27" operator="greaterThan">
      <formula>0.3</formula>
    </cfRule>
  </conditionalFormatting>
  <conditionalFormatting sqref="W4">
    <cfRule type="cellIs" dxfId="1088" priority="26" operator="lessThan">
      <formula>0</formula>
    </cfRule>
  </conditionalFormatting>
  <conditionalFormatting sqref="W4">
    <cfRule type="cellIs" dxfId="1087" priority="25" operator="greaterThan">
      <formula>0.3</formula>
    </cfRule>
  </conditionalFormatting>
  <conditionalFormatting sqref="A5">
    <cfRule type="cellIs" dxfId="1086" priority="7" operator="lessThanOrEqual">
      <formula>0.69</formula>
    </cfRule>
  </conditionalFormatting>
  <conditionalFormatting sqref="L6">
    <cfRule type="cellIs" dxfId="1085" priority="5" operator="equal">
      <formula>"UNDERS"</formula>
    </cfRule>
    <cfRule type="cellIs" dxfId="1084" priority="6" operator="equal">
      <formula>"OVERS"</formula>
    </cfRule>
  </conditionalFormatting>
  <conditionalFormatting sqref="D2:H2">
    <cfRule type="cellIs" dxfId="1083" priority="4" operator="lessThan">
      <formula>0</formula>
    </cfRule>
  </conditionalFormatting>
  <conditionalFormatting sqref="H4">
    <cfRule type="cellIs" dxfId="1082" priority="3" operator="lessThan">
      <formula>0</formula>
    </cfRule>
  </conditionalFormatting>
  <conditionalFormatting sqref="K4">
    <cfRule type="cellIs" dxfId="1081" priority="2" operator="lessThan">
      <formula>0</formula>
    </cfRule>
  </conditionalFormatting>
  <conditionalFormatting sqref="A6">
    <cfRule type="cellIs" dxfId="1080" priority="1" operator="equal">
      <formula>"QUINELLA"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DG72"/>
  <sheetViews>
    <sheetView zoomScale="40" zoomScaleNormal="40" workbookViewId="0">
      <pane xSplit="8" ySplit="2" topLeftCell="BW11" activePane="bottomRight" state="frozen"/>
      <selection activeCell="CB3" sqref="CB3:CB28"/>
      <selection pane="topRight" activeCell="CB3" sqref="CB3:CB28"/>
      <selection pane="bottomLeft" activeCell="CB3" sqref="CB3:CB28"/>
      <selection pane="bottomRight" activeCell="BZ35" sqref="BZ35"/>
    </sheetView>
  </sheetViews>
  <sheetFormatPr defaultColWidth="9.109375" defaultRowHeight="28.8" x14ac:dyDescent="0.55000000000000004"/>
  <cols>
    <col min="1" max="1" width="16" style="1" customWidth="1"/>
    <col min="2" max="2" width="50.5546875" style="1" customWidth="1"/>
    <col min="3" max="5" width="15.6640625" style="1" customWidth="1"/>
    <col min="6" max="6" width="36.5546875" style="1" bestFit="1" customWidth="1"/>
    <col min="7" max="7" width="25.109375" style="1" customWidth="1"/>
    <col min="8" max="8" width="22.109375" style="1" customWidth="1"/>
    <col min="9" max="9" width="40.6640625" style="1" customWidth="1"/>
    <col min="10" max="12" width="22.109375" style="1" customWidth="1"/>
    <col min="13" max="13" width="40.6640625" style="1" customWidth="1"/>
    <col min="14" max="16" width="22.109375" style="1" customWidth="1"/>
    <col min="17" max="17" width="40.6640625" style="1" customWidth="1"/>
    <col min="18" max="18" width="22.109375" style="1" customWidth="1"/>
    <col min="19" max="19" width="24.33203125" style="1" customWidth="1"/>
    <col min="20" max="20" width="22.109375" style="1" customWidth="1"/>
    <col min="21" max="21" width="40.6640625" style="1" customWidth="1"/>
    <col min="22" max="22" width="22.109375" style="1" customWidth="1"/>
    <col min="23" max="23" width="27.88671875" style="1" customWidth="1"/>
    <col min="24" max="24" width="22.109375" style="1" customWidth="1"/>
    <col min="25" max="25" width="40.6640625" style="1" customWidth="1"/>
    <col min="26" max="26" width="22.109375" style="1" customWidth="1"/>
    <col min="27" max="27" width="24.33203125" style="1" customWidth="1"/>
    <col min="28" max="28" width="22.109375" style="1" customWidth="1"/>
    <col min="29" max="29" width="40.6640625" style="1" customWidth="1"/>
    <col min="30" max="32" width="22.109375" style="1" customWidth="1"/>
    <col min="33" max="33" width="40.6640625" style="1" customWidth="1"/>
    <col min="34" max="34" width="22.109375" style="1" customWidth="1"/>
    <col min="35" max="35" width="24.44140625" style="1" customWidth="1"/>
    <col min="36" max="36" width="22.109375" style="1" customWidth="1"/>
    <col min="37" max="37" width="40.6640625" style="1" customWidth="1"/>
    <col min="38" max="38" width="22.109375" style="1" customWidth="1"/>
    <col min="39" max="39" width="33.44140625" style="1" customWidth="1"/>
    <col min="40" max="40" width="22.109375" style="1" customWidth="1"/>
    <col min="41" max="41" width="40.6640625" style="1" customWidth="1"/>
    <col min="42" max="42" width="22.109375" style="1" customWidth="1"/>
    <col min="43" max="43" width="33.44140625" style="1" customWidth="1"/>
    <col min="44" max="44" width="22.109375" style="1" customWidth="1"/>
    <col min="45" max="45" width="40.6640625" style="1" customWidth="1"/>
    <col min="46" max="46" width="22.109375" style="1" customWidth="1"/>
    <col min="47" max="47" width="34.88671875" style="1" customWidth="1"/>
    <col min="48" max="48" width="22.109375" style="1" customWidth="1"/>
    <col min="49" max="49" width="40.6640625" style="1" customWidth="1"/>
    <col min="50" max="50" width="22.109375" style="1" customWidth="1"/>
    <col min="51" max="51" width="34.88671875" style="1" customWidth="1"/>
    <col min="52" max="52" width="22.109375" style="1" customWidth="1"/>
    <col min="53" max="53" width="40.6640625" style="1" customWidth="1"/>
    <col min="54" max="54" width="22.109375" style="1" customWidth="1"/>
    <col min="55" max="55" width="34.88671875" style="1" customWidth="1"/>
    <col min="56" max="56" width="22.109375" style="1" customWidth="1"/>
    <col min="57" max="57" width="40.6640625" style="1" customWidth="1"/>
    <col min="58" max="58" width="22.109375" style="1" customWidth="1"/>
    <col min="59" max="59" width="34.88671875" style="1" customWidth="1"/>
    <col min="60" max="60" width="22.109375" style="1" customWidth="1"/>
    <col min="61" max="61" width="40.6640625" style="1" customWidth="1"/>
    <col min="62" max="62" width="22.109375" style="1" customWidth="1"/>
    <col min="63" max="63" width="33.44140625" style="1" customWidth="1"/>
    <col min="64" max="64" width="22.109375" style="1" customWidth="1"/>
    <col min="65" max="65" width="40.6640625" style="1" customWidth="1"/>
    <col min="66" max="66" width="37" style="1" customWidth="1"/>
    <col min="67" max="67" width="3.6640625" style="54" customWidth="1"/>
    <col min="68" max="68" width="36.88671875" style="1" customWidth="1"/>
    <col min="69" max="69" width="7.109375" style="2" customWidth="1"/>
    <col min="70" max="70" width="55.44140625" style="1" customWidth="1"/>
    <col min="71" max="72" width="30.6640625" style="1" customWidth="1"/>
    <col min="73" max="76" width="30.6640625" style="6" customWidth="1"/>
    <col min="77" max="77" width="32.109375" style="1" customWidth="1"/>
    <col min="78" max="80" width="30.6640625" style="6" customWidth="1"/>
    <col min="81" max="81" width="30.6640625" customWidth="1"/>
    <col min="82" max="102" width="30.6640625" style="2" customWidth="1"/>
    <col min="103" max="103" width="30.6640625" style="3" customWidth="1"/>
    <col min="104" max="111" width="30.6640625" customWidth="1"/>
  </cols>
  <sheetData>
    <row r="1" spans="1:111" ht="39.9" customHeight="1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</row>
    <row r="2" spans="1:111" ht="96.75" customHeight="1" x14ac:dyDescent="0.55000000000000004">
      <c r="A2" s="4" t="s">
        <v>15</v>
      </c>
      <c r="B2" s="4" t="s">
        <v>14</v>
      </c>
      <c r="C2" s="4" t="s">
        <v>16</v>
      </c>
      <c r="D2" s="4" t="s">
        <v>17</v>
      </c>
      <c r="E2" s="4" t="s">
        <v>149</v>
      </c>
      <c r="F2" s="4" t="s">
        <v>310</v>
      </c>
      <c r="G2" s="53" t="s">
        <v>351</v>
      </c>
      <c r="H2" s="53" t="s">
        <v>143</v>
      </c>
      <c r="I2" s="53" t="s">
        <v>352</v>
      </c>
      <c r="J2" s="16" t="s">
        <v>284</v>
      </c>
      <c r="K2" s="53" t="s">
        <v>353</v>
      </c>
      <c r="L2" s="53" t="s">
        <v>354</v>
      </c>
      <c r="M2" s="53" t="s">
        <v>355</v>
      </c>
      <c r="N2" s="16" t="s">
        <v>283</v>
      </c>
      <c r="O2" s="53" t="s">
        <v>356</v>
      </c>
      <c r="P2" s="53" t="s">
        <v>357</v>
      </c>
      <c r="Q2" s="53" t="s">
        <v>358</v>
      </c>
      <c r="R2" s="16" t="s">
        <v>285</v>
      </c>
      <c r="S2" s="53" t="s">
        <v>330</v>
      </c>
      <c r="T2" s="53" t="s">
        <v>331</v>
      </c>
      <c r="U2" s="53" t="s">
        <v>138</v>
      </c>
      <c r="V2" s="16" t="s">
        <v>286</v>
      </c>
      <c r="W2" s="53" t="s">
        <v>329</v>
      </c>
      <c r="X2" s="53" t="s">
        <v>332</v>
      </c>
      <c r="Y2" s="53" t="s">
        <v>140</v>
      </c>
      <c r="Z2" s="16" t="s">
        <v>288</v>
      </c>
      <c r="AA2" s="53" t="s">
        <v>324</v>
      </c>
      <c r="AB2" s="53" t="s">
        <v>325</v>
      </c>
      <c r="AC2" s="53" t="s">
        <v>359</v>
      </c>
      <c r="AD2" s="16" t="s">
        <v>289</v>
      </c>
      <c r="AE2" s="53" t="s">
        <v>360</v>
      </c>
      <c r="AF2" s="53" t="s">
        <v>150</v>
      </c>
      <c r="AG2" s="53" t="s">
        <v>32</v>
      </c>
      <c r="AH2" s="16" t="s">
        <v>290</v>
      </c>
      <c r="AI2" s="53" t="s">
        <v>554</v>
      </c>
      <c r="AJ2" s="53" t="s">
        <v>555</v>
      </c>
      <c r="AK2" s="53" t="s">
        <v>137</v>
      </c>
      <c r="AL2" s="16" t="s">
        <v>291</v>
      </c>
      <c r="AM2" s="53" t="s">
        <v>361</v>
      </c>
      <c r="AN2" s="53" t="s">
        <v>362</v>
      </c>
      <c r="AO2" s="53" t="s">
        <v>363</v>
      </c>
      <c r="AP2" s="16" t="s">
        <v>292</v>
      </c>
      <c r="AQ2" s="53" t="s">
        <v>333</v>
      </c>
      <c r="AR2" s="53" t="s">
        <v>326</v>
      </c>
      <c r="AS2" s="53" t="s">
        <v>66</v>
      </c>
      <c r="AT2" s="16" t="s">
        <v>293</v>
      </c>
      <c r="AU2" s="53" t="s">
        <v>334</v>
      </c>
      <c r="AV2" s="53" t="s">
        <v>151</v>
      </c>
      <c r="AW2" s="53" t="s">
        <v>364</v>
      </c>
      <c r="AX2" s="16" t="s">
        <v>294</v>
      </c>
      <c r="AY2" s="53" t="s">
        <v>328</v>
      </c>
      <c r="AZ2" s="53" t="s">
        <v>327</v>
      </c>
      <c r="BA2" s="53" t="s">
        <v>94</v>
      </c>
      <c r="BB2" s="16" t="s">
        <v>295</v>
      </c>
      <c r="BC2" s="53" t="s">
        <v>335</v>
      </c>
      <c r="BD2" s="53" t="s">
        <v>336</v>
      </c>
      <c r="BE2" s="53" t="s">
        <v>125</v>
      </c>
      <c r="BF2" s="16" t="s">
        <v>296</v>
      </c>
      <c r="BG2" s="53" t="s">
        <v>337</v>
      </c>
      <c r="BH2" s="53" t="s">
        <v>338</v>
      </c>
      <c r="BI2" s="53" t="s">
        <v>69</v>
      </c>
      <c r="BJ2" s="16" t="s">
        <v>297</v>
      </c>
      <c r="BK2" s="53" t="s">
        <v>365</v>
      </c>
      <c r="BL2" s="53" t="s">
        <v>175</v>
      </c>
      <c r="BM2" s="53" t="s">
        <v>60</v>
      </c>
      <c r="BN2" s="16" t="s">
        <v>298</v>
      </c>
      <c r="BO2" s="54" t="s">
        <v>281</v>
      </c>
      <c r="BP2" s="5" t="s">
        <v>18</v>
      </c>
      <c r="BQ2" s="2" t="s">
        <v>282</v>
      </c>
      <c r="BR2" s="5" t="s">
        <v>144</v>
      </c>
      <c r="BS2" s="5" t="s">
        <v>19</v>
      </c>
      <c r="BT2" s="5" t="s">
        <v>20</v>
      </c>
      <c r="BU2" s="5" t="s">
        <v>26</v>
      </c>
      <c r="BV2" s="5" t="s">
        <v>172</v>
      </c>
      <c r="BW2" s="5" t="s">
        <v>173</v>
      </c>
      <c r="BX2" s="48" t="s">
        <v>321</v>
      </c>
      <c r="BY2" s="48" t="s">
        <v>553</v>
      </c>
      <c r="BZ2" s="48" t="s">
        <v>552</v>
      </c>
      <c r="CA2" s="227" t="s">
        <v>323</v>
      </c>
      <c r="CB2" s="48" t="s">
        <v>218</v>
      </c>
      <c r="CC2" s="48" t="s">
        <v>319</v>
      </c>
      <c r="CD2" s="52" t="s">
        <v>318</v>
      </c>
      <c r="CE2" s="48" t="s">
        <v>312</v>
      </c>
      <c r="CF2" s="48" t="s">
        <v>313</v>
      </c>
      <c r="CG2" s="48" t="s">
        <v>198</v>
      </c>
      <c r="CH2" s="48" t="s">
        <v>556</v>
      </c>
      <c r="CI2" s="48" t="s">
        <v>185</v>
      </c>
      <c r="CJ2" s="48" t="s">
        <v>342</v>
      </c>
      <c r="CK2" s="48" t="s">
        <v>343</v>
      </c>
      <c r="CL2" s="48" t="s">
        <v>344</v>
      </c>
      <c r="CM2" s="48" t="s">
        <v>345</v>
      </c>
      <c r="CN2" s="48" t="s">
        <v>346</v>
      </c>
      <c r="CO2" s="48" t="s">
        <v>347</v>
      </c>
      <c r="CP2" s="48" t="s">
        <v>348</v>
      </c>
      <c r="CQ2" s="48" t="s">
        <v>367</v>
      </c>
      <c r="CR2" s="48" t="s">
        <v>349</v>
      </c>
      <c r="CS2" s="48" t="s">
        <v>366</v>
      </c>
      <c r="CT2" s="48" t="s">
        <v>350</v>
      </c>
      <c r="CU2" s="48" t="s">
        <v>339</v>
      </c>
      <c r="CV2" s="48" t="s">
        <v>340</v>
      </c>
      <c r="CW2" s="48" t="s">
        <v>341</v>
      </c>
      <c r="CX2" s="48" t="s">
        <v>169</v>
      </c>
      <c r="CY2" s="48" t="s">
        <v>170</v>
      </c>
      <c r="CZ2" s="48" t="s">
        <v>551</v>
      </c>
      <c r="DA2" s="48" t="s">
        <v>218</v>
      </c>
      <c r="DB2" s="48" t="s">
        <v>320</v>
      </c>
      <c r="DC2" s="48" t="s">
        <v>314</v>
      </c>
      <c r="DD2" s="48" t="s">
        <v>315</v>
      </c>
      <c r="DE2" s="48" t="s">
        <v>317</v>
      </c>
      <c r="DF2" s="48" t="s">
        <v>316</v>
      </c>
      <c r="DG2" s="48" t="str">
        <f xml:space="preserve">
IF($BX$30="A",$BY$32&amp;" "&amp;"rank",
IF($BX$30="B",$BY$33,
IF($BX$30="C",$BY$34,
IF($BX$30="D",$BY$35,
IF($BX$30="E",$BY$36,
$BY$37)))))</f>
        <v>CLUSTER RANK</v>
      </c>
    </row>
    <row r="3" spans="1:111" ht="30" customHeight="1" x14ac:dyDescent="0.55000000000000004">
      <c r="A3" s="21">
        <f>RawData[[#This Row],[Num]]</f>
        <v>1</v>
      </c>
      <c r="B3" s="22" t="str">
        <f>IFERROR(VLOOKUP($A3,'Raw Data'!$A$3:$EA$30,2,0)," ")</f>
        <v>I Do Care</v>
      </c>
      <c r="C3" s="8">
        <f>IFERROR(VLOOKUP($A3,'Raw Data'!$A$3:$EA$30,6,0)," ")</f>
        <v>45</v>
      </c>
      <c r="D3" s="8">
        <f>IFERROR(VLOOKUP($A3,'Raw Data'!$A$3:$EA$30,7,0)," ")</f>
        <v>6</v>
      </c>
      <c r="E3" s="149">
        <f>IFERROR(VLOOKUP($A3,'Raw Data'!$A$3:$EA$29,10,0)," ")</f>
        <v>18</v>
      </c>
      <c r="F3" s="273">
        <f>IFERROR(VLOOKUP(dashboard[[#This Row],[BOX]],'Raw Data'!$A$3:$EA$32,130)," ")</f>
        <v>12321</v>
      </c>
      <c r="G3" s="49">
        <f>IF(ISERROR(D3/dashboard[[#This Row],[RUNS]])," ",(D3/dashboard[[#This Row],[RUNS]]))</f>
        <v>0.13333333333333333</v>
      </c>
      <c r="H3" s="7">
        <f>IF(ISERROR(dashboard[[#This Row],[Wins Data]]/$G$29),0,dashboard[[#This Row],[Wins Data]]/$G$29)</f>
        <v>0.11434971731243532</v>
      </c>
      <c r="I3" s="8">
        <f>IF(dashboard[[#This Row],[Column2]]=1,($I$30/J$29)," ")</f>
        <v>0</v>
      </c>
      <c r="J3" s="17">
        <f t="shared" ref="J3:J26" si="0">IF(H3&gt;H$31,1," ")</f>
        <v>1</v>
      </c>
      <c r="K3" s="49">
        <f>IF(ISERROR(E3/C3)," ",(E3/C3))</f>
        <v>0.4</v>
      </c>
      <c r="L3" s="7">
        <f>IF(ISERROR(K3/$K$29),0,(K3/$K$29))</f>
        <v>0.12750087533866597</v>
      </c>
      <c r="M3" s="8">
        <f>IF(dashboard[[#This Row],[Column1]]=1,($M$30/N$29)," ")</f>
        <v>0</v>
      </c>
      <c r="N3" s="17">
        <f t="shared" ref="N3:N26" si="1">IF(L3&gt;L$31,1," ")</f>
        <v>1</v>
      </c>
      <c r="O3" s="49">
        <f t="shared" ref="O3:O26" si="2">IFERROR((F3)^2," ")</f>
        <v>151807041</v>
      </c>
      <c r="P3" s="7">
        <f t="shared" ref="P3" si="3">IF(ISERROR(O3/$O$29),0,(O3/$O$29))</f>
        <v>0.22204411284690406</v>
      </c>
      <c r="Q3" s="8">
        <f>IF(dashboard[[#This Row],[Column3]]=1,($Q$30/$R$29)," ")</f>
        <v>21857.109771892046</v>
      </c>
      <c r="R3" s="17">
        <f t="shared" ref="R3:R26" si="4">IF(P3&gt;P$31,1," ")</f>
        <v>1</v>
      </c>
      <c r="S3" s="49">
        <f>IF(ISERROR(VLOOKUP($A3,'Raw Data'!$A$3:$EA$30,121,0))," ",VLOOKUP($A3,'Raw Data'!$A$3:$EA$30,121,0))</f>
        <v>1</v>
      </c>
      <c r="T3" s="7">
        <f t="shared" ref="T3" si="5">IF(ISERROR(S3/$S$29),0,(S3/$S$29))</f>
        <v>3.2051282051282055E-2</v>
      </c>
      <c r="U3" s="8" t="str">
        <f t="shared" ref="U3:U26" si="6">IF(V3=1,($U$30/$V$29)," ")</f>
        <v xml:space="preserve"> </v>
      </c>
      <c r="V3" s="17" t="str">
        <f t="shared" ref="V3:V26" si="7">IF(T3&lt;=$T$31,1," ")</f>
        <v xml:space="preserve"> </v>
      </c>
      <c r="W3" s="49">
        <f>IFERROR(VLOOKUP($A3,'Raw Data'!$A$3:$EA$30,123,0)^2," ")</f>
        <v>108900</v>
      </c>
      <c r="X3" s="7">
        <f>IF(ISERROR(W3/$W$29),0,(W3/$W$29))</f>
        <v>0.25115313653136534</v>
      </c>
      <c r="Y3" s="8" t="str">
        <f t="shared" ref="Y3:Y26" si="8">IF(Z3=1,($Y$30/$Z$29)," ")</f>
        <v xml:space="preserve"> </v>
      </c>
      <c r="Z3" s="17" t="str">
        <f t="shared" ref="Z3:Z26" si="9">IF(X3&lt;=$X$31,1," ")</f>
        <v xml:space="preserve"> </v>
      </c>
      <c r="AA3" s="219">
        <f>IF(ISERROR(VLOOKUP($A3,'Raw Data'!$A$3:$EA$30,36,0))," ",VLOOKUP($A3,'Raw Data'!$A$3:$EA$30,36,0))</f>
        <v>0</v>
      </c>
      <c r="AB3" s="7">
        <f t="shared" ref="AB3" si="10">IF(ISERROR(AA3/$AA$29),0,(AA3/$AA$29))</f>
        <v>0</v>
      </c>
      <c r="AC3" s="8" t="str">
        <f>IF(dashboard[[#This Row],[Column6]]=1,($AC$30/$AD$29)," ")</f>
        <v xml:space="preserve"> </v>
      </c>
      <c r="AD3" s="17" t="str">
        <f t="shared" ref="AD3:AD26" si="11">IF(AB3&gt;AB$31,1," ")</f>
        <v xml:space="preserve"> </v>
      </c>
      <c r="AE3" s="49">
        <f>IF(ISERROR((100/(VLOOKUP($A3,'Raw Data'!$A$3:$X$32,'A1. PICKS'!$I$2,0))))," ",100/(VLOOKUP($A3,'Raw Data'!$A$3:$X$32,'A1. PICKS'!$I$2,0)))</f>
        <v>4.7619047619047619</v>
      </c>
      <c r="AF3" s="7">
        <f t="shared" ref="AF3" si="12">IF(ISERROR(AE3/$AE$29),0,(AE3/$AE$29))</f>
        <v>4.2737097745891142E-2</v>
      </c>
      <c r="AG3" s="8">
        <f>IF(dashboard[[#This Row],[Column7]]=1,($AG$30/$AH$29)," ")</f>
        <v>12701.272502744197</v>
      </c>
      <c r="AH3" s="17">
        <f t="shared" ref="AH3:AH26" si="13">IF(AF3&gt;AF$31,1," ")</f>
        <v>1</v>
      </c>
      <c r="AI3" s="49">
        <f>IFERROR(VLOOKUP($A3,'Raw Data'!$A$3:$EA$29,120,0)," ")</f>
        <v>2</v>
      </c>
      <c r="AJ3" s="7">
        <f>IF(ISERROR(AI3/$AI$29),0,(AI3/$AI$29))</f>
        <v>4.7619047619047616E-2</v>
      </c>
      <c r="AK3" s="8" t="str">
        <f>IF(dashboard[[#This Row],[Column8]]=1,($AK$30/$AL$29)," ")</f>
        <v xml:space="preserve"> </v>
      </c>
      <c r="AL3" s="17" t="str">
        <f t="shared" ref="AL3:AL26" si="14">IF(AJ3&lt;=AJ$31,1," ")</f>
        <v xml:space="preserve"> </v>
      </c>
      <c r="AM3" s="49">
        <f>IF(ISERROR(VLOOKUP($A3,'Raw Data'!$A$3:$EA$30,31,0))," ",VLOOKUP($A3,'Raw Data'!$A$3:$EA$30,31,0))</f>
        <v>-16</v>
      </c>
      <c r="AN3" s="7">
        <f t="shared" ref="AN3" si="15">IF(ISERROR(AM3/$AM$29),0,(AM3/$AM$29))</f>
        <v>7.8817733990147784E-2</v>
      </c>
      <c r="AO3" s="8">
        <f>IF(dashboard[[#This Row],[Column9]]=1,($AO$30/$AP$29)," ")</f>
        <v>53852.439244855435</v>
      </c>
      <c r="AP3" s="17">
        <f t="shared" ref="AP3:AP26" si="16">IF(AN3&gt;AN$31,1," ")</f>
        <v>1</v>
      </c>
      <c r="AQ3" s="49">
        <f>IF(ISERROR(VLOOKUP($A3,'Raw Data'!$A$3:$EA$30,39,0))," ",VLOOKUP($A3,'Raw Data'!$A$3:$EA$30,39,0))</f>
        <v>0</v>
      </c>
      <c r="AR3" s="7">
        <f t="shared" ref="AR3" si="17">IF(ISERROR(AQ3/$AQ$29),0,(AQ3/$AQ$29))</f>
        <v>0</v>
      </c>
      <c r="AS3" s="8" t="str">
        <f>IF(dashboard[[#This Row],[Column10]]=1,($AS$30/$AT$29)," ")</f>
        <v xml:space="preserve"> </v>
      </c>
      <c r="AT3" s="17" t="str">
        <f t="shared" ref="AT3:AT26" si="18">IF(AR3&gt;AR$31,1," ")</f>
        <v xml:space="preserve"> </v>
      </c>
      <c r="AU3" s="49">
        <f>IFERROR(VLOOKUP($A3,'Raw Data'!$A$3:$EA$30,20,0)," ")</f>
        <v>1887</v>
      </c>
      <c r="AV3" s="7">
        <f t="shared" ref="AV3" si="19">IF(ISERROR(AU3/$AU$29),0,(AU3/$AU$29))</f>
        <v>0.13204114477643272</v>
      </c>
      <c r="AW3" s="8">
        <f>IF(dashboard[[#This Row],[Column11]]=1,($AW$30/$AX$29)," ")</f>
        <v>0</v>
      </c>
      <c r="AX3" s="17">
        <f t="shared" ref="AX3:AX26" si="20">IF(AV3&gt;AV$31,1," ")</f>
        <v>1</v>
      </c>
      <c r="AY3" s="49">
        <f>IF(ISERROR(VLOOKUP($A3,'Raw Data'!$A$3:$EA$30,75,0))," ",VLOOKUP($A3,'Raw Data'!$A$3:$EA$30,75,0))</f>
        <v>10.83</v>
      </c>
      <c r="AZ3" s="7">
        <f t="shared" ref="AZ3" si="21">IF(ISERROR(AY3/$AY$29),0,(AY3/$AY$29))</f>
        <v>0.12753179463024022</v>
      </c>
      <c r="BA3" s="8">
        <f t="shared" ref="BA3:BA26" si="22">IF(BB3=1,($BA$30/$BB$29)," ")</f>
        <v>0</v>
      </c>
      <c r="BB3" s="17">
        <f t="shared" ref="BB3" si="23">IF(AZ3&gt;$AZ$31,1," ")</f>
        <v>1</v>
      </c>
      <c r="BC3" s="49">
        <f>IF(ISERROR(VLOOKUP($A3,'Raw Data'!$A$3:$EA$30,108,0))," ",VLOOKUP($A3,'Raw Data'!$A$3:$EA$30,108,0))</f>
        <v>13.04</v>
      </c>
      <c r="BD3" s="7">
        <f t="shared" ref="BD3" si="24">IF(ISERROR(BC3/$BC$29),0,(BC3/$BC$29))</f>
        <v>0.17484580316438722</v>
      </c>
      <c r="BE3" s="8">
        <f t="shared" ref="BE3:BE26" si="25">IF(BF3=1,($BE$30/$BF$29)," ")</f>
        <v>0</v>
      </c>
      <c r="BF3" s="17">
        <f t="shared" ref="BF3" si="26">IF(BD3&gt;$BD$31,1," ")</f>
        <v>1</v>
      </c>
      <c r="BG3" s="49">
        <f>IF(ISERROR(VLOOKUP($A3,'Raw Data'!$A$3:$EA$30,48,0))," ",VLOOKUP($A3,'Raw Data'!$A$3:$EA$30,48,0))</f>
        <v>20</v>
      </c>
      <c r="BH3" s="7">
        <f t="shared" ref="BH3" si="27">IF(ISERROR(BG3/$BG$29),0,(BG3/$BG$29))</f>
        <v>0.32749304077288355</v>
      </c>
      <c r="BI3" s="8">
        <f t="shared" ref="BI3:BI26" si="28">IF(BJ3=1,($BI$30/$BJ$29)," ")</f>
        <v>21787.483204116354</v>
      </c>
      <c r="BJ3" s="17">
        <f>IF(BH3&gt;$BH$31,1," ")</f>
        <v>1</v>
      </c>
      <c r="BK3" s="49">
        <f>IF(ISERROR(VLOOKUP($A3,'Raw Data'!$A$3:$EA$30,39,0))," ",VLOOKUP($A3,'Raw Data'!$A$3:$EA$30,39,0))</f>
        <v>0</v>
      </c>
      <c r="BL3" s="7">
        <f t="shared" ref="BL3" si="29">IF(ISERROR(BK3/$BK$29),0,(BK3/$BK$29))</f>
        <v>0</v>
      </c>
      <c r="BM3" s="8" t="str">
        <f t="shared" ref="BM3:BM26" si="30">IF(BL3&gt;$BL$31,($BM$30/$BN$29)," ")</f>
        <v xml:space="preserve"> </v>
      </c>
      <c r="BN3" s="17" t="str">
        <f t="shared" ref="BN3:BN26" si="31">IF(BL3&gt;BL$31,1," ")</f>
        <v xml:space="preserve"> </v>
      </c>
      <c r="BP3" s="8">
        <f t="shared" ref="BP3:BP26" si="32">IFERROR(SUM(BE3,BA3,I3,M3,Q3,U3,Y3,AC3,AG3,AK3,AO3,AS3,AW3,BI3,BM3)," ")</f>
        <v>110198.30472360802</v>
      </c>
      <c r="BR3" s="9">
        <f t="shared" ref="BR3:BR26" si="33">IFERROR((BP3/$BP$29)," ")</f>
        <v>0.11019830472360802</v>
      </c>
      <c r="BS3" s="10">
        <f t="shared" ref="BS3:BS26" si="34">IFERROR(STANDARDIZE(BR3,$BW$32,$BW$34)," ")</f>
        <v>1.3035015290510199</v>
      </c>
      <c r="BT3" s="61">
        <f t="shared" ref="BT3:BT26" si="35">IFERROR(NORMDIST(BS3,$BW$32,$BW$34,FALSE)," ")</f>
        <v>6.2599804304082164E-125</v>
      </c>
      <c r="BU3" s="32" t="str">
        <f t="shared" ref="BU3:BU26" si="36">IF(CI3&lt;=8,REPT("|",CI3/MAX(CI$3:CI$26)*75)," ")</f>
        <v>|||||||||||||||||||||||||</v>
      </c>
      <c r="BV3" s="29" t="str">
        <f t="shared" ref="BV3:BV26" si="37">IF(CX3&lt;=CW$29,REPT("|",CX3/MAX($CX$3:$CX$26)*75)," ")</f>
        <v xml:space="preserve"> </v>
      </c>
      <c r="BW3" s="34" t="str">
        <f t="shared" ref="BW3:BW26" si="38">IF(CY3&lt;=CW$29,REPT("|",CY3/MAX(CY$3:CY$26)*75)," ")</f>
        <v xml:space="preserve"> </v>
      </c>
      <c r="BX3" s="46" t="str">
        <f t="shared" ref="BX3:BX26" si="39">IF(CF3&lt;=8,REPT("|",CF3/MAX(CF$3:CF$26)*75)," ")</f>
        <v xml:space="preserve"> </v>
      </c>
      <c r="BY3" s="220" t="str">
        <f t="shared" ref="BY3:BY26" si="40">IF(CZ3&lt;=8,REPT("|",CZ3/MAX(CZ$3:CZ$26)*75)," ")</f>
        <v>||||||||||||||||||||||||||||||||||||||||||||||||||||||||</v>
      </c>
      <c r="BZ3" s="46" t="str">
        <f t="shared" ref="BZ3:BZ26" si="41">IF(CG3&lt;=8,REPT("|",CG3/MAX(CG$3:CG$26)*75)," ")</f>
        <v xml:space="preserve"> </v>
      </c>
      <c r="CA3" s="229" t="str">
        <f t="shared" ref="CA3:CA26" si="42">IF(DG3&lt;=8,REPT("|",DG3/MAX(DG$3:DG$26)*75)," ")</f>
        <v>||||||||||||||||||||||||||||||||||||||||||||||||||||||||</v>
      </c>
      <c r="CB3" s="221" t="str">
        <f t="shared" ref="CB3:CB26" si="43">IF(DA3&lt;8,REPT("|",DA3/MAX(DA$3:DA$26)*75)," ")</f>
        <v>|||||||||||||||||||||||||||||||||||||</v>
      </c>
      <c r="CC3" s="57">
        <f>IFERROR(($BW$36-BS3)," ")</f>
        <v>-1.3341920754275536</v>
      </c>
      <c r="CD3" s="57">
        <f>IFERROR(($BW$35-BS3)," ")</f>
        <v>-0.14050293755660204</v>
      </c>
      <c r="CE3" s="58">
        <f xml:space="preserve">
IF(AND($CY$29&gt;=$CX$29,$P$29&gt;=$P$31),AVERAGE(CX3,CX3),
IF(AND($CY$29&lt;$CX$29,$P$29&gt;=$P$31),AVERAGE(CY3,CE3),
IF(AND($CY$29&gt;=$CX$29,$P$29&lt;$P$31),AVERAGE(CE3),
IF(AND($CY$29&lt;$CX$29,$P$29&gt;=$P$31),AVERAGE(CY3,CX3),
AVERAGE(CE3)))))</f>
        <v>19</v>
      </c>
      <c r="CF3" s="58">
        <f>IFERROR(RANK(CE3,$CE$3:$CE$26,1)," ")</f>
        <v>19</v>
      </c>
      <c r="CG3" s="57">
        <f>IFERROR(RANK(BT3,$BT$3:$BT$26,0)," ")</f>
        <v>19</v>
      </c>
      <c r="CH3" s="57">
        <f>IFERROR(RANK(AJ3,$AJ$3:$AJ$26,0)," ")</f>
        <v>7</v>
      </c>
      <c r="CI3" s="57">
        <f>IFERROR(RANK($BR3,$BR$3:$BR$26,0)," ")</f>
        <v>3</v>
      </c>
      <c r="CJ3" s="196">
        <f>IFERROR(RANK($AF3,$AF$3:$AF$26,0)," ")</f>
        <v>6</v>
      </c>
      <c r="CK3" s="57">
        <f>IFERROR(RANK($AR3,$AR$3:$AR$26,0)," ")</f>
        <v>7</v>
      </c>
      <c r="CL3" s="57">
        <f>IFERROR(RANK($AN3,$AN$3:$AN$26,0)," ")</f>
        <v>5</v>
      </c>
      <c r="CM3" s="57">
        <f>IFERROR(RANK(AZ3,$AZ$3:$AZ$26,0)," ")</f>
        <v>4</v>
      </c>
      <c r="CN3" s="57">
        <f>IFERROR(RANK(BD3,$BD$3:$BD$26,0)," ")</f>
        <v>3</v>
      </c>
      <c r="CO3" s="57">
        <f>IFERROR(RANK(T3,$T$3:$T$26,1)," ")</f>
        <v>17</v>
      </c>
      <c r="CP3" s="57">
        <f>IFERROR(RANK(X3,$X$3:$X$26,1)," ")</f>
        <v>23</v>
      </c>
      <c r="CQ3" s="57">
        <f>IFERROR(RANK(BL3,$BL$3:$BL$26,0)," ")</f>
        <v>7</v>
      </c>
      <c r="CR3" s="57">
        <f>IFERROR(RANK(BH3,$BH$3:$BH$26,0)," ")</f>
        <v>1</v>
      </c>
      <c r="CS3" s="57">
        <f>IFERROR(RANK(H3,$H$3:$H$26,0)," ")</f>
        <v>6</v>
      </c>
      <c r="CT3" s="57">
        <f>IFERROR(RANK(L3,$L$3:$L$26,0)," ")</f>
        <v>4</v>
      </c>
      <c r="CU3" s="57">
        <f>IF(dashboard[[#This Row],[COHENSION]]=" "," ",_xlfn.RANK.AVG(F3,$F$3:$F$26,0))</f>
        <v>2</v>
      </c>
      <c r="CV3" s="57">
        <f>IFERROR(RANK(AB3,$AB$3:$AB$26,0)," ")</f>
        <v>3</v>
      </c>
      <c r="CW3" s="57">
        <f>IFERROR(RANK(AV3,$AV$3:$AV$26,0)," ")</f>
        <v>3</v>
      </c>
      <c r="CX3" s="58">
        <f>IFERROR(RANK($CC3,$CC$3:$CC$26,0)," ")</f>
        <v>19</v>
      </c>
      <c r="CY3" s="58">
        <f>IFERROR(RANK($CD3,$CD$3:$CD$26,0)," ")</f>
        <v>19</v>
      </c>
      <c r="CZ3" s="58">
        <f>IFERROR(VLOOKUP($A3,'cluster'!$A$20:$CI$45,86,0),CU3)</f>
        <v>6</v>
      </c>
      <c r="DA3" s="58">
        <f>IF(ISERROR(VLOOKUP(A3,'Raw Data'!$A$3:$DY$29,129,FALSE))," ",VLOOKUP(A3,'Raw Data'!$A$3:$DY$29,129,FALSE))</f>
        <v>4</v>
      </c>
      <c r="DB3" s="58">
        <f t="shared" ref="DB3:DB26" si="44">IF(ISERROR(DA3-CF3)," ",(DA3-CF3))</f>
        <v>-15</v>
      </c>
      <c r="DC3" s="58">
        <f>IFERROR((CF3-$CZ$29)^2," ")</f>
        <v>213.890625</v>
      </c>
      <c r="DD3" s="58">
        <f>IFERROR(RANK(DC3,$DC$3:$DC$26,1)," ")</f>
        <v>19</v>
      </c>
      <c r="DE3" s="58">
        <f t="shared" ref="DE3:DE26" si="45">COUNTIF(CH3:CZ3,"&lt;"&amp;$DE$29)</f>
        <v>0</v>
      </c>
      <c r="DF3" s="58">
        <f t="shared" ref="DF3:DF26" si="46">IF(DE3=0,CF3,RANK(DE3,$DE$3:$DE$26,0))</f>
        <v>19</v>
      </c>
      <c r="DG3" s="58">
        <f t="shared" ref="DG3:DG26" si="47">IFERROR(INDEX($CG3:$DF3,MATCH($DG$2,$CG$2:$DF$2,))," ")</f>
        <v>6</v>
      </c>
    </row>
    <row r="4" spans="1:111" ht="30" customHeight="1" x14ac:dyDescent="0.55000000000000004">
      <c r="A4" s="21">
        <f>RawData[[#This Row],[Num]]</f>
        <v>2</v>
      </c>
      <c r="B4" s="22" t="str">
        <f>IFERROR(VLOOKUP($A4,'Raw Data'!$A$3:$EA$30,2,0)," ")</f>
        <v>Brave Dazzler</v>
      </c>
      <c r="C4" s="8">
        <f>IFERROR(VLOOKUP($A4,'Raw Data'!$A$3:$EA$30,6,0)," ")</f>
        <v>58</v>
      </c>
      <c r="D4" s="8">
        <f>IFERROR(VLOOKUP($A4,'Raw Data'!$A$3:$EA$30,7,0)," ")</f>
        <v>8</v>
      </c>
      <c r="E4" s="149">
        <f>IFERROR(VLOOKUP($A4,'Raw Data'!$A$3:$EA$29,10,0)," ")</f>
        <v>27</v>
      </c>
      <c r="F4" s="273">
        <f>IFERROR(VLOOKUP(dashboard[[#This Row],[BOX]],'Raw Data'!$A$3:$EA$32,130)," ")</f>
        <v>21618.801111111112</v>
      </c>
      <c r="G4" s="49">
        <f>IF(ISERROR(D4/dashboard[[#This Row],[RUNS]])," ",(D4/dashboard[[#This Row],[RUNS]]))</f>
        <v>0.13793103448275862</v>
      </c>
      <c r="H4" s="7">
        <f>IF(ISERROR(dashboard[[#This Row],[Wins Data]]/$G$29),0,dashboard[[#This Row],[Wins Data]]/$G$29)</f>
        <v>0.11829281101286411</v>
      </c>
      <c r="I4" s="8">
        <f>IF(dashboard[[#This Row],[Column2]]=1,($I$30/J$29)," ")</f>
        <v>0</v>
      </c>
      <c r="J4" s="17">
        <f t="shared" si="0"/>
        <v>1</v>
      </c>
      <c r="K4" s="49">
        <f t="shared" ref="K4:K26" si="48">IF(ISERROR(E4/C4)," ",(E4/C4))</f>
        <v>0.46551724137931033</v>
      </c>
      <c r="L4" s="7">
        <f t="shared" ref="L4:L26" si="49">IF(ISERROR(K4/$K$29),0,(K4/$K$29))</f>
        <v>0.14838463940275781</v>
      </c>
      <c r="M4" s="8">
        <f>IF(dashboard[[#This Row],[Column1]]=1,($M$30/N$29)," ")</f>
        <v>0</v>
      </c>
      <c r="N4" s="17">
        <f t="shared" si="1"/>
        <v>1</v>
      </c>
      <c r="O4" s="49">
        <f t="shared" si="2"/>
        <v>467372561.48177904</v>
      </c>
      <c r="P4" s="7">
        <f t="shared" ref="P4:P26" si="50">IF(ISERROR(O4/$O$29),0,(O4/$O$29))</f>
        <v>0.68361338907334834</v>
      </c>
      <c r="Q4" s="8">
        <f>IF(dashboard[[#This Row],[Column3]]=1,($Q$30/$R$29)," ")</f>
        <v>21857.109771892046</v>
      </c>
      <c r="R4" s="17">
        <f t="shared" si="4"/>
        <v>1</v>
      </c>
      <c r="S4" s="49">
        <f>IF(ISERROR(VLOOKUP($A4,'Raw Data'!$A$3:$EA$30,121,0))," ",VLOOKUP($A4,'Raw Data'!$A$3:$EA$30,121,0))</f>
        <v>5.0999999999999996</v>
      </c>
      <c r="T4" s="7">
        <f t="shared" ref="T4:T26" si="51">IF(ISERROR(S4/$S$29),0,(S4/$S$29))</f>
        <v>0.16346153846153846</v>
      </c>
      <c r="U4" s="8" t="str">
        <f t="shared" si="6"/>
        <v xml:space="preserve"> </v>
      </c>
      <c r="V4" s="17" t="str">
        <f t="shared" si="7"/>
        <v xml:space="preserve"> </v>
      </c>
      <c r="W4" s="49">
        <f>IFERROR(VLOOKUP($A4,'Raw Data'!$A$3:$EA$30,123,0)^2," ")</f>
        <v>184900</v>
      </c>
      <c r="X4" s="7">
        <f t="shared" ref="X4:X26" si="52">IF(ISERROR(W4/$W$29),0,(W4/$W$29))</f>
        <v>0.42642988929889297</v>
      </c>
      <c r="Y4" s="8" t="str">
        <f t="shared" si="8"/>
        <v xml:space="preserve"> </v>
      </c>
      <c r="Z4" s="17" t="str">
        <f t="shared" si="9"/>
        <v xml:space="preserve"> </v>
      </c>
      <c r="AA4" s="219">
        <f>IF(ISERROR(VLOOKUP($A4,'Raw Data'!$A$3:$EA$30,36,0))," ",VLOOKUP($A4,'Raw Data'!$A$3:$EA$30,36,0))</f>
        <v>0</v>
      </c>
      <c r="AB4" s="7">
        <f t="shared" ref="AB4:AB26" si="53">IF(ISERROR(AA4/$AA$29),0,(AA4/$AA$29))</f>
        <v>0</v>
      </c>
      <c r="AC4" s="8" t="str">
        <f>IF(dashboard[[#This Row],[Column6]]=1,($AC$30/$AD$29)," ")</f>
        <v xml:space="preserve"> </v>
      </c>
      <c r="AD4" s="17" t="str">
        <f t="shared" si="11"/>
        <v xml:space="preserve"> </v>
      </c>
      <c r="AE4" s="49">
        <f>IF(ISERROR((100/(VLOOKUP($A4,'Raw Data'!$A$3:$X$32,'A1. PICKS'!$I$2,0))))," ",100/(VLOOKUP($A4,'Raw Data'!$A$3:$X$32,'A1. PICKS'!$I$2,0)))</f>
        <v>30.76923076923077</v>
      </c>
      <c r="AF4" s="7">
        <f t="shared" ref="AF4:AF26" si="54">IF(ISERROR(AE4/$AE$29),0,(AE4/$AE$29))</f>
        <v>0.27614740081960432</v>
      </c>
      <c r="AG4" s="8">
        <f>IF(dashboard[[#This Row],[Column7]]=1,($AG$30/$AH$29)," ")</f>
        <v>12701.272502744197</v>
      </c>
      <c r="AH4" s="17">
        <f t="shared" si="13"/>
        <v>1</v>
      </c>
      <c r="AI4" s="49">
        <f>IFERROR(VLOOKUP($A4,'Raw Data'!$A$3:$EA$29,120,0)," ")</f>
        <v>6</v>
      </c>
      <c r="AJ4" s="7">
        <f t="shared" ref="AJ4:AJ26" si="55">IF(ISERROR(AI4/$AI$29),0,(AI4/$AI$29))</f>
        <v>0.14285714285714285</v>
      </c>
      <c r="AK4" s="8" t="str">
        <f>IF(dashboard[[#This Row],[Column8]]=1,($AK$30/$AL$29)," ")</f>
        <v xml:space="preserve"> </v>
      </c>
      <c r="AL4" s="17" t="str">
        <f t="shared" si="14"/>
        <v xml:space="preserve"> </v>
      </c>
      <c r="AM4" s="49">
        <f>IF(ISERROR(VLOOKUP($A4,'Raw Data'!$A$3:$EA$30,31,0))," ",VLOOKUP($A4,'Raw Data'!$A$3:$EA$30,31,0))</f>
        <v>-5</v>
      </c>
      <c r="AN4" s="7">
        <f t="shared" ref="AN4:AN26" si="56">IF(ISERROR(AM4/$AM$29),0,(AM4/$AM$29))</f>
        <v>2.4630541871921183E-2</v>
      </c>
      <c r="AO4" s="8">
        <f>IF(dashboard[[#This Row],[Column9]]=1,($AO$30/$AP$29)," ")</f>
        <v>53852.439244855435</v>
      </c>
      <c r="AP4" s="17">
        <f t="shared" si="16"/>
        <v>1</v>
      </c>
      <c r="AQ4" s="49">
        <f>IF(ISERROR(VLOOKUP($A4,'Raw Data'!$A$3:$EA$30,39,0))," ",VLOOKUP($A4,'Raw Data'!$A$3:$EA$30,39,0))</f>
        <v>50</v>
      </c>
      <c r="AR4" s="7">
        <f t="shared" ref="AR4:AR26" si="57">IF(ISERROR(AQ4/$AQ$29),0,(AQ4/$AQ$29))</f>
        <v>0.19480266490045584</v>
      </c>
      <c r="AS4" s="8">
        <f>IF(dashboard[[#This Row],[Column10]]=1,($AS$30/$AT$29)," ")</f>
        <v>0</v>
      </c>
      <c r="AT4" s="17">
        <f t="shared" si="18"/>
        <v>1</v>
      </c>
      <c r="AU4" s="49">
        <f>IFERROR(VLOOKUP($A4,'Raw Data'!$A$3:$EA$30,20,0)," ")</f>
        <v>2721</v>
      </c>
      <c r="AV4" s="7">
        <f t="shared" ref="AV4:AV26" si="58">IF(ISERROR(AU4/$AU$29),0,(AU4/$AU$29))</f>
        <v>0.1903995521656987</v>
      </c>
      <c r="AW4" s="8">
        <f>IF(dashboard[[#This Row],[Column11]]=1,($AW$30/$AX$29)," ")</f>
        <v>0</v>
      </c>
      <c r="AX4" s="17">
        <f t="shared" si="20"/>
        <v>1</v>
      </c>
      <c r="AY4" s="49">
        <f>IF(ISERROR(VLOOKUP($A4,'Raw Data'!$A$3:$EA$30,75,0))," ",VLOOKUP($A4,'Raw Data'!$A$3:$EA$30,75,0))</f>
        <v>7.53</v>
      </c>
      <c r="AZ4" s="7">
        <f t="shared" ref="AZ4:AZ26" si="59">IF(ISERROR(AY4/$AY$29),0,(AY4/$AY$29))</f>
        <v>8.8671691003297221E-2</v>
      </c>
      <c r="BA4" s="8">
        <f t="shared" si="22"/>
        <v>0</v>
      </c>
      <c r="BB4" s="17">
        <f t="shared" ref="BB4:BB26" si="60">IF(AZ4&gt;$AZ$31,1," ")</f>
        <v>1</v>
      </c>
      <c r="BC4" s="49">
        <f>IF(ISERROR(VLOOKUP($A4,'Raw Data'!$A$3:$EA$30,108,0))," ",VLOOKUP($A4,'Raw Data'!$A$3:$EA$30,108,0))</f>
        <v>14.17</v>
      </c>
      <c r="BD4" s="7">
        <f t="shared" ref="BD4:BD26" si="61">IF(ISERROR(BC4/$BC$29),0,(BC4/$BC$29))</f>
        <v>0.18999731831590239</v>
      </c>
      <c r="BE4" s="8">
        <f t="shared" si="25"/>
        <v>0</v>
      </c>
      <c r="BF4" s="17">
        <f t="shared" ref="BF4:BF26" si="62">IF(BD4&gt;$BD$31,1," ")</f>
        <v>1</v>
      </c>
      <c r="BG4" s="49">
        <f>IF(ISERROR(VLOOKUP($A4,'Raw Data'!$A$3:$EA$30,48,0))," ",VLOOKUP($A4,'Raw Data'!$A$3:$EA$30,48,0))</f>
        <v>7.69</v>
      </c>
      <c r="BH4" s="7">
        <f t="shared" ref="BH4:BH26" si="63">IF(ISERROR(BG4/$BG$29),0,(BG4/$BG$29))</f>
        <v>0.12592107417717371</v>
      </c>
      <c r="BI4" s="8">
        <f t="shared" si="28"/>
        <v>21787.483204116354</v>
      </c>
      <c r="BJ4" s="17">
        <f t="shared" ref="BJ4:BJ26" si="64">IF(BH4&gt;$BH$31,1," ")</f>
        <v>1</v>
      </c>
      <c r="BK4" s="49">
        <f>IF(ISERROR(VLOOKUP($A4,'Raw Data'!$A$3:$EA$30,39,0))," ",VLOOKUP($A4,'Raw Data'!$A$3:$EA$30,39,0))</f>
        <v>50</v>
      </c>
      <c r="BL4" s="7">
        <f t="shared" ref="BL4:BL26" si="65">IF(ISERROR(BK4/$BK$29),0,(BK4/$BK$29))</f>
        <v>0.19480266490045584</v>
      </c>
      <c r="BM4" s="8">
        <f t="shared" si="30"/>
        <v>0</v>
      </c>
      <c r="BN4" s="17">
        <f t="shared" si="31"/>
        <v>1</v>
      </c>
      <c r="BP4" s="8">
        <f t="shared" si="32"/>
        <v>110198.30472360802</v>
      </c>
      <c r="BR4" s="9">
        <f t="shared" si="33"/>
        <v>0.11019830472360802</v>
      </c>
      <c r="BS4" s="10">
        <f t="shared" si="34"/>
        <v>1.3035015290510199</v>
      </c>
      <c r="BT4" s="61">
        <f t="shared" si="35"/>
        <v>6.2599804304082164E-125</v>
      </c>
      <c r="BU4" s="32" t="str">
        <f t="shared" si="36"/>
        <v>|||||||||||||||||||||||||</v>
      </c>
      <c r="BV4" s="29" t="str">
        <f t="shared" si="37"/>
        <v xml:space="preserve"> </v>
      </c>
      <c r="BW4" s="34" t="str">
        <f t="shared" si="38"/>
        <v xml:space="preserve"> </v>
      </c>
      <c r="BX4" s="46" t="str">
        <f t="shared" si="39"/>
        <v xml:space="preserve"> </v>
      </c>
      <c r="BY4" s="220" t="str">
        <f t="shared" si="40"/>
        <v>||||||||||||||||||</v>
      </c>
      <c r="BZ4" s="46" t="str">
        <f t="shared" si="41"/>
        <v xml:space="preserve"> </v>
      </c>
      <c r="CA4" s="229" t="str">
        <f t="shared" si="42"/>
        <v>||||||||||||||||||</v>
      </c>
      <c r="CB4" s="221" t="str">
        <f t="shared" si="43"/>
        <v>||||||||||||||||||||||||||||||||||||||||||||||||||||||||</v>
      </c>
      <c r="CC4" s="57">
        <f t="shared" ref="CC4:CC26" si="66">IFERROR(($BW$36-BS4)," ")</f>
        <v>-1.3341920754275536</v>
      </c>
      <c r="CD4" s="57">
        <f t="shared" ref="CD4:CD26" si="67">IFERROR(($BW$35-BS4)," ")</f>
        <v>-0.14050293755660204</v>
      </c>
      <c r="CE4" s="58">
        <f t="shared" ref="CE4:CE26" si="68" xml:space="preserve">
IF(AND($CY$29&gt;=$CX$29,$P$29&gt;=$P$31),AVERAGE(CX4,CX4),
IF(AND($CY$29&lt;$CX$29,$P$29&gt;=$P$31),AVERAGE(CY4,CE4),
IF(AND($CY$29&gt;=$CX$29,$P$29&lt;$P$31),AVERAGE(CE4),
IF(AND($CY$29&lt;$CX$29,$P$29&gt;=$P$31),AVERAGE(CY4,CX4),
AVERAGE(CE4)))))</f>
        <v>19</v>
      </c>
      <c r="CF4" s="58">
        <f t="shared" ref="CF4:CF26" si="69">IFERROR(RANK(CE4,$CE$3:$CE$26,1)," ")</f>
        <v>19</v>
      </c>
      <c r="CG4" s="57">
        <f t="shared" ref="CG4:CG26" si="70">IFERROR(RANK(BT4,$BT$3:$BT$26,0)," ")</f>
        <v>19</v>
      </c>
      <c r="CH4" s="57">
        <f t="shared" ref="CH4:CH26" si="71">IFERROR(RANK(AJ4,$AJ$3:$AJ$26,0)," ")</f>
        <v>4</v>
      </c>
      <c r="CI4" s="57">
        <f t="shared" ref="CI4:CI26" si="72">IFERROR(RANK($BR4,$BR$3:$BR$26,0)," ")</f>
        <v>3</v>
      </c>
      <c r="CJ4" s="196">
        <f t="shared" ref="CJ4:CJ26" si="73">IFERROR(RANK($AF4,$AF$3:$AF$26,0)," ")</f>
        <v>2</v>
      </c>
      <c r="CK4" s="57">
        <f t="shared" ref="CK4:CK26" si="74">IFERROR(RANK($AR4,$AR$3:$AR$26,0)," ")</f>
        <v>2</v>
      </c>
      <c r="CL4" s="57">
        <f t="shared" ref="CL4:CL26" si="75">IFERROR(RANK($AN4,$AN$3:$AN$26,0)," ")</f>
        <v>6</v>
      </c>
      <c r="CM4" s="57">
        <f t="shared" ref="CM4:CM26" si="76">IFERROR(RANK(AZ4,$AZ$3:$AZ$26,0)," ")</f>
        <v>8</v>
      </c>
      <c r="CN4" s="57">
        <f t="shared" ref="CN4:CN26" si="77">IFERROR(RANK(BD4,$BD$3:$BD$26,0)," ")</f>
        <v>2</v>
      </c>
      <c r="CO4" s="57">
        <f t="shared" ref="CO4:CO26" si="78">IFERROR(RANK(T4,$T$3:$T$26,1)," ")</f>
        <v>23</v>
      </c>
      <c r="CP4" s="57">
        <f t="shared" ref="CP4:CP26" si="79">IFERROR(RANK(X4,$X$3:$X$26,1)," ")</f>
        <v>24</v>
      </c>
      <c r="CQ4" s="57">
        <f t="shared" ref="CQ4:CQ26" si="80">IFERROR(RANK(BL4,$BL$3:$BL$26,0)," ")</f>
        <v>2</v>
      </c>
      <c r="CR4" s="57">
        <f t="shared" ref="CR4:CR26" si="81">IFERROR(RANK(BH4,$BH$3:$BH$26,0)," ")</f>
        <v>5</v>
      </c>
      <c r="CS4" s="57">
        <f t="shared" ref="CS4:CS26" si="82">IFERROR(RANK(H4,$H$3:$H$26,0)," ")</f>
        <v>5</v>
      </c>
      <c r="CT4" s="57">
        <f t="shared" ref="CT4:CT26" si="83">IFERROR(RANK(L4,$L$3:$L$26,0)," ")</f>
        <v>1</v>
      </c>
      <c r="CU4" s="57">
        <f>IF(dashboard[[#This Row],[COHENSION]]=" "," ",_xlfn.RANK.AVG(F4,$F$3:$F$26,0))</f>
        <v>1</v>
      </c>
      <c r="CV4" s="57">
        <f t="shared" ref="CV4:CV26" si="84">IFERROR(RANK(AB4,$AB$3:$AB$26,0)," ")</f>
        <v>3</v>
      </c>
      <c r="CW4" s="57">
        <f t="shared" ref="CW4:CW26" si="85">IFERROR(RANK(AV4,$AV$3:$AV$26,0)," ")</f>
        <v>1</v>
      </c>
      <c r="CX4" s="58">
        <f t="shared" ref="CX4:CX26" si="86">IFERROR(RANK($CC4,$CC$3:$CC$26,0)," ")</f>
        <v>19</v>
      </c>
      <c r="CY4" s="58">
        <f t="shared" ref="CY4:CY26" si="87">IFERROR(RANK($CD4,$CD$3:$CD$26,0)," ")</f>
        <v>19</v>
      </c>
      <c r="CZ4" s="58">
        <f>IFERROR(VLOOKUP($A4,'cluster'!$A$20:$CI$45,86,0),CU4)</f>
        <v>2</v>
      </c>
      <c r="DA4" s="58">
        <f>IF(ISERROR(VLOOKUP(A4,'Raw Data'!$A$3:$DY$29,129,FALSE))," ",VLOOKUP(A4,'Raw Data'!$A$3:$DY$29,129,FALSE))</f>
        <v>6</v>
      </c>
      <c r="DB4" s="58">
        <f t="shared" si="44"/>
        <v>-13</v>
      </c>
      <c r="DC4" s="58">
        <f t="shared" ref="DC4:DC26" si="88">IFERROR((CF4-$CZ$29)^2," ")</f>
        <v>213.890625</v>
      </c>
      <c r="DD4" s="58">
        <f t="shared" ref="DD4:DD26" si="89">IFERROR(RANK(DC4,$DC$3:$DC$26,1)," ")</f>
        <v>19</v>
      </c>
      <c r="DE4" s="58">
        <f t="shared" si="45"/>
        <v>0</v>
      </c>
      <c r="DF4" s="58">
        <f t="shared" si="46"/>
        <v>19</v>
      </c>
      <c r="DG4" s="58">
        <f t="shared" si="47"/>
        <v>2</v>
      </c>
    </row>
    <row r="5" spans="1:111" ht="30" customHeight="1" x14ac:dyDescent="0.55000000000000004">
      <c r="A5" s="21">
        <f>RawData[[#This Row],[Num]]</f>
        <v>3</v>
      </c>
      <c r="B5" s="22" t="str">
        <f>IFERROR(VLOOKUP($A5,'Raw Data'!$A$3:$EA$30,2,0)," ")</f>
        <v>Ol' Brown Eyes</v>
      </c>
      <c r="C5" s="8">
        <f>IFERROR(VLOOKUP($A5,'Raw Data'!$A$3:$EA$30,6,0)," ")</f>
        <v>55</v>
      </c>
      <c r="D5" s="8">
        <f>IFERROR(VLOOKUP($A5,'Raw Data'!$A$3:$EA$30,7,0)," ")</f>
        <v>6</v>
      </c>
      <c r="E5" s="149">
        <f>IFERROR(VLOOKUP($A5,'Raw Data'!$A$3:$EA$29,10,0)," ")</f>
        <v>23</v>
      </c>
      <c r="F5" s="273">
        <f>IFERROR(VLOOKUP(dashboard[[#This Row],[BOX]],'Raw Data'!$A$3:$EA$32,130)," ")</f>
        <v>4.4444444444444132E-3</v>
      </c>
      <c r="G5" s="49">
        <f>IF(ISERROR(D5/dashboard[[#This Row],[RUNS]])," ",(D5/dashboard[[#This Row],[RUNS]]))</f>
        <v>0.10909090909090909</v>
      </c>
      <c r="H5" s="7">
        <f>IF(ISERROR(dashboard[[#This Row],[Wins Data]]/$G$29),0,dashboard[[#This Row],[Wins Data]]/$G$29)</f>
        <v>9.3558859619265258E-2</v>
      </c>
      <c r="I5" s="8">
        <f>IF(dashboard[[#This Row],[Column2]]=1,($I$30/J$29)," ")</f>
        <v>0</v>
      </c>
      <c r="J5" s="17">
        <f t="shared" si="0"/>
        <v>1</v>
      </c>
      <c r="K5" s="49">
        <f t="shared" si="48"/>
        <v>0.41818181818181815</v>
      </c>
      <c r="L5" s="7">
        <f t="shared" si="49"/>
        <v>0.13329636967224168</v>
      </c>
      <c r="M5" s="8">
        <f>IF(dashboard[[#This Row],[Column1]]=1,($M$30/N$29)," ")</f>
        <v>0</v>
      </c>
      <c r="N5" s="17">
        <f t="shared" si="1"/>
        <v>1</v>
      </c>
      <c r="O5" s="49">
        <f t="shared" si="2"/>
        <v>1.9753086419752809E-5</v>
      </c>
      <c r="P5" s="7">
        <f t="shared" si="50"/>
        <v>2.8892313038775591E-14</v>
      </c>
      <c r="Q5" s="8">
        <f>IF(dashboard[[#This Row],[Column3]]=1,($Q$30/$R$29)," ")</f>
        <v>21857.109771892046</v>
      </c>
      <c r="R5" s="17">
        <f t="shared" si="4"/>
        <v>1</v>
      </c>
      <c r="S5" s="49">
        <f>IF(ISERROR(VLOOKUP($A5,'Raw Data'!$A$3:$EA$30,121,0))," ",VLOOKUP($A5,'Raw Data'!$A$3:$EA$30,121,0))</f>
        <v>2.8</v>
      </c>
      <c r="T5" s="7">
        <f t="shared" si="51"/>
        <v>8.9743589743589744E-2</v>
      </c>
      <c r="U5" s="8" t="str">
        <f t="shared" si="6"/>
        <v xml:space="preserve"> </v>
      </c>
      <c r="V5" s="17" t="str">
        <f t="shared" si="7"/>
        <v xml:space="preserve"> </v>
      </c>
      <c r="W5" s="49">
        <f>IFERROR(VLOOKUP($A5,'Raw Data'!$A$3:$EA$30,123,0)^2," ")</f>
        <v>100</v>
      </c>
      <c r="X5" s="7">
        <f t="shared" si="52"/>
        <v>2.3062730627306272E-4</v>
      </c>
      <c r="Y5" s="8" t="str">
        <f t="shared" si="8"/>
        <v xml:space="preserve"> </v>
      </c>
      <c r="Z5" s="17" t="str">
        <f t="shared" si="9"/>
        <v xml:space="preserve"> </v>
      </c>
      <c r="AA5" s="219">
        <f>IF(ISERROR(VLOOKUP($A5,'Raw Data'!$A$3:$EA$30,36,0))," ",VLOOKUP($A5,'Raw Data'!$A$3:$EA$30,36,0))</f>
        <v>0</v>
      </c>
      <c r="AB5" s="7">
        <f t="shared" si="53"/>
        <v>0</v>
      </c>
      <c r="AC5" s="8" t="str">
        <f>IF(dashboard[[#This Row],[Column6]]=1,($AC$30/$AD$29)," ")</f>
        <v xml:space="preserve"> </v>
      </c>
      <c r="AD5" s="17" t="str">
        <f t="shared" si="11"/>
        <v xml:space="preserve"> </v>
      </c>
      <c r="AE5" s="49">
        <f>IF(ISERROR((100/(VLOOKUP($A5,'Raw Data'!$A$3:$X$32,'A1. PICKS'!$I$2,0))))," ",100/(VLOOKUP($A5,'Raw Data'!$A$3:$X$32,'A1. PICKS'!$I$2,0)))</f>
        <v>33.333333333333336</v>
      </c>
      <c r="AF5" s="7">
        <f t="shared" si="54"/>
        <v>0.29915968422123801</v>
      </c>
      <c r="AG5" s="8">
        <f>IF(dashboard[[#This Row],[Column7]]=1,($AG$30/$AH$29)," ")</f>
        <v>12701.272502744197</v>
      </c>
      <c r="AH5" s="17">
        <f t="shared" si="13"/>
        <v>1</v>
      </c>
      <c r="AI5" s="49">
        <f>IFERROR(VLOOKUP($A5,'Raw Data'!$A$3:$EA$29,120,0)," ")</f>
        <v>7</v>
      </c>
      <c r="AJ5" s="7">
        <f t="shared" si="55"/>
        <v>0.16666666666666666</v>
      </c>
      <c r="AK5" s="8" t="str">
        <f>IF(dashboard[[#This Row],[Column8]]=1,($AK$30/$AL$29)," ")</f>
        <v xml:space="preserve"> </v>
      </c>
      <c r="AL5" s="17" t="str">
        <f t="shared" si="14"/>
        <v xml:space="preserve"> </v>
      </c>
      <c r="AM5" s="49">
        <f>IF(ISERROR(VLOOKUP($A5,'Raw Data'!$A$3:$EA$30,31,0))," ",VLOOKUP($A5,'Raw Data'!$A$3:$EA$30,31,0))</f>
        <v>60</v>
      </c>
      <c r="AN5" s="7">
        <f t="shared" si="56"/>
        <v>-0.29556650246305421</v>
      </c>
      <c r="AO5" s="8" t="str">
        <f>IF(dashboard[[#This Row],[Column9]]=1,($AO$30/$AP$29)," ")</f>
        <v xml:space="preserve"> </v>
      </c>
      <c r="AP5" s="17" t="str">
        <f t="shared" si="16"/>
        <v xml:space="preserve"> </v>
      </c>
      <c r="AQ5" s="49">
        <f>IF(ISERROR(VLOOKUP($A5,'Raw Data'!$A$3:$EA$30,39,0))," ",VLOOKUP($A5,'Raw Data'!$A$3:$EA$30,39,0))</f>
        <v>66.67</v>
      </c>
      <c r="AR5" s="7">
        <f t="shared" si="57"/>
        <v>0.25974987337826783</v>
      </c>
      <c r="AS5" s="8">
        <f>IF(dashboard[[#This Row],[Column10]]=1,($AS$30/$AT$29)," ")</f>
        <v>0</v>
      </c>
      <c r="AT5" s="17">
        <f t="shared" si="18"/>
        <v>1</v>
      </c>
      <c r="AU5" s="49">
        <f>IFERROR(VLOOKUP($A5,'Raw Data'!$A$3:$EA$30,20,0)," ")</f>
        <v>1705</v>
      </c>
      <c r="AV5" s="7">
        <f t="shared" si="58"/>
        <v>0.1193058568329718</v>
      </c>
      <c r="AW5" s="8">
        <f>IF(dashboard[[#This Row],[Column11]]=1,($AW$30/$AX$29)," ")</f>
        <v>0</v>
      </c>
      <c r="AX5" s="17">
        <f t="shared" si="20"/>
        <v>1</v>
      </c>
      <c r="AY5" s="49">
        <f>IF(ISERROR(VLOOKUP($A5,'Raw Data'!$A$3:$EA$30,75,0))," ",VLOOKUP($A5,'Raw Data'!$A$3:$EA$30,75,0))</f>
        <v>9.0299999999999994</v>
      </c>
      <c r="AZ5" s="7">
        <f t="shared" si="59"/>
        <v>0.10633537447008949</v>
      </c>
      <c r="BA5" s="8">
        <f t="shared" si="22"/>
        <v>0</v>
      </c>
      <c r="BB5" s="17">
        <f t="shared" si="60"/>
        <v>1</v>
      </c>
      <c r="BC5" s="49">
        <f>IF(ISERROR(VLOOKUP($A5,'Raw Data'!$A$3:$EA$30,108,0))," ",VLOOKUP($A5,'Raw Data'!$A$3:$EA$30,108,0))</f>
        <v>14.52</v>
      </c>
      <c r="BD5" s="7">
        <f t="shared" si="61"/>
        <v>0.19469026548672566</v>
      </c>
      <c r="BE5" s="8">
        <f t="shared" si="25"/>
        <v>0</v>
      </c>
      <c r="BF5" s="17">
        <f t="shared" si="62"/>
        <v>1</v>
      </c>
      <c r="BG5" s="49">
        <f>IF(ISERROR(VLOOKUP($A5,'Raw Data'!$A$3:$EA$30,48,0))," ",VLOOKUP($A5,'Raw Data'!$A$3:$EA$30,48,0))</f>
        <v>14.29</v>
      </c>
      <c r="BH5" s="7">
        <f t="shared" si="63"/>
        <v>0.23399377763222529</v>
      </c>
      <c r="BI5" s="8">
        <f t="shared" si="28"/>
        <v>21787.483204116354</v>
      </c>
      <c r="BJ5" s="17">
        <f t="shared" si="64"/>
        <v>1</v>
      </c>
      <c r="BK5" s="49">
        <f>IF(ISERROR(VLOOKUP($A5,'Raw Data'!$A$3:$EA$30,39,0))," ",VLOOKUP($A5,'Raw Data'!$A$3:$EA$30,39,0))</f>
        <v>66.67</v>
      </c>
      <c r="BL5" s="7">
        <f t="shared" si="65"/>
        <v>0.25974987337826783</v>
      </c>
      <c r="BM5" s="8">
        <f t="shared" si="30"/>
        <v>0</v>
      </c>
      <c r="BN5" s="17">
        <f t="shared" si="31"/>
        <v>1</v>
      </c>
      <c r="BP5" s="8">
        <f t="shared" si="32"/>
        <v>56345.865478752596</v>
      </c>
      <c r="BR5" s="9">
        <f t="shared" si="33"/>
        <v>5.6345865478752595E-2</v>
      </c>
      <c r="BS5" s="10">
        <f t="shared" si="34"/>
        <v>0.27920473870622586</v>
      </c>
      <c r="BT5" s="61">
        <f t="shared" si="35"/>
        <v>2.8021987282837084E-4</v>
      </c>
      <c r="BU5" s="32" t="str">
        <f t="shared" si="36"/>
        <v>||||||||||||||||||||||||||||||||||||||||||||||||||||||||||||||||||</v>
      </c>
      <c r="BV5" s="29" t="str">
        <f t="shared" si="37"/>
        <v xml:space="preserve"> </v>
      </c>
      <c r="BW5" s="34" t="str">
        <f t="shared" si="38"/>
        <v xml:space="preserve"> </v>
      </c>
      <c r="BX5" s="46" t="str">
        <f t="shared" si="39"/>
        <v xml:space="preserve"> </v>
      </c>
      <c r="BY5" s="220" t="str">
        <f t="shared" si="40"/>
        <v>|||||||||</v>
      </c>
      <c r="BZ5" s="46" t="str">
        <f t="shared" si="41"/>
        <v>|||</v>
      </c>
      <c r="CA5" s="229" t="str">
        <f t="shared" si="42"/>
        <v>|||||||||</v>
      </c>
      <c r="CB5" s="221" t="str">
        <f t="shared" si="43"/>
        <v>||||||||||||||||||</v>
      </c>
      <c r="CC5" s="57">
        <f t="shared" si="66"/>
        <v>-0.30989528508275954</v>
      </c>
      <c r="CD5" s="57">
        <f t="shared" si="67"/>
        <v>0.883793852788192</v>
      </c>
      <c r="CE5" s="58">
        <f t="shared" si="68"/>
        <v>17</v>
      </c>
      <c r="CF5" s="58">
        <f t="shared" si="69"/>
        <v>17</v>
      </c>
      <c r="CG5" s="57">
        <f t="shared" si="70"/>
        <v>1</v>
      </c>
      <c r="CH5" s="57">
        <f t="shared" si="71"/>
        <v>3</v>
      </c>
      <c r="CI5" s="57">
        <f t="shared" si="72"/>
        <v>8</v>
      </c>
      <c r="CJ5" s="196">
        <f t="shared" si="73"/>
        <v>1</v>
      </c>
      <c r="CK5" s="57">
        <f t="shared" si="74"/>
        <v>1</v>
      </c>
      <c r="CL5" s="57">
        <f t="shared" si="75"/>
        <v>23</v>
      </c>
      <c r="CM5" s="57">
        <f t="shared" si="76"/>
        <v>7</v>
      </c>
      <c r="CN5" s="57">
        <f t="shared" si="77"/>
        <v>1</v>
      </c>
      <c r="CO5" s="57">
        <f t="shared" si="78"/>
        <v>19</v>
      </c>
      <c r="CP5" s="57">
        <f t="shared" si="79"/>
        <v>17</v>
      </c>
      <c r="CQ5" s="57">
        <f t="shared" si="80"/>
        <v>1</v>
      </c>
      <c r="CR5" s="57">
        <f t="shared" si="81"/>
        <v>2</v>
      </c>
      <c r="CS5" s="57">
        <f t="shared" si="82"/>
        <v>8</v>
      </c>
      <c r="CT5" s="57">
        <f t="shared" si="83"/>
        <v>3</v>
      </c>
      <c r="CU5" s="57">
        <f>IF(dashboard[[#This Row],[COHENSION]]=" "," ",_xlfn.RANK.AVG(F5,$F$3:$F$26,0))</f>
        <v>8</v>
      </c>
      <c r="CV5" s="57">
        <f t="shared" si="84"/>
        <v>3</v>
      </c>
      <c r="CW5" s="57">
        <f t="shared" si="85"/>
        <v>5</v>
      </c>
      <c r="CX5" s="58">
        <f t="shared" si="86"/>
        <v>17</v>
      </c>
      <c r="CY5" s="58">
        <f t="shared" si="87"/>
        <v>17</v>
      </c>
      <c r="CZ5" s="58">
        <f>IFERROR(VLOOKUP($A5,'cluster'!$A$20:$CI$45,86,0),CU5)</f>
        <v>1</v>
      </c>
      <c r="DA5" s="58">
        <f>IF(ISERROR(VLOOKUP(A5,'Raw Data'!$A$3:$DY$29,129,FALSE))," ",VLOOKUP(A5,'Raw Data'!$A$3:$DY$29,129,FALSE))</f>
        <v>2</v>
      </c>
      <c r="DB5" s="58">
        <f t="shared" si="44"/>
        <v>-15</v>
      </c>
      <c r="DC5" s="58">
        <f t="shared" si="88"/>
        <v>159.390625</v>
      </c>
      <c r="DD5" s="58">
        <f t="shared" si="89"/>
        <v>17</v>
      </c>
      <c r="DE5" s="58">
        <f t="shared" si="45"/>
        <v>0</v>
      </c>
      <c r="DF5" s="58">
        <f t="shared" si="46"/>
        <v>17</v>
      </c>
      <c r="DG5" s="58">
        <f t="shared" si="47"/>
        <v>1</v>
      </c>
    </row>
    <row r="6" spans="1:111" ht="30" customHeight="1" x14ac:dyDescent="0.55000000000000004">
      <c r="A6" s="21">
        <f>RawData[[#This Row],[Num]]</f>
        <v>5</v>
      </c>
      <c r="B6" s="22" t="str">
        <f>IFERROR(VLOOKUP($A6,'Raw Data'!$A$3:$EA$30,2,0)," ")</f>
        <v>Dragon Street</v>
      </c>
      <c r="C6" s="8">
        <f>IFERROR(VLOOKUP($A6,'Raw Data'!$A$3:$EA$30,6,0)," ")</f>
        <v>61</v>
      </c>
      <c r="D6" s="8">
        <f>IFERROR(VLOOKUP($A6,'Raw Data'!$A$3:$EA$30,7,0)," ")</f>
        <v>10</v>
      </c>
      <c r="E6" s="149">
        <f>IFERROR(VLOOKUP($A6,'Raw Data'!$A$3:$EA$29,10,0)," ")</f>
        <v>24</v>
      </c>
      <c r="F6" s="273">
        <f>IFERROR(VLOOKUP(dashboard[[#This Row],[BOX]],'Raw Data'!$A$3:$EA$32,130)," ")</f>
        <v>3080.25</v>
      </c>
      <c r="G6" s="49">
        <f>IF(ISERROR(D6/dashboard[[#This Row],[RUNS]])," ",(D6/dashboard[[#This Row],[RUNS]]))</f>
        <v>0.16393442622950818</v>
      </c>
      <c r="H6" s="7">
        <f>IF(ISERROR(dashboard[[#This Row],[Wins Data]]/$G$29),0,dashboard[[#This Row],[Wins Data]]/$G$29)</f>
        <v>0.14059391472840407</v>
      </c>
      <c r="I6" s="8">
        <f>IF(dashboard[[#This Row],[Column2]]=1,($I$30/J$29)," ")</f>
        <v>0</v>
      </c>
      <c r="J6" s="17">
        <f t="shared" si="0"/>
        <v>1</v>
      </c>
      <c r="K6" s="49">
        <f t="shared" si="48"/>
        <v>0.39344262295081966</v>
      </c>
      <c r="L6" s="7">
        <f t="shared" si="49"/>
        <v>0.12541069705442554</v>
      </c>
      <c r="M6" s="8">
        <f>IF(dashboard[[#This Row],[Column1]]=1,($M$30/N$29)," ")</f>
        <v>0</v>
      </c>
      <c r="N6" s="17">
        <f t="shared" si="1"/>
        <v>1</v>
      </c>
      <c r="O6" s="49">
        <f t="shared" si="2"/>
        <v>9487940.0625</v>
      </c>
      <c r="P6" s="7">
        <f t="shared" si="50"/>
        <v>1.3877757052931504E-2</v>
      </c>
      <c r="Q6" s="8">
        <f>IF(dashboard[[#This Row],[Column3]]=1,($Q$30/$R$29)," ")</f>
        <v>21857.109771892046</v>
      </c>
      <c r="R6" s="17">
        <f t="shared" si="4"/>
        <v>1</v>
      </c>
      <c r="S6" s="49">
        <f>IF(ISERROR(VLOOKUP($A6,'Raw Data'!$A$3:$EA$30,121,0))," ",VLOOKUP($A6,'Raw Data'!$A$3:$EA$30,121,0))</f>
        <v>4.5</v>
      </c>
      <c r="T6" s="7">
        <f t="shared" si="51"/>
        <v>0.14423076923076925</v>
      </c>
      <c r="U6" s="8" t="str">
        <f t="shared" si="6"/>
        <v xml:space="preserve"> </v>
      </c>
      <c r="V6" s="17" t="str">
        <f t="shared" si="7"/>
        <v xml:space="preserve"> </v>
      </c>
      <c r="W6" s="49">
        <f>IFERROR(VLOOKUP($A6,'Raw Data'!$A$3:$EA$30,123,0)^2," ")</f>
        <v>25600</v>
      </c>
      <c r="X6" s="7">
        <f t="shared" si="52"/>
        <v>5.9040590405904057E-2</v>
      </c>
      <c r="Y6" s="8" t="str">
        <f t="shared" si="8"/>
        <v xml:space="preserve"> </v>
      </c>
      <c r="Z6" s="17" t="str">
        <f t="shared" si="9"/>
        <v xml:space="preserve"> </v>
      </c>
      <c r="AA6" s="219">
        <f>IF(ISERROR(VLOOKUP($A6,'Raw Data'!$A$3:$EA$30,36,0))," ",VLOOKUP($A6,'Raw Data'!$A$3:$EA$30,36,0))</f>
        <v>0</v>
      </c>
      <c r="AB6" s="7">
        <f t="shared" si="53"/>
        <v>0</v>
      </c>
      <c r="AC6" s="8" t="str">
        <f>IF(dashboard[[#This Row],[Column6]]=1,($AC$30/$AD$29)," ")</f>
        <v xml:space="preserve"> </v>
      </c>
      <c r="AD6" s="17" t="str">
        <f t="shared" si="11"/>
        <v xml:space="preserve"> </v>
      </c>
      <c r="AE6" s="49">
        <f>IF(ISERROR((100/(VLOOKUP($A6,'Raw Data'!$A$3:$X$32,'A1. PICKS'!$I$2,0))))," ",100/(VLOOKUP($A6,'Raw Data'!$A$3:$X$32,'A1. PICKS'!$I$2,0)))</f>
        <v>14.084507042253522</v>
      </c>
      <c r="AF6" s="7">
        <f t="shared" si="54"/>
        <v>0.12640550037517098</v>
      </c>
      <c r="AG6" s="8">
        <f>IF(dashboard[[#This Row],[Column7]]=1,($AG$30/$AH$29)," ")</f>
        <v>12701.272502744197</v>
      </c>
      <c r="AH6" s="17">
        <f t="shared" si="13"/>
        <v>1</v>
      </c>
      <c r="AI6" s="49">
        <f>IFERROR(VLOOKUP($A6,'Raw Data'!$A$3:$EA$29,120,0)," ")</f>
        <v>2</v>
      </c>
      <c r="AJ6" s="7">
        <f t="shared" si="55"/>
        <v>4.7619047619047616E-2</v>
      </c>
      <c r="AK6" s="8" t="str">
        <f>IF(dashboard[[#This Row],[Column8]]=1,($AK$30/$AL$29)," ")</f>
        <v xml:space="preserve"> </v>
      </c>
      <c r="AL6" s="17" t="str">
        <f t="shared" si="14"/>
        <v xml:space="preserve"> </v>
      </c>
      <c r="AM6" s="49">
        <f>IF(ISERROR(VLOOKUP($A6,'Raw Data'!$A$3:$EA$30,31,0))," ",VLOOKUP($A6,'Raw Data'!$A$3:$EA$30,31,0))</f>
        <v>-100</v>
      </c>
      <c r="AN6" s="7">
        <f t="shared" si="56"/>
        <v>0.49261083743842365</v>
      </c>
      <c r="AO6" s="8">
        <f>IF(dashboard[[#This Row],[Column9]]=1,($AO$30/$AP$29)," ")</f>
        <v>53852.439244855435</v>
      </c>
      <c r="AP6" s="17">
        <f t="shared" si="16"/>
        <v>1</v>
      </c>
      <c r="AQ6" s="49">
        <f>IF(ISERROR(VLOOKUP($A6,'Raw Data'!$A$3:$EA$30,39,0))," ",VLOOKUP($A6,'Raw Data'!$A$3:$EA$30,39,0))</f>
        <v>33.33</v>
      </c>
      <c r="AR6" s="7">
        <f t="shared" si="57"/>
        <v>0.12985545642264384</v>
      </c>
      <c r="AS6" s="8">
        <f>IF(dashboard[[#This Row],[Column10]]=1,($AS$30/$AT$29)," ")</f>
        <v>0</v>
      </c>
      <c r="AT6" s="17">
        <f t="shared" si="18"/>
        <v>1</v>
      </c>
      <c r="AU6" s="49">
        <f>IFERROR(VLOOKUP($A6,'Raw Data'!$A$3:$EA$30,20,0)," ")</f>
        <v>1920</v>
      </c>
      <c r="AV6" s="7">
        <f t="shared" si="58"/>
        <v>0.13435029039255475</v>
      </c>
      <c r="AW6" s="8">
        <f>IF(dashboard[[#This Row],[Column11]]=1,($AW$30/$AX$29)," ")</f>
        <v>0</v>
      </c>
      <c r="AX6" s="17">
        <f t="shared" si="20"/>
        <v>1</v>
      </c>
      <c r="AY6" s="49">
        <f>IF(ISERROR(VLOOKUP($A6,'Raw Data'!$A$3:$EA$30,75,0))," ",VLOOKUP($A6,'Raw Data'!$A$3:$EA$30,75,0))</f>
        <v>11.59</v>
      </c>
      <c r="AZ6" s="7">
        <f t="shared" si="59"/>
        <v>0.13648139425341496</v>
      </c>
      <c r="BA6" s="8">
        <f t="shared" si="22"/>
        <v>0</v>
      </c>
      <c r="BB6" s="17">
        <f t="shared" si="60"/>
        <v>1</v>
      </c>
      <c r="BC6" s="49">
        <f>IF(ISERROR(VLOOKUP($A6,'Raw Data'!$A$3:$EA$30,108,0))," ",VLOOKUP($A6,'Raw Data'!$A$3:$EA$30,108,0))</f>
        <v>3.06</v>
      </c>
      <c r="BD6" s="7">
        <f t="shared" si="61"/>
        <v>4.1029766693483509E-2</v>
      </c>
      <c r="BE6" s="8">
        <f t="shared" si="25"/>
        <v>0</v>
      </c>
      <c r="BF6" s="17">
        <f t="shared" si="62"/>
        <v>1</v>
      </c>
      <c r="BG6" s="49">
        <f>IF(ISERROR(VLOOKUP($A6,'Raw Data'!$A$3:$EA$30,48,0))," ",VLOOKUP($A6,'Raw Data'!$A$3:$EA$30,48,0))</f>
        <v>9.09</v>
      </c>
      <c r="BH6" s="7">
        <f t="shared" si="63"/>
        <v>0.14884558703127557</v>
      </c>
      <c r="BI6" s="8">
        <f t="shared" si="28"/>
        <v>21787.483204116354</v>
      </c>
      <c r="BJ6" s="17">
        <f t="shared" si="64"/>
        <v>1</v>
      </c>
      <c r="BK6" s="49">
        <f>IF(ISERROR(VLOOKUP($A6,'Raw Data'!$A$3:$EA$30,39,0))," ",VLOOKUP($A6,'Raw Data'!$A$3:$EA$30,39,0))</f>
        <v>33.33</v>
      </c>
      <c r="BL6" s="7">
        <f t="shared" si="65"/>
        <v>0.12985545642264384</v>
      </c>
      <c r="BM6" s="8">
        <f t="shared" si="30"/>
        <v>0</v>
      </c>
      <c r="BN6" s="17">
        <f t="shared" si="31"/>
        <v>1</v>
      </c>
      <c r="BP6" s="8">
        <f t="shared" si="32"/>
        <v>110198.30472360802</v>
      </c>
      <c r="BR6" s="9">
        <f t="shared" si="33"/>
        <v>0.11019830472360802</v>
      </c>
      <c r="BS6" s="10">
        <f t="shared" si="34"/>
        <v>1.3035015290510199</v>
      </c>
      <c r="BT6" s="61">
        <f t="shared" si="35"/>
        <v>6.2599804304082164E-125</v>
      </c>
      <c r="BU6" s="32" t="str">
        <f t="shared" si="36"/>
        <v>|||||||||||||||||||||||||</v>
      </c>
      <c r="BV6" s="29" t="str">
        <f t="shared" si="37"/>
        <v xml:space="preserve"> </v>
      </c>
      <c r="BW6" s="34" t="str">
        <f t="shared" si="38"/>
        <v xml:space="preserve"> </v>
      </c>
      <c r="BX6" s="46" t="str">
        <f t="shared" si="39"/>
        <v xml:space="preserve"> </v>
      </c>
      <c r="BY6" s="220" t="str">
        <f t="shared" si="40"/>
        <v>||||||||||||||||||||||||||||</v>
      </c>
      <c r="BZ6" s="46" t="str">
        <f t="shared" si="41"/>
        <v xml:space="preserve"> </v>
      </c>
      <c r="CA6" s="229" t="str">
        <f t="shared" si="42"/>
        <v>||||||||||||||||||||||||||||</v>
      </c>
      <c r="CB6" s="221" t="str">
        <f t="shared" si="43"/>
        <v>||||||||||||||||||||||||||||||||||||||||||||||</v>
      </c>
      <c r="CC6" s="57">
        <f t="shared" si="66"/>
        <v>-1.3341920754275536</v>
      </c>
      <c r="CD6" s="57">
        <f t="shared" si="67"/>
        <v>-0.14050293755660204</v>
      </c>
      <c r="CE6" s="58">
        <f t="shared" si="68"/>
        <v>19</v>
      </c>
      <c r="CF6" s="58">
        <f t="shared" si="69"/>
        <v>19</v>
      </c>
      <c r="CG6" s="57">
        <f t="shared" si="70"/>
        <v>19</v>
      </c>
      <c r="CH6" s="57">
        <f t="shared" si="71"/>
        <v>7</v>
      </c>
      <c r="CI6" s="57">
        <f t="shared" si="72"/>
        <v>3</v>
      </c>
      <c r="CJ6" s="196">
        <f t="shared" si="73"/>
        <v>3</v>
      </c>
      <c r="CK6" s="57">
        <f t="shared" si="74"/>
        <v>5</v>
      </c>
      <c r="CL6" s="57">
        <f t="shared" si="75"/>
        <v>1</v>
      </c>
      <c r="CM6" s="57">
        <f t="shared" si="76"/>
        <v>3</v>
      </c>
      <c r="CN6" s="57">
        <f t="shared" si="77"/>
        <v>7</v>
      </c>
      <c r="CO6" s="57">
        <f t="shared" si="78"/>
        <v>22</v>
      </c>
      <c r="CP6" s="57">
        <f t="shared" si="79"/>
        <v>19</v>
      </c>
      <c r="CQ6" s="57">
        <f t="shared" si="80"/>
        <v>5</v>
      </c>
      <c r="CR6" s="57">
        <f t="shared" si="81"/>
        <v>4</v>
      </c>
      <c r="CS6" s="57">
        <f t="shared" si="82"/>
        <v>3</v>
      </c>
      <c r="CT6" s="57">
        <f t="shared" si="83"/>
        <v>6</v>
      </c>
      <c r="CU6" s="57">
        <f>IF(dashboard[[#This Row],[COHENSION]]=" "," ",_xlfn.RANK.AVG(F6,$F$3:$F$26,0))</f>
        <v>6</v>
      </c>
      <c r="CV6" s="57">
        <f t="shared" si="84"/>
        <v>3</v>
      </c>
      <c r="CW6" s="57">
        <f t="shared" si="85"/>
        <v>2</v>
      </c>
      <c r="CX6" s="58">
        <f t="shared" si="86"/>
        <v>19</v>
      </c>
      <c r="CY6" s="58">
        <f t="shared" si="87"/>
        <v>19</v>
      </c>
      <c r="CZ6" s="58">
        <f>IFERROR(VLOOKUP($A6,'cluster'!$A$20:$CI$45,86,0),CU6)</f>
        <v>3</v>
      </c>
      <c r="DA6" s="58">
        <f>IF(ISERROR(VLOOKUP(A6,'Raw Data'!$A$3:$DY$29,129,FALSE))," ",VLOOKUP(A6,'Raw Data'!$A$3:$DY$29,129,FALSE))</f>
        <v>5</v>
      </c>
      <c r="DB6" s="58">
        <f t="shared" si="44"/>
        <v>-14</v>
      </c>
      <c r="DC6" s="58">
        <f t="shared" si="88"/>
        <v>213.890625</v>
      </c>
      <c r="DD6" s="58">
        <f t="shared" si="89"/>
        <v>19</v>
      </c>
      <c r="DE6" s="58">
        <f t="shared" si="45"/>
        <v>0</v>
      </c>
      <c r="DF6" s="58">
        <f t="shared" si="46"/>
        <v>19</v>
      </c>
      <c r="DG6" s="58">
        <f t="shared" si="47"/>
        <v>3</v>
      </c>
    </row>
    <row r="7" spans="1:111" ht="30" customHeight="1" x14ac:dyDescent="0.55000000000000004">
      <c r="A7" s="21">
        <f>RawData[[#This Row],[Num]]</f>
        <v>6</v>
      </c>
      <c r="B7" s="22" t="str">
        <f>IFERROR(VLOOKUP($A7,'Raw Data'!$A$3:$EA$30,2,0)," ")</f>
        <v>Noor Dropper</v>
      </c>
      <c r="C7" s="8">
        <f>IFERROR(VLOOKUP($A7,'Raw Data'!$A$3:$EA$30,6,0)," ")</f>
        <v>68</v>
      </c>
      <c r="D7" s="8">
        <f>IFERROR(VLOOKUP($A7,'Raw Data'!$A$3:$EA$30,7,0)," ")</f>
        <v>12</v>
      </c>
      <c r="E7" s="149">
        <f>IFERROR(VLOOKUP($A7,'Raw Data'!$A$3:$EA$29,10,0)," ")</f>
        <v>27</v>
      </c>
      <c r="F7" s="273">
        <f>IFERROR(VLOOKUP(dashboard[[#This Row],[BOX]],'Raw Data'!$A$3:$EA$32,130)," ")</f>
        <v>2050.5802777777776</v>
      </c>
      <c r="G7" s="49">
        <f>IF(ISERROR(D7/dashboard[[#This Row],[RUNS]])," ",(D7/dashboard[[#This Row],[RUNS]]))</f>
        <v>0.17647058823529413</v>
      </c>
      <c r="H7" s="7">
        <f>IF(ISERROR(dashboard[[#This Row],[Wins Data]]/$G$29),0,dashboard[[#This Row],[Wins Data]]/$G$29)</f>
        <v>0.15134521408998794</v>
      </c>
      <c r="I7" s="8">
        <f>IF(dashboard[[#This Row],[Column2]]=1,($I$30/J$29)," ")</f>
        <v>0</v>
      </c>
      <c r="J7" s="17">
        <f t="shared" si="0"/>
        <v>1</v>
      </c>
      <c r="K7" s="49">
        <f t="shared" si="48"/>
        <v>0.39705882352941174</v>
      </c>
      <c r="L7" s="7">
        <f t="shared" si="49"/>
        <v>0.12656336890235226</v>
      </c>
      <c r="M7" s="8">
        <f>IF(dashboard[[#This Row],[Column1]]=1,($M$30/N$29)," ")</f>
        <v>0</v>
      </c>
      <c r="N7" s="17">
        <f t="shared" si="1"/>
        <v>1</v>
      </c>
      <c r="O7" s="49">
        <f t="shared" si="2"/>
        <v>4204879.4756111875</v>
      </c>
      <c r="P7" s="7">
        <f t="shared" si="50"/>
        <v>6.1503651387964367E-3</v>
      </c>
      <c r="Q7" s="8">
        <f>IF(dashboard[[#This Row],[Column3]]=1,($Q$30/$R$29)," ")</f>
        <v>21857.109771892046</v>
      </c>
      <c r="R7" s="17">
        <f t="shared" si="4"/>
        <v>1</v>
      </c>
      <c r="S7" s="49">
        <f>IF(ISERROR(VLOOKUP($A7,'Raw Data'!$A$3:$EA$30,121,0))," ",VLOOKUP($A7,'Raw Data'!$A$3:$EA$30,121,0))</f>
        <v>2.85</v>
      </c>
      <c r="T7" s="7">
        <f t="shared" si="51"/>
        <v>9.1346153846153855E-2</v>
      </c>
      <c r="U7" s="8" t="str">
        <f t="shared" si="6"/>
        <v xml:space="preserve"> </v>
      </c>
      <c r="V7" s="17" t="str">
        <f t="shared" si="7"/>
        <v xml:space="preserve"> </v>
      </c>
      <c r="W7" s="49">
        <f>IFERROR(VLOOKUP($A7,'Raw Data'!$A$3:$EA$30,123,0)^2," ")</f>
        <v>16900</v>
      </c>
      <c r="X7" s="7">
        <f t="shared" si="52"/>
        <v>3.8976014760147601E-2</v>
      </c>
      <c r="Y7" s="8" t="str">
        <f t="shared" si="8"/>
        <v xml:space="preserve"> </v>
      </c>
      <c r="Z7" s="17" t="str">
        <f t="shared" si="9"/>
        <v xml:space="preserve"> </v>
      </c>
      <c r="AA7" s="219">
        <f>IF(ISERROR(VLOOKUP($A7,'Raw Data'!$A$3:$EA$30,36,0))," ",VLOOKUP($A7,'Raw Data'!$A$3:$EA$30,36,0))</f>
        <v>16.670000000000002</v>
      </c>
      <c r="AB7" s="7">
        <f t="shared" si="53"/>
        <v>0.5</v>
      </c>
      <c r="AC7" s="8">
        <f>IF(dashboard[[#This Row],[Column6]]=1,($AC$30/$AD$29)," ")</f>
        <v>85696.22169982575</v>
      </c>
      <c r="AD7" s="17">
        <f t="shared" si="11"/>
        <v>1</v>
      </c>
      <c r="AE7" s="49">
        <f>IF(ISERROR((100/(VLOOKUP($A7,'Raw Data'!$A$3:$X$32,'A1. PICKS'!$I$2,0))))," ",100/(VLOOKUP($A7,'Raw Data'!$A$3:$X$32,'A1. PICKS'!$I$2,0)))</f>
        <v>4.7619047619047619</v>
      </c>
      <c r="AF7" s="7">
        <f t="shared" si="54"/>
        <v>4.2737097745891142E-2</v>
      </c>
      <c r="AG7" s="8">
        <f>IF(dashboard[[#This Row],[Column7]]=1,($AG$30/$AH$29)," ")</f>
        <v>12701.272502744197</v>
      </c>
      <c r="AH7" s="17">
        <f t="shared" si="13"/>
        <v>1</v>
      </c>
      <c r="AI7" s="49">
        <f>IFERROR(VLOOKUP($A7,'Raw Data'!$A$3:$EA$29,120,0)," ")</f>
        <v>3</v>
      </c>
      <c r="AJ7" s="7">
        <f t="shared" si="55"/>
        <v>7.1428571428571425E-2</v>
      </c>
      <c r="AK7" s="8" t="str">
        <f>IF(dashboard[[#This Row],[Column8]]=1,($AK$30/$AL$29)," ")</f>
        <v xml:space="preserve"> </v>
      </c>
      <c r="AL7" s="17" t="str">
        <f t="shared" si="14"/>
        <v xml:space="preserve"> </v>
      </c>
      <c r="AM7" s="49">
        <f>IF(ISERROR(VLOOKUP($A7,'Raw Data'!$A$3:$EA$30,31,0))," ",VLOOKUP($A7,'Raw Data'!$A$3:$EA$30,31,0))</f>
        <v>158</v>
      </c>
      <c r="AN7" s="7">
        <f t="shared" si="56"/>
        <v>-0.77832512315270941</v>
      </c>
      <c r="AO7" s="8" t="str">
        <f>IF(dashboard[[#This Row],[Column9]]=1,($AO$30/$AP$29)," ")</f>
        <v xml:space="preserve"> </v>
      </c>
      <c r="AP7" s="17" t="str">
        <f t="shared" si="16"/>
        <v xml:space="preserve"> </v>
      </c>
      <c r="AQ7" s="49">
        <f>IF(ISERROR(VLOOKUP($A7,'Raw Data'!$A$3:$EA$30,39,0))," ",VLOOKUP($A7,'Raw Data'!$A$3:$EA$30,39,0))</f>
        <v>50</v>
      </c>
      <c r="AR7" s="7">
        <f t="shared" si="57"/>
        <v>0.19480266490045584</v>
      </c>
      <c r="AS7" s="8">
        <f>IF(dashboard[[#This Row],[Column10]]=1,($AS$30/$AT$29)," ")</f>
        <v>0</v>
      </c>
      <c r="AT7" s="17">
        <f t="shared" si="18"/>
        <v>1</v>
      </c>
      <c r="AU7" s="49">
        <f>IFERROR(VLOOKUP($A7,'Raw Data'!$A$3:$EA$30,20,0)," ")</f>
        <v>1841</v>
      </c>
      <c r="AV7" s="7">
        <f t="shared" si="58"/>
        <v>0.12882233573577775</v>
      </c>
      <c r="AW7" s="8">
        <f>IF(dashboard[[#This Row],[Column11]]=1,($AW$30/$AX$29)," ")</f>
        <v>0</v>
      </c>
      <c r="AX7" s="17">
        <f t="shared" si="20"/>
        <v>1</v>
      </c>
      <c r="AY7" s="49">
        <f>IF(ISERROR(VLOOKUP($A7,'Raw Data'!$A$3:$EA$30,75,0))," ",VLOOKUP($A7,'Raw Data'!$A$3:$EA$30,75,0))</f>
        <v>14.29</v>
      </c>
      <c r="AZ7" s="7">
        <f t="shared" si="59"/>
        <v>0.16827602449364107</v>
      </c>
      <c r="BA7" s="8">
        <f t="shared" si="22"/>
        <v>0</v>
      </c>
      <c r="BB7" s="17">
        <f t="shared" si="60"/>
        <v>1</v>
      </c>
      <c r="BC7" s="49">
        <f>IF(ISERROR(VLOOKUP($A7,'Raw Data'!$A$3:$EA$30,108,0))," ",VLOOKUP($A7,'Raw Data'!$A$3:$EA$30,108,0))</f>
        <v>2.86</v>
      </c>
      <c r="BD7" s="7">
        <f t="shared" si="61"/>
        <v>3.8348082595870206E-2</v>
      </c>
      <c r="BE7" s="8">
        <f t="shared" si="25"/>
        <v>0</v>
      </c>
      <c r="BF7" s="17">
        <f t="shared" si="62"/>
        <v>1</v>
      </c>
      <c r="BG7" s="49">
        <f>IF(ISERROR(VLOOKUP($A7,'Raw Data'!$A$3:$EA$30,48,0))," ",VLOOKUP($A7,'Raw Data'!$A$3:$EA$30,48,0))</f>
        <v>0</v>
      </c>
      <c r="BH7" s="7">
        <f t="shared" si="63"/>
        <v>0</v>
      </c>
      <c r="BI7" s="8" t="str">
        <f t="shared" si="28"/>
        <v xml:space="preserve"> </v>
      </c>
      <c r="BJ7" s="17" t="str">
        <f t="shared" si="64"/>
        <v xml:space="preserve"> </v>
      </c>
      <c r="BK7" s="49">
        <f>IF(ISERROR(VLOOKUP($A7,'Raw Data'!$A$3:$EA$30,39,0))," ",VLOOKUP($A7,'Raw Data'!$A$3:$EA$30,39,0))</f>
        <v>50</v>
      </c>
      <c r="BL7" s="7">
        <f t="shared" si="65"/>
        <v>0.19480266490045584</v>
      </c>
      <c r="BM7" s="8">
        <f t="shared" si="30"/>
        <v>0</v>
      </c>
      <c r="BN7" s="17">
        <f t="shared" si="31"/>
        <v>1</v>
      </c>
      <c r="BP7" s="8">
        <f t="shared" si="32"/>
        <v>120254.60397446199</v>
      </c>
      <c r="BR7" s="9">
        <f t="shared" si="33"/>
        <v>0.120254603974462</v>
      </c>
      <c r="BS7" s="10">
        <f t="shared" si="34"/>
        <v>1.4947767097083293</v>
      </c>
      <c r="BT7" s="61">
        <f t="shared" si="35"/>
        <v>1.0019183514606938E-165</v>
      </c>
      <c r="BU7" s="32" t="str">
        <f t="shared" si="36"/>
        <v>||||||||||||||||</v>
      </c>
      <c r="BV7" s="29" t="str">
        <f t="shared" si="37"/>
        <v xml:space="preserve"> </v>
      </c>
      <c r="BW7" s="34" t="str">
        <f t="shared" si="38"/>
        <v xml:space="preserve"> </v>
      </c>
      <c r="BX7" s="46" t="str">
        <f t="shared" si="39"/>
        <v xml:space="preserve"> </v>
      </c>
      <c r="BY7" s="220" t="str">
        <f t="shared" si="40"/>
        <v>||||||||||||||||||||||||||||||||||||||||||||||||||||||||</v>
      </c>
      <c r="BZ7" s="46" t="str">
        <f t="shared" si="41"/>
        <v xml:space="preserve"> </v>
      </c>
      <c r="CA7" s="229" t="str">
        <f t="shared" si="42"/>
        <v>||||||||||||||||||||||||||||||||||||||||||||||||||||||||</v>
      </c>
      <c r="CB7" s="221" t="str">
        <f t="shared" si="43"/>
        <v>|||||||||</v>
      </c>
      <c r="CC7" s="57">
        <f t="shared" si="66"/>
        <v>-1.525467256084863</v>
      </c>
      <c r="CD7" s="57">
        <f t="shared" si="67"/>
        <v>-0.33177811821391145</v>
      </c>
      <c r="CE7" s="58">
        <f t="shared" si="68"/>
        <v>23</v>
      </c>
      <c r="CF7" s="58">
        <f t="shared" si="69"/>
        <v>23</v>
      </c>
      <c r="CG7" s="57">
        <f t="shared" si="70"/>
        <v>23</v>
      </c>
      <c r="CH7" s="57">
        <f t="shared" si="71"/>
        <v>6</v>
      </c>
      <c r="CI7" s="57">
        <f t="shared" si="72"/>
        <v>2</v>
      </c>
      <c r="CJ7" s="196">
        <f t="shared" si="73"/>
        <v>6</v>
      </c>
      <c r="CK7" s="57">
        <f t="shared" si="74"/>
        <v>2</v>
      </c>
      <c r="CL7" s="57">
        <f t="shared" si="75"/>
        <v>24</v>
      </c>
      <c r="CM7" s="57">
        <f t="shared" si="76"/>
        <v>1</v>
      </c>
      <c r="CN7" s="57">
        <f t="shared" si="77"/>
        <v>8</v>
      </c>
      <c r="CO7" s="57">
        <f t="shared" si="78"/>
        <v>20</v>
      </c>
      <c r="CP7" s="57">
        <f t="shared" si="79"/>
        <v>18</v>
      </c>
      <c r="CQ7" s="57">
        <f t="shared" si="80"/>
        <v>2</v>
      </c>
      <c r="CR7" s="57">
        <f t="shared" si="81"/>
        <v>6</v>
      </c>
      <c r="CS7" s="57">
        <f t="shared" si="82"/>
        <v>2</v>
      </c>
      <c r="CT7" s="57">
        <f t="shared" si="83"/>
        <v>5</v>
      </c>
      <c r="CU7" s="57">
        <f>IF(dashboard[[#This Row],[COHENSION]]=" "," ",_xlfn.RANK.AVG(F7,$F$3:$F$26,0))</f>
        <v>7</v>
      </c>
      <c r="CV7" s="57">
        <f t="shared" si="84"/>
        <v>1</v>
      </c>
      <c r="CW7" s="57">
        <f t="shared" si="85"/>
        <v>4</v>
      </c>
      <c r="CX7" s="58">
        <f t="shared" si="86"/>
        <v>23</v>
      </c>
      <c r="CY7" s="58">
        <f t="shared" si="87"/>
        <v>23</v>
      </c>
      <c r="CZ7" s="58">
        <f>IFERROR(VLOOKUP($A7,'cluster'!$A$20:$CI$45,86,0),CU7)</f>
        <v>6</v>
      </c>
      <c r="DA7" s="58">
        <f>IF(ISERROR(VLOOKUP(A7,'Raw Data'!$A$3:$DY$29,129,FALSE))," ",VLOOKUP(A7,'Raw Data'!$A$3:$DY$29,129,FALSE))</f>
        <v>1</v>
      </c>
      <c r="DB7" s="58">
        <f t="shared" si="44"/>
        <v>-22</v>
      </c>
      <c r="DC7" s="58">
        <f t="shared" si="88"/>
        <v>346.890625</v>
      </c>
      <c r="DD7" s="58">
        <f t="shared" si="89"/>
        <v>23</v>
      </c>
      <c r="DE7" s="58">
        <f t="shared" si="45"/>
        <v>0</v>
      </c>
      <c r="DF7" s="58">
        <f t="shared" si="46"/>
        <v>23</v>
      </c>
      <c r="DG7" s="58">
        <f t="shared" si="47"/>
        <v>6</v>
      </c>
    </row>
    <row r="8" spans="1:111" ht="30" customHeight="1" x14ac:dyDescent="0.55000000000000004">
      <c r="A8" s="21">
        <f>RawData[[#This Row],[Num]]</f>
        <v>7</v>
      </c>
      <c r="B8" s="22" t="str">
        <f>IFERROR(VLOOKUP($A8,'Raw Data'!$A$3:$EA$30,2,0)," ")</f>
        <v>Golfing</v>
      </c>
      <c r="C8" s="8">
        <f>IFERROR(VLOOKUP($A8,'Raw Data'!$A$3:$EA$30,6,0)," ")</f>
        <v>73</v>
      </c>
      <c r="D8" s="8">
        <f>IFERROR(VLOOKUP($A8,'Raw Data'!$A$3:$EA$30,7,0)," ")</f>
        <v>8</v>
      </c>
      <c r="E8" s="149">
        <f>IFERROR(VLOOKUP($A8,'Raw Data'!$A$3:$EA$29,10,0)," ")</f>
        <v>24</v>
      </c>
      <c r="F8" s="273">
        <f>IFERROR(VLOOKUP(dashboard[[#This Row],[BOX]],'Raw Data'!$A$3:$EA$32,130)," ")</f>
        <v>4042.8402777777783</v>
      </c>
      <c r="G8" s="49">
        <f>IF(ISERROR(D8/dashboard[[#This Row],[RUNS]])," ",(D8/dashboard[[#This Row],[RUNS]]))</f>
        <v>0.1095890410958904</v>
      </c>
      <c r="H8" s="7">
        <f>IF(ISERROR(dashboard[[#This Row],[Wins Data]]/$G$29),0,dashboard[[#This Row],[Wins Data]]/$G$29)</f>
        <v>9.3986069023919427E-2</v>
      </c>
      <c r="I8" s="8">
        <f>IF(dashboard[[#This Row],[Column2]]=1,($I$30/J$29)," ")</f>
        <v>0</v>
      </c>
      <c r="J8" s="17">
        <f t="shared" si="0"/>
        <v>1</v>
      </c>
      <c r="K8" s="49">
        <f t="shared" si="48"/>
        <v>0.32876712328767121</v>
      </c>
      <c r="L8" s="7">
        <f t="shared" si="49"/>
        <v>0.10479524000438299</v>
      </c>
      <c r="M8" s="8">
        <f>IF(dashboard[[#This Row],[Column1]]=1,($M$30/N$29)," ")</f>
        <v>0</v>
      </c>
      <c r="N8" s="17">
        <f t="shared" si="1"/>
        <v>1</v>
      </c>
      <c r="O8" s="49">
        <f t="shared" si="2"/>
        <v>16344557.511622304</v>
      </c>
      <c r="P8" s="7">
        <f t="shared" si="50"/>
        <v>2.3906748650369757E-2</v>
      </c>
      <c r="Q8" s="8">
        <f>IF(dashboard[[#This Row],[Column3]]=1,($Q$30/$R$29)," ")</f>
        <v>21857.109771892046</v>
      </c>
      <c r="R8" s="17">
        <f t="shared" si="4"/>
        <v>1</v>
      </c>
      <c r="S8" s="49">
        <f>IF(ISERROR(VLOOKUP($A8,'Raw Data'!$A$3:$EA$30,121,0))," ",VLOOKUP($A8,'Raw Data'!$A$3:$EA$30,121,0))</f>
        <v>2.75</v>
      </c>
      <c r="T8" s="7">
        <f t="shared" si="51"/>
        <v>8.8141025641025647E-2</v>
      </c>
      <c r="U8" s="8" t="str">
        <f t="shared" si="6"/>
        <v xml:space="preserve"> </v>
      </c>
      <c r="V8" s="17" t="str">
        <f t="shared" si="7"/>
        <v xml:space="preserve"> </v>
      </c>
      <c r="W8" s="49">
        <f>IFERROR(VLOOKUP($A8,'Raw Data'!$A$3:$EA$30,123,0)^2," ")</f>
        <v>32400</v>
      </c>
      <c r="X8" s="7">
        <f t="shared" si="52"/>
        <v>7.4723247232472326E-2</v>
      </c>
      <c r="Y8" s="8" t="str">
        <f t="shared" si="8"/>
        <v xml:space="preserve"> </v>
      </c>
      <c r="Z8" s="17" t="str">
        <f t="shared" si="9"/>
        <v xml:space="preserve"> </v>
      </c>
      <c r="AA8" s="219">
        <f>IF(ISERROR(VLOOKUP($A8,'Raw Data'!$A$3:$EA$30,36,0))," ",VLOOKUP($A8,'Raw Data'!$A$3:$EA$30,36,0))</f>
        <v>0</v>
      </c>
      <c r="AB8" s="7">
        <f t="shared" si="53"/>
        <v>0</v>
      </c>
      <c r="AC8" s="8" t="str">
        <f>IF(dashboard[[#This Row],[Column6]]=1,($AC$30/$AD$29)," ")</f>
        <v xml:space="preserve"> </v>
      </c>
      <c r="AD8" s="17" t="str">
        <f t="shared" si="11"/>
        <v xml:space="preserve"> </v>
      </c>
      <c r="AE8" s="49">
        <f>IF(ISERROR((100/(VLOOKUP($A8,'Raw Data'!$A$3:$X$32,'A1. PICKS'!$I$2,0))))," ",100/(VLOOKUP($A8,'Raw Data'!$A$3:$X$32,'A1. PICKS'!$I$2,0)))</f>
        <v>4.2553191489361701</v>
      </c>
      <c r="AF8" s="7">
        <f t="shared" si="54"/>
        <v>3.8190597985689953E-2</v>
      </c>
      <c r="AG8" s="8">
        <f>IF(dashboard[[#This Row],[Column7]]=1,($AG$30/$AH$29)," ")</f>
        <v>12701.272502744197</v>
      </c>
      <c r="AH8" s="17">
        <f t="shared" si="13"/>
        <v>1</v>
      </c>
      <c r="AI8" s="49">
        <f>IFERROR(VLOOKUP($A8,'Raw Data'!$A$3:$EA$29,120,0)," ")</f>
        <v>8</v>
      </c>
      <c r="AJ8" s="7">
        <f t="shared" si="55"/>
        <v>0.19047619047619047</v>
      </c>
      <c r="AK8" s="8" t="str">
        <f>IF(dashboard[[#This Row],[Column8]]=1,($AK$30/$AL$29)," ")</f>
        <v xml:space="preserve"> </v>
      </c>
      <c r="AL8" s="17" t="str">
        <f t="shared" si="14"/>
        <v xml:space="preserve"> </v>
      </c>
      <c r="AM8" s="49">
        <f>IF(ISERROR(VLOOKUP($A8,'Raw Data'!$A$3:$EA$30,31,0))," ",VLOOKUP($A8,'Raw Data'!$A$3:$EA$30,31,0))</f>
        <v>-100</v>
      </c>
      <c r="AN8" s="7">
        <f t="shared" si="56"/>
        <v>0.49261083743842365</v>
      </c>
      <c r="AO8" s="8">
        <f>IF(dashboard[[#This Row],[Column9]]=1,($AO$30/$AP$29)," ")</f>
        <v>53852.439244855435</v>
      </c>
      <c r="AP8" s="17">
        <f t="shared" si="16"/>
        <v>1</v>
      </c>
      <c r="AQ8" s="49">
        <f>IF(ISERROR(VLOOKUP($A8,'Raw Data'!$A$3:$EA$30,39,0))," ",VLOOKUP($A8,'Raw Data'!$A$3:$EA$30,39,0))</f>
        <v>40</v>
      </c>
      <c r="AR8" s="7">
        <f t="shared" si="57"/>
        <v>0.15584213192036467</v>
      </c>
      <c r="AS8" s="8">
        <f>IF(dashboard[[#This Row],[Column10]]=1,($AS$30/$AT$29)," ")</f>
        <v>0</v>
      </c>
      <c r="AT8" s="17">
        <f t="shared" si="18"/>
        <v>1</v>
      </c>
      <c r="AU8" s="49">
        <f>IFERROR(VLOOKUP($A8,'Raw Data'!$A$3:$EA$30,20,0)," ")</f>
        <v>1511</v>
      </c>
      <c r="AV8" s="7">
        <f t="shared" si="58"/>
        <v>0.10573087957455742</v>
      </c>
      <c r="AW8" s="8">
        <f>IF(dashboard[[#This Row],[Column11]]=1,($AW$30/$AX$29)," ")</f>
        <v>0</v>
      </c>
      <c r="AX8" s="17">
        <f t="shared" si="20"/>
        <v>1</v>
      </c>
      <c r="AY8" s="49">
        <f>IF(ISERROR(VLOOKUP($A8,'Raw Data'!$A$3:$EA$30,75,0))," ",VLOOKUP($A8,'Raw Data'!$A$3:$EA$30,75,0))</f>
        <v>9.3800000000000008</v>
      </c>
      <c r="AZ8" s="7">
        <f t="shared" si="59"/>
        <v>0.11045690061234104</v>
      </c>
      <c r="BA8" s="8">
        <f t="shared" si="22"/>
        <v>0</v>
      </c>
      <c r="BB8" s="17">
        <f t="shared" si="60"/>
        <v>1</v>
      </c>
      <c r="BC8" s="49">
        <f>IF(ISERROR(VLOOKUP($A8,'Raw Data'!$A$3:$EA$30,108,0))," ",VLOOKUP($A8,'Raw Data'!$A$3:$EA$30,108,0))</f>
        <v>10.26</v>
      </c>
      <c r="BD8" s="7">
        <f t="shared" si="61"/>
        <v>0.13757039420756234</v>
      </c>
      <c r="BE8" s="8">
        <f t="shared" si="25"/>
        <v>0</v>
      </c>
      <c r="BF8" s="17">
        <f t="shared" si="62"/>
        <v>1</v>
      </c>
      <c r="BG8" s="49">
        <f>IF(ISERROR(VLOOKUP($A8,'Raw Data'!$A$3:$EA$30,48,0))," ",VLOOKUP($A8,'Raw Data'!$A$3:$EA$30,48,0))</f>
        <v>10</v>
      </c>
      <c r="BH8" s="7">
        <f t="shared" si="63"/>
        <v>0.16374652038644177</v>
      </c>
      <c r="BI8" s="8">
        <f t="shared" si="28"/>
        <v>21787.483204116354</v>
      </c>
      <c r="BJ8" s="17">
        <f t="shared" si="64"/>
        <v>1</v>
      </c>
      <c r="BK8" s="49">
        <f>IF(ISERROR(VLOOKUP($A8,'Raw Data'!$A$3:$EA$30,39,0))," ",VLOOKUP($A8,'Raw Data'!$A$3:$EA$30,39,0))</f>
        <v>40</v>
      </c>
      <c r="BL8" s="7">
        <f t="shared" si="65"/>
        <v>0.15584213192036467</v>
      </c>
      <c r="BM8" s="8">
        <f t="shared" si="30"/>
        <v>0</v>
      </c>
      <c r="BN8" s="17">
        <f t="shared" si="31"/>
        <v>1</v>
      </c>
      <c r="BP8" s="8">
        <f t="shared" si="32"/>
        <v>110198.30472360802</v>
      </c>
      <c r="BR8" s="9">
        <f t="shared" si="33"/>
        <v>0.11019830472360802</v>
      </c>
      <c r="BS8" s="10">
        <f t="shared" si="34"/>
        <v>1.3035015290510199</v>
      </c>
      <c r="BT8" s="61">
        <f t="shared" si="35"/>
        <v>6.2599804304082164E-125</v>
      </c>
      <c r="BU8" s="32" t="str">
        <f t="shared" si="36"/>
        <v>|||||||||||||||||||||||||</v>
      </c>
      <c r="BV8" s="29" t="str">
        <f t="shared" si="37"/>
        <v xml:space="preserve"> </v>
      </c>
      <c r="BW8" s="34" t="str">
        <f t="shared" si="38"/>
        <v xml:space="preserve"> </v>
      </c>
      <c r="BX8" s="46" t="str">
        <f t="shared" si="39"/>
        <v xml:space="preserve"> </v>
      </c>
      <c r="BY8" s="220" t="str">
        <f t="shared" si="40"/>
        <v>|||||||||||||||||||||||||||||||||||||||||||||||||||||||||||||||||||||||||||</v>
      </c>
      <c r="BZ8" s="46" t="str">
        <f t="shared" si="41"/>
        <v xml:space="preserve"> </v>
      </c>
      <c r="CA8" s="229" t="str">
        <f t="shared" si="42"/>
        <v>|||||||||||||||||||||||||||||||||||||||||||||||||||||||||||||||||||||||||||</v>
      </c>
      <c r="CB8" s="221" t="str">
        <f t="shared" si="43"/>
        <v>|||||||||||||||||||||||||||||||||||||||||||||||||||||||||||||||||</v>
      </c>
      <c r="CC8" s="57">
        <f t="shared" si="66"/>
        <v>-1.3341920754275536</v>
      </c>
      <c r="CD8" s="57">
        <f t="shared" si="67"/>
        <v>-0.14050293755660204</v>
      </c>
      <c r="CE8" s="58">
        <f t="shared" si="68"/>
        <v>19</v>
      </c>
      <c r="CF8" s="58">
        <f t="shared" si="69"/>
        <v>19</v>
      </c>
      <c r="CG8" s="57">
        <f t="shared" si="70"/>
        <v>19</v>
      </c>
      <c r="CH8" s="57">
        <f t="shared" si="71"/>
        <v>2</v>
      </c>
      <c r="CI8" s="57">
        <f t="shared" si="72"/>
        <v>3</v>
      </c>
      <c r="CJ8" s="196">
        <f t="shared" si="73"/>
        <v>8</v>
      </c>
      <c r="CK8" s="57">
        <f t="shared" si="74"/>
        <v>4</v>
      </c>
      <c r="CL8" s="57">
        <f t="shared" si="75"/>
        <v>1</v>
      </c>
      <c r="CM8" s="57">
        <f t="shared" si="76"/>
        <v>6</v>
      </c>
      <c r="CN8" s="57">
        <f t="shared" si="77"/>
        <v>4</v>
      </c>
      <c r="CO8" s="57">
        <f t="shared" si="78"/>
        <v>18</v>
      </c>
      <c r="CP8" s="57">
        <f t="shared" si="79"/>
        <v>20</v>
      </c>
      <c r="CQ8" s="57">
        <f t="shared" si="80"/>
        <v>4</v>
      </c>
      <c r="CR8" s="57">
        <f t="shared" si="81"/>
        <v>3</v>
      </c>
      <c r="CS8" s="57">
        <f t="shared" si="82"/>
        <v>7</v>
      </c>
      <c r="CT8" s="57">
        <f t="shared" si="83"/>
        <v>7</v>
      </c>
      <c r="CU8" s="57">
        <f>IF(dashboard[[#This Row],[COHENSION]]=" "," ",_xlfn.RANK.AVG(F8,$F$3:$F$26,0))</f>
        <v>4</v>
      </c>
      <c r="CV8" s="57">
        <f t="shared" si="84"/>
        <v>3</v>
      </c>
      <c r="CW8" s="57">
        <f t="shared" si="85"/>
        <v>7</v>
      </c>
      <c r="CX8" s="58">
        <f t="shared" si="86"/>
        <v>19</v>
      </c>
      <c r="CY8" s="58">
        <f t="shared" si="87"/>
        <v>19</v>
      </c>
      <c r="CZ8" s="58">
        <f>IFERROR(VLOOKUP($A8,'cluster'!$A$20:$CI$45,86,0),CU8)</f>
        <v>8</v>
      </c>
      <c r="DA8" s="58">
        <f>IF(ISERROR(VLOOKUP(A8,'Raw Data'!$A$3:$DY$29,129,FALSE))," ",VLOOKUP(A8,'Raw Data'!$A$3:$DY$29,129,FALSE))</f>
        <v>7</v>
      </c>
      <c r="DB8" s="58">
        <f t="shared" si="44"/>
        <v>-12</v>
      </c>
      <c r="DC8" s="58">
        <f t="shared" si="88"/>
        <v>213.890625</v>
      </c>
      <c r="DD8" s="58">
        <f t="shared" si="89"/>
        <v>19</v>
      </c>
      <c r="DE8" s="58">
        <f t="shared" si="45"/>
        <v>0</v>
      </c>
      <c r="DF8" s="58">
        <f t="shared" si="46"/>
        <v>19</v>
      </c>
      <c r="DG8" s="58">
        <f t="shared" si="47"/>
        <v>8</v>
      </c>
    </row>
    <row r="9" spans="1:111" ht="30" customHeight="1" x14ac:dyDescent="0.55000000000000004">
      <c r="A9" s="21">
        <f>RawData[[#This Row],[Num]]</f>
        <v>8</v>
      </c>
      <c r="B9" s="22" t="str">
        <f>IFERROR(VLOOKUP($A9,'Raw Data'!$A$3:$EA$30,2,0)," ")</f>
        <v>Society Queen</v>
      </c>
      <c r="C9" s="8">
        <f>IFERROR(VLOOKUP($A9,'Raw Data'!$A$3:$EA$30,6,0)," ")</f>
        <v>39</v>
      </c>
      <c r="D9" s="8">
        <f>IFERROR(VLOOKUP($A9,'Raw Data'!$A$3:$EA$30,7,0)," ")</f>
        <v>6</v>
      </c>
      <c r="E9" s="149">
        <f>IFERROR(VLOOKUP($A9,'Raw Data'!$A$3:$EA$29,10,0)," ")</f>
        <v>18</v>
      </c>
      <c r="F9" s="273">
        <f>IFERROR(VLOOKUP(dashboard[[#This Row],[BOX]],'Raw Data'!$A$3:$EA$32,130)," ")</f>
        <v>3935.4711111111105</v>
      </c>
      <c r="G9" s="49">
        <f>IF(ISERROR(D9/dashboard[[#This Row],[RUNS]])," ",(D9/dashboard[[#This Row],[RUNS]]))</f>
        <v>0.15384615384615385</v>
      </c>
      <c r="H9" s="7">
        <f>IF(ISERROR(dashboard[[#This Row],[Wins Data]]/$G$29),0,dashboard[[#This Row],[Wins Data]]/$G$29)</f>
        <v>0.13194198151434844</v>
      </c>
      <c r="I9" s="8">
        <f>IF(dashboard[[#This Row],[Column2]]=1,($I$30/J$29)," ")</f>
        <v>0</v>
      </c>
      <c r="J9" s="17">
        <f t="shared" si="0"/>
        <v>1</v>
      </c>
      <c r="K9" s="49">
        <f t="shared" si="48"/>
        <v>0.46153846153846156</v>
      </c>
      <c r="L9" s="7">
        <f t="shared" si="49"/>
        <v>0.14711639462153767</v>
      </c>
      <c r="M9" s="8">
        <f>IF(dashboard[[#This Row],[Column1]]=1,($M$30/N$29)," ")</f>
        <v>0</v>
      </c>
      <c r="N9" s="17">
        <f t="shared" si="1"/>
        <v>1</v>
      </c>
      <c r="O9" s="49">
        <f t="shared" si="2"/>
        <v>15487932.866390118</v>
      </c>
      <c r="P9" s="7">
        <f t="shared" si="50"/>
        <v>2.2653786612901582E-2</v>
      </c>
      <c r="Q9" s="8">
        <f>IF(dashboard[[#This Row],[Column3]]=1,($Q$30/$R$29)," ")</f>
        <v>21857.109771892046</v>
      </c>
      <c r="R9" s="17">
        <f t="shared" si="4"/>
        <v>1</v>
      </c>
      <c r="S9" s="49">
        <f>IF(ISERROR(VLOOKUP($A9,'Raw Data'!$A$3:$EA$30,121,0))," ",VLOOKUP($A9,'Raw Data'!$A$3:$EA$30,121,0))</f>
        <v>3.2</v>
      </c>
      <c r="T9" s="7">
        <f t="shared" si="51"/>
        <v>0.10256410256410257</v>
      </c>
      <c r="U9" s="8" t="str">
        <f t="shared" si="6"/>
        <v xml:space="preserve"> </v>
      </c>
      <c r="V9" s="17" t="str">
        <f t="shared" si="7"/>
        <v xml:space="preserve"> </v>
      </c>
      <c r="W9" s="49">
        <f>IFERROR(VLOOKUP($A9,'Raw Data'!$A$3:$EA$30,123,0)^2," ")</f>
        <v>32400</v>
      </c>
      <c r="X9" s="7">
        <f t="shared" si="52"/>
        <v>7.4723247232472326E-2</v>
      </c>
      <c r="Y9" s="8" t="str">
        <f t="shared" si="8"/>
        <v xml:space="preserve"> </v>
      </c>
      <c r="Z9" s="17" t="str">
        <f t="shared" si="9"/>
        <v xml:space="preserve"> </v>
      </c>
      <c r="AA9" s="219">
        <f>IF(ISERROR(VLOOKUP($A9,'Raw Data'!$A$3:$EA$30,36,0))," ",VLOOKUP($A9,'Raw Data'!$A$3:$EA$30,36,0))</f>
        <v>16.670000000000002</v>
      </c>
      <c r="AB9" s="7">
        <f t="shared" si="53"/>
        <v>0.5</v>
      </c>
      <c r="AC9" s="8">
        <f>IF(dashboard[[#This Row],[Column6]]=1,($AC$30/$AD$29)," ")</f>
        <v>85696.22169982575</v>
      </c>
      <c r="AD9" s="17">
        <f t="shared" si="11"/>
        <v>1</v>
      </c>
      <c r="AE9" s="49">
        <f>IF(ISERROR((100/(VLOOKUP($A9,'Raw Data'!$A$3:$X$32,'A1. PICKS'!$I$2,0))))," ",100/(VLOOKUP($A9,'Raw Data'!$A$3:$X$32,'A1. PICKS'!$I$2,0)))</f>
        <v>7.6923076923076925</v>
      </c>
      <c r="AF9" s="7">
        <f t="shared" si="54"/>
        <v>6.9036850204901079E-2</v>
      </c>
      <c r="AG9" s="8">
        <f>IF(dashboard[[#This Row],[Column7]]=1,($AG$30/$AH$29)," ")</f>
        <v>12701.272502744197</v>
      </c>
      <c r="AH9" s="17">
        <f t="shared" si="13"/>
        <v>1</v>
      </c>
      <c r="AI9" s="49">
        <f>IFERROR(VLOOKUP($A9,'Raw Data'!$A$3:$EA$29,120,0)," ")</f>
        <v>5</v>
      </c>
      <c r="AJ9" s="7">
        <f t="shared" si="55"/>
        <v>0.11904761904761904</v>
      </c>
      <c r="AK9" s="8" t="str">
        <f>IF(dashboard[[#This Row],[Column8]]=1,($AK$30/$AL$29)," ")</f>
        <v xml:space="preserve"> </v>
      </c>
      <c r="AL9" s="17" t="str">
        <f t="shared" si="14"/>
        <v xml:space="preserve"> </v>
      </c>
      <c r="AM9" s="49">
        <f>IF(ISERROR(VLOOKUP($A9,'Raw Data'!$A$3:$EA$30,31,0))," ",VLOOKUP($A9,'Raw Data'!$A$3:$EA$30,31,0))</f>
        <v>-100</v>
      </c>
      <c r="AN9" s="7">
        <f t="shared" si="56"/>
        <v>0.49261083743842365</v>
      </c>
      <c r="AO9" s="8">
        <f>IF(dashboard[[#This Row],[Column9]]=1,($AO$30/$AP$29)," ")</f>
        <v>53852.439244855435</v>
      </c>
      <c r="AP9" s="17">
        <f t="shared" si="16"/>
        <v>1</v>
      </c>
      <c r="AQ9" s="49">
        <f>IF(ISERROR(VLOOKUP($A9,'Raw Data'!$A$3:$EA$30,39,0))," ",VLOOKUP($A9,'Raw Data'!$A$3:$EA$30,39,0))</f>
        <v>16.670000000000002</v>
      </c>
      <c r="AR9" s="7">
        <f t="shared" si="57"/>
        <v>6.4947208477811977E-2</v>
      </c>
      <c r="AS9" s="8">
        <f>IF(dashboard[[#This Row],[Column10]]=1,($AS$30/$AT$29)," ")</f>
        <v>0</v>
      </c>
      <c r="AT9" s="17">
        <f t="shared" si="18"/>
        <v>1</v>
      </c>
      <c r="AU9" s="49">
        <f>IFERROR(VLOOKUP($A9,'Raw Data'!$A$3:$EA$30,20,0)," ")</f>
        <v>1592</v>
      </c>
      <c r="AV9" s="7">
        <f t="shared" si="58"/>
        <v>0.11139878245049331</v>
      </c>
      <c r="AW9" s="8">
        <f>IF(dashboard[[#This Row],[Column11]]=1,($AW$30/$AX$29)," ")</f>
        <v>0</v>
      </c>
      <c r="AX9" s="17">
        <f t="shared" si="20"/>
        <v>1</v>
      </c>
      <c r="AY9" s="49">
        <f>IF(ISERROR(VLOOKUP($A9,'Raw Data'!$A$3:$EA$30,75,0))," ",VLOOKUP($A9,'Raw Data'!$A$3:$EA$30,75,0))</f>
        <v>9.82</v>
      </c>
      <c r="AZ9" s="7">
        <f t="shared" si="59"/>
        <v>0.11563824776260009</v>
      </c>
      <c r="BA9" s="8">
        <f t="shared" si="22"/>
        <v>0</v>
      </c>
      <c r="BB9" s="17">
        <f t="shared" si="60"/>
        <v>1</v>
      </c>
      <c r="BC9" s="49">
        <f>IF(ISERROR(VLOOKUP($A9,'Raw Data'!$A$3:$EA$30,108,0))," ",VLOOKUP($A9,'Raw Data'!$A$3:$EA$30,108,0))</f>
        <v>6.67</v>
      </c>
      <c r="BD9" s="7">
        <f t="shared" si="61"/>
        <v>8.9434164655403589E-2</v>
      </c>
      <c r="BE9" s="8">
        <f t="shared" si="25"/>
        <v>0</v>
      </c>
      <c r="BF9" s="17">
        <f t="shared" si="62"/>
        <v>1</v>
      </c>
      <c r="BG9" s="49">
        <f>IF(ISERROR(VLOOKUP($A9,'Raw Data'!$A$3:$EA$30,48,0))," ",VLOOKUP($A9,'Raw Data'!$A$3:$EA$30,48,0))</f>
        <v>0</v>
      </c>
      <c r="BH9" s="7">
        <f t="shared" si="63"/>
        <v>0</v>
      </c>
      <c r="BI9" s="8" t="str">
        <f t="shared" si="28"/>
        <v xml:space="preserve"> </v>
      </c>
      <c r="BJ9" s="17" t="str">
        <f t="shared" si="64"/>
        <v xml:space="preserve"> </v>
      </c>
      <c r="BK9" s="49">
        <f>IF(ISERROR(VLOOKUP($A9,'Raw Data'!$A$3:$EA$30,39,0))," ",VLOOKUP($A9,'Raw Data'!$A$3:$EA$30,39,0))</f>
        <v>16.670000000000002</v>
      </c>
      <c r="BL9" s="7">
        <f t="shared" si="65"/>
        <v>6.4947208477811977E-2</v>
      </c>
      <c r="BM9" s="8">
        <f t="shared" si="30"/>
        <v>0</v>
      </c>
      <c r="BN9" s="17">
        <f t="shared" si="31"/>
        <v>1</v>
      </c>
      <c r="BP9" s="8">
        <f t="shared" si="32"/>
        <v>174107.04321931742</v>
      </c>
      <c r="BR9" s="9">
        <f t="shared" si="33"/>
        <v>0.17410704321931741</v>
      </c>
      <c r="BS9" s="10">
        <f t="shared" si="34"/>
        <v>2.5190735000531235</v>
      </c>
      <c r="BT9" s="61">
        <f t="shared" si="35"/>
        <v>0</v>
      </c>
      <c r="BU9" s="32" t="str">
        <f t="shared" si="36"/>
        <v>||||||||</v>
      </c>
      <c r="BV9" s="29" t="str">
        <f t="shared" si="37"/>
        <v xml:space="preserve"> </v>
      </c>
      <c r="BW9" s="34" t="str">
        <f t="shared" si="38"/>
        <v xml:space="preserve"> </v>
      </c>
      <c r="BX9" s="46" t="str">
        <f t="shared" si="39"/>
        <v xml:space="preserve"> </v>
      </c>
      <c r="BY9" s="220" t="str">
        <f t="shared" si="40"/>
        <v>||||||||||||||||||||||||||||||||||||||||||||||</v>
      </c>
      <c r="BZ9" s="46" t="str">
        <f t="shared" si="41"/>
        <v xml:space="preserve"> </v>
      </c>
      <c r="CA9" s="229" t="str">
        <f t="shared" si="42"/>
        <v>||||||||||||||||||||||||||||||||||||||||||||||</v>
      </c>
      <c r="CB9" s="221" t="str">
        <f t="shared" si="43"/>
        <v>||||||||||||||||||||||||||||</v>
      </c>
      <c r="CC9" s="57">
        <f t="shared" si="66"/>
        <v>-2.5497640464296571</v>
      </c>
      <c r="CD9" s="57">
        <f t="shared" si="67"/>
        <v>-1.3560749085587056</v>
      </c>
      <c r="CE9" s="58">
        <f t="shared" si="68"/>
        <v>24</v>
      </c>
      <c r="CF9" s="58">
        <f t="shared" si="69"/>
        <v>24</v>
      </c>
      <c r="CG9" s="57">
        <f t="shared" si="70"/>
        <v>24</v>
      </c>
      <c r="CH9" s="57">
        <f t="shared" si="71"/>
        <v>5</v>
      </c>
      <c r="CI9" s="57">
        <f t="shared" si="72"/>
        <v>1</v>
      </c>
      <c r="CJ9" s="196">
        <f t="shared" si="73"/>
        <v>5</v>
      </c>
      <c r="CK9" s="57">
        <f t="shared" si="74"/>
        <v>6</v>
      </c>
      <c r="CL9" s="57">
        <f t="shared" si="75"/>
        <v>1</v>
      </c>
      <c r="CM9" s="57">
        <f t="shared" si="76"/>
        <v>5</v>
      </c>
      <c r="CN9" s="57">
        <f t="shared" si="77"/>
        <v>6</v>
      </c>
      <c r="CO9" s="57">
        <f t="shared" si="78"/>
        <v>21</v>
      </c>
      <c r="CP9" s="57">
        <f t="shared" si="79"/>
        <v>20</v>
      </c>
      <c r="CQ9" s="57">
        <f t="shared" si="80"/>
        <v>6</v>
      </c>
      <c r="CR9" s="57">
        <f t="shared" si="81"/>
        <v>6</v>
      </c>
      <c r="CS9" s="57">
        <f t="shared" si="82"/>
        <v>4</v>
      </c>
      <c r="CT9" s="57">
        <f t="shared" si="83"/>
        <v>2</v>
      </c>
      <c r="CU9" s="57">
        <f>IF(dashboard[[#This Row],[COHENSION]]=" "," ",_xlfn.RANK.AVG(F9,$F$3:$F$26,0))</f>
        <v>5</v>
      </c>
      <c r="CV9" s="57">
        <f t="shared" si="84"/>
        <v>1</v>
      </c>
      <c r="CW9" s="57">
        <f t="shared" si="85"/>
        <v>6</v>
      </c>
      <c r="CX9" s="58">
        <f t="shared" si="86"/>
        <v>24</v>
      </c>
      <c r="CY9" s="58">
        <f t="shared" si="87"/>
        <v>24</v>
      </c>
      <c r="CZ9" s="58">
        <f>IFERROR(VLOOKUP($A9,'cluster'!$A$20:$CI$45,86,0),CU9)</f>
        <v>5</v>
      </c>
      <c r="DA9" s="58">
        <f>IF(ISERROR(VLOOKUP(A9,'Raw Data'!$A$3:$DY$29,129,FALSE))," ",VLOOKUP(A9,'Raw Data'!$A$3:$DY$29,129,FALSE))</f>
        <v>3</v>
      </c>
      <c r="DB9" s="58">
        <f t="shared" si="44"/>
        <v>-21</v>
      </c>
      <c r="DC9" s="58">
        <f t="shared" si="88"/>
        <v>385.140625</v>
      </c>
      <c r="DD9" s="58">
        <f t="shared" si="89"/>
        <v>24</v>
      </c>
      <c r="DE9" s="58">
        <f t="shared" si="45"/>
        <v>0</v>
      </c>
      <c r="DF9" s="58">
        <f t="shared" si="46"/>
        <v>24</v>
      </c>
      <c r="DG9" s="58">
        <f t="shared" si="47"/>
        <v>5</v>
      </c>
    </row>
    <row r="10" spans="1:111" ht="30" customHeight="1" x14ac:dyDescent="0.55000000000000004">
      <c r="A10" s="21">
        <f>RawData[[#This Row],[Num]]</f>
        <v>9</v>
      </c>
      <c r="B10" s="22" t="str">
        <f>IFERROR(VLOOKUP($A10,'Raw Data'!$A$3:$EA$30,2,0)," ")</f>
        <v>Toecanargie Man</v>
      </c>
      <c r="C10" s="8">
        <f>IFERROR(VLOOKUP($A10,'Raw Data'!$A$3:$EA$30,6,0)," ")</f>
        <v>11</v>
      </c>
      <c r="D10" s="8">
        <f>IFERROR(VLOOKUP($A10,'Raw Data'!$A$3:$EA$30,7,0)," ")</f>
        <v>2</v>
      </c>
      <c r="E10" s="149">
        <f>IFERROR(VLOOKUP($A10,'Raw Data'!$A$3:$EA$29,10,0)," ")</f>
        <v>3</v>
      </c>
      <c r="F10" s="273">
        <f>IFERROR(VLOOKUP(dashboard[[#This Row],[BOX]],'Raw Data'!$A$3:$EA$32,130)," ")</f>
        <v>4356</v>
      </c>
      <c r="G10" s="49">
        <f>IF(ISERROR(D10/dashboard[[#This Row],[RUNS]])," ",(D10/dashboard[[#This Row],[RUNS]]))</f>
        <v>0.18181818181818182</v>
      </c>
      <c r="H10" s="7">
        <f>IF(ISERROR(dashboard[[#This Row],[Wins Data]]/$G$29),0,dashboard[[#This Row],[Wins Data]]/$G$29)</f>
        <v>0.15593143269877544</v>
      </c>
      <c r="I10" s="8">
        <f>IF(dashboard[[#This Row],[Column2]]=1,($I$30/J$29)," ")</f>
        <v>0</v>
      </c>
      <c r="J10" s="17">
        <f t="shared" si="0"/>
        <v>1</v>
      </c>
      <c r="K10" s="49">
        <f t="shared" si="48"/>
        <v>0.27272727272727271</v>
      </c>
      <c r="L10" s="7">
        <f t="shared" si="49"/>
        <v>8.6932415003635882E-2</v>
      </c>
      <c r="M10" s="8">
        <f>IF(dashboard[[#This Row],[Column1]]=1,($M$30/N$29)," ")</f>
        <v>0</v>
      </c>
      <c r="N10" s="17">
        <f t="shared" si="1"/>
        <v>1</v>
      </c>
      <c r="O10" s="49">
        <f t="shared" si="2"/>
        <v>18974736</v>
      </c>
      <c r="P10" s="7">
        <f t="shared" si="50"/>
        <v>2.7753840624719198E-2</v>
      </c>
      <c r="Q10" s="8">
        <f>IF(dashboard[[#This Row],[Column3]]=1,($Q$30/$R$29)," ")</f>
        <v>21857.109771892046</v>
      </c>
      <c r="R10" s="17">
        <f t="shared" si="4"/>
        <v>1</v>
      </c>
      <c r="S10" s="49">
        <f>IF(ISERROR(VLOOKUP($A10,'Raw Data'!$A$3:$EA$30,121,0))," ",VLOOKUP($A10,'Raw Data'!$A$3:$EA$30,121,0))</f>
        <v>9</v>
      </c>
      <c r="T10" s="7">
        <f t="shared" si="51"/>
        <v>0.28846153846153849</v>
      </c>
      <c r="U10" s="8" t="str">
        <f t="shared" si="6"/>
        <v xml:space="preserve"> </v>
      </c>
      <c r="V10" s="17" t="str">
        <f t="shared" si="7"/>
        <v xml:space="preserve"> </v>
      </c>
      <c r="W10" s="49">
        <f>IFERROR(VLOOKUP($A10,'Raw Data'!$A$3:$EA$30,123,0)^2," ")</f>
        <v>32400</v>
      </c>
      <c r="X10" s="7">
        <f t="shared" si="52"/>
        <v>7.4723247232472326E-2</v>
      </c>
      <c r="Y10" s="8" t="str">
        <f t="shared" si="8"/>
        <v xml:space="preserve"> </v>
      </c>
      <c r="Z10" s="17" t="str">
        <f t="shared" si="9"/>
        <v xml:space="preserve"> </v>
      </c>
      <c r="AA10" s="219">
        <f>IF(ISERROR(VLOOKUP($A10,'Raw Data'!$A$3:$EA$30,36,0))," ",VLOOKUP($A10,'Raw Data'!$A$3:$EA$30,36,0))</f>
        <v>0</v>
      </c>
      <c r="AB10" s="7">
        <f t="shared" si="53"/>
        <v>0</v>
      </c>
      <c r="AC10" s="8" t="str">
        <f>IF(dashboard[[#This Row],[Column6]]=1,($AC$30/$AD$29)," ")</f>
        <v xml:space="preserve"> </v>
      </c>
      <c r="AD10" s="17" t="str">
        <f t="shared" si="11"/>
        <v xml:space="preserve"> </v>
      </c>
      <c r="AE10" s="49">
        <f>IF(ISERROR((100/(VLOOKUP($A10,'Raw Data'!$A$3:$X$32,'A1. PICKS'!$I$2,0))))," ",100/(VLOOKUP($A10,'Raw Data'!$A$3:$X$32,'A1. PICKS'!$I$2,0)))</f>
        <v>11.764705882352942</v>
      </c>
      <c r="AF10" s="7">
        <f t="shared" si="54"/>
        <v>0.1055857709016134</v>
      </c>
      <c r="AG10" s="8">
        <f>IF(dashboard[[#This Row],[Column7]]=1,($AG$30/$AH$29)," ")</f>
        <v>12701.272502744197</v>
      </c>
      <c r="AH10" s="17">
        <f t="shared" si="13"/>
        <v>1</v>
      </c>
      <c r="AI10" s="49">
        <f>IFERROR(VLOOKUP($A10,'Raw Data'!$A$3:$EA$29,120,0)," ")</f>
        <v>9</v>
      </c>
      <c r="AJ10" s="7">
        <f t="shared" si="55"/>
        <v>0.21428571428571427</v>
      </c>
      <c r="AK10" s="8" t="str">
        <f>IF(dashboard[[#This Row],[Column8]]=1,($AK$30/$AL$29)," ")</f>
        <v xml:space="preserve"> </v>
      </c>
      <c r="AL10" s="17" t="str">
        <f t="shared" si="14"/>
        <v xml:space="preserve"> </v>
      </c>
      <c r="AM10" s="49">
        <f>IF(ISERROR(VLOOKUP($A10,'Raw Data'!$A$3:$EA$30,31,0))," ",VLOOKUP($A10,'Raw Data'!$A$3:$EA$30,31,0))</f>
        <v>-100</v>
      </c>
      <c r="AN10" s="7">
        <f t="shared" si="56"/>
        <v>0.49261083743842365</v>
      </c>
      <c r="AO10" s="8">
        <f>IF(dashboard[[#This Row],[Column9]]=1,($AO$30/$AP$29)," ")</f>
        <v>53852.439244855435</v>
      </c>
      <c r="AP10" s="17">
        <f t="shared" si="16"/>
        <v>1</v>
      </c>
      <c r="AQ10" s="49">
        <f>IF(ISERROR(VLOOKUP($A10,'Raw Data'!$A$3:$EA$30,39,0))," ",VLOOKUP($A10,'Raw Data'!$A$3:$EA$30,39,0))</f>
        <v>0</v>
      </c>
      <c r="AR10" s="7">
        <f t="shared" si="57"/>
        <v>0</v>
      </c>
      <c r="AS10" s="8" t="str">
        <f>IF(dashboard[[#This Row],[Column10]]=1,($AS$30/$AT$29)," ")</f>
        <v xml:space="preserve"> </v>
      </c>
      <c r="AT10" s="17" t="str">
        <f t="shared" si="18"/>
        <v xml:space="preserve"> </v>
      </c>
      <c r="AU10" s="49">
        <f>IFERROR(VLOOKUP($A10,'Raw Data'!$A$3:$EA$30,20,0)," ")</f>
        <v>1114</v>
      </c>
      <c r="AV10" s="7">
        <f t="shared" si="58"/>
        <v>7.7951158071513538E-2</v>
      </c>
      <c r="AW10" s="8">
        <f>IF(dashboard[[#This Row],[Column11]]=1,($AW$30/$AX$29)," ")</f>
        <v>0</v>
      </c>
      <c r="AX10" s="17">
        <f t="shared" si="20"/>
        <v>1</v>
      </c>
      <c r="AY10" s="49">
        <f>IF(ISERROR(VLOOKUP($A10,'Raw Data'!$A$3:$EA$30,75,0))," ",VLOOKUP($A10,'Raw Data'!$A$3:$EA$30,75,0))</f>
        <v>12.45</v>
      </c>
      <c r="AZ10" s="7">
        <f t="shared" si="59"/>
        <v>0.14660857277437586</v>
      </c>
      <c r="BA10" s="8">
        <f t="shared" si="22"/>
        <v>0</v>
      </c>
      <c r="BB10" s="17">
        <f t="shared" si="60"/>
        <v>1</v>
      </c>
      <c r="BC10" s="49">
        <f>IF(ISERROR(VLOOKUP($A10,'Raw Data'!$A$3:$EA$30,108,0))," ",VLOOKUP($A10,'Raw Data'!$A$3:$EA$30,108,0))</f>
        <v>10</v>
      </c>
      <c r="BD10" s="7">
        <f t="shared" si="61"/>
        <v>0.13408420488066505</v>
      </c>
      <c r="BE10" s="8">
        <f t="shared" si="25"/>
        <v>0</v>
      </c>
      <c r="BF10" s="17">
        <f t="shared" si="62"/>
        <v>1</v>
      </c>
      <c r="BG10" s="49">
        <f>IF(ISERROR(VLOOKUP($A10,'Raw Data'!$A$3:$EA$30,48,0))," ",VLOOKUP($A10,'Raw Data'!$A$3:$EA$30,48,0))</f>
        <v>0</v>
      </c>
      <c r="BH10" s="7">
        <f t="shared" si="63"/>
        <v>0</v>
      </c>
      <c r="BI10" s="8" t="str">
        <f t="shared" si="28"/>
        <v xml:space="preserve"> </v>
      </c>
      <c r="BJ10" s="17" t="str">
        <f t="shared" si="64"/>
        <v xml:space="preserve"> </v>
      </c>
      <c r="BK10" s="49">
        <f>IF(ISERROR(VLOOKUP($A10,'Raw Data'!$A$3:$EA$30,39,0))," ",VLOOKUP($A10,'Raw Data'!$A$3:$EA$30,39,0))</f>
        <v>0</v>
      </c>
      <c r="BL10" s="7">
        <f t="shared" si="65"/>
        <v>0</v>
      </c>
      <c r="BM10" s="8" t="str">
        <f t="shared" si="30"/>
        <v xml:space="preserve"> </v>
      </c>
      <c r="BN10" s="17" t="str">
        <f t="shared" si="31"/>
        <v xml:space="preserve"> </v>
      </c>
      <c r="BP10" s="8">
        <f t="shared" si="32"/>
        <v>88410.82151949167</v>
      </c>
      <c r="BR10" s="9">
        <f t="shared" si="33"/>
        <v>8.8410821519491672E-2</v>
      </c>
      <c r="BS10" s="10">
        <f t="shared" si="34"/>
        <v>0.8890941330517862</v>
      </c>
      <c r="BT10" s="61">
        <f t="shared" si="35"/>
        <v>2.9133673838769256E-56</v>
      </c>
      <c r="BU10" s="32" t="str">
        <f t="shared" si="36"/>
        <v>||||||||||||||||||||||||||||||||||||||||||||||||||||||||||</v>
      </c>
      <c r="BV10" s="29" t="str">
        <f t="shared" si="37"/>
        <v xml:space="preserve"> </v>
      </c>
      <c r="BW10" s="34" t="str">
        <f t="shared" si="38"/>
        <v xml:space="preserve"> </v>
      </c>
      <c r="BX10" s="46" t="str">
        <f t="shared" si="39"/>
        <v xml:space="preserve"> </v>
      </c>
      <c r="BY10" s="220" t="str">
        <f t="shared" si="40"/>
        <v>|||||||||||||||||||||||||||||||||||||</v>
      </c>
      <c r="BZ10" s="46" t="str">
        <f t="shared" si="41"/>
        <v xml:space="preserve"> </v>
      </c>
      <c r="CA10" s="229" t="str">
        <f t="shared" si="42"/>
        <v>|||||||||||||||||||||||||||||||||||||</v>
      </c>
      <c r="CB10" s="221" t="str">
        <f t="shared" si="43"/>
        <v xml:space="preserve"> </v>
      </c>
      <c r="CC10" s="57">
        <f t="shared" si="66"/>
        <v>-0.91978467942831987</v>
      </c>
      <c r="CD10" s="57">
        <f t="shared" si="67"/>
        <v>0.27390445844263167</v>
      </c>
      <c r="CE10" s="58">
        <f t="shared" si="68"/>
        <v>18</v>
      </c>
      <c r="CF10" s="58">
        <f t="shared" si="69"/>
        <v>18</v>
      </c>
      <c r="CG10" s="57">
        <f t="shared" si="70"/>
        <v>18</v>
      </c>
      <c r="CH10" s="57">
        <f t="shared" si="71"/>
        <v>1</v>
      </c>
      <c r="CI10" s="57">
        <f t="shared" si="72"/>
        <v>7</v>
      </c>
      <c r="CJ10" s="196">
        <f t="shared" si="73"/>
        <v>4</v>
      </c>
      <c r="CK10" s="57">
        <f t="shared" si="74"/>
        <v>7</v>
      </c>
      <c r="CL10" s="57">
        <f t="shared" si="75"/>
        <v>1</v>
      </c>
      <c r="CM10" s="57">
        <f t="shared" si="76"/>
        <v>2</v>
      </c>
      <c r="CN10" s="57">
        <f t="shared" si="77"/>
        <v>5</v>
      </c>
      <c r="CO10" s="57">
        <f t="shared" si="78"/>
        <v>24</v>
      </c>
      <c r="CP10" s="57">
        <f t="shared" si="79"/>
        <v>20</v>
      </c>
      <c r="CQ10" s="57">
        <f t="shared" si="80"/>
        <v>7</v>
      </c>
      <c r="CR10" s="57">
        <f t="shared" si="81"/>
        <v>6</v>
      </c>
      <c r="CS10" s="57">
        <f t="shared" si="82"/>
        <v>1</v>
      </c>
      <c r="CT10" s="57">
        <f t="shared" si="83"/>
        <v>8</v>
      </c>
      <c r="CU10" s="57">
        <f>IF(dashboard[[#This Row],[COHENSION]]=" "," ",_xlfn.RANK.AVG(F10,$F$3:$F$26,0))</f>
        <v>3</v>
      </c>
      <c r="CV10" s="57">
        <f t="shared" si="84"/>
        <v>3</v>
      </c>
      <c r="CW10" s="57">
        <f t="shared" si="85"/>
        <v>8</v>
      </c>
      <c r="CX10" s="58">
        <f t="shared" si="86"/>
        <v>18</v>
      </c>
      <c r="CY10" s="58">
        <f t="shared" si="87"/>
        <v>18</v>
      </c>
      <c r="CZ10" s="58">
        <f>IFERROR(VLOOKUP($A10,'cluster'!$A$20:$CI$45,86,0),CU10)</f>
        <v>4</v>
      </c>
      <c r="DA10" s="58">
        <f>IF(ISERROR(VLOOKUP(A10,'Raw Data'!$A$3:$DY$29,129,FALSE))," ",VLOOKUP(A10,'Raw Data'!$A$3:$DY$29,129,FALSE))</f>
        <v>8</v>
      </c>
      <c r="DB10" s="58">
        <f t="shared" si="44"/>
        <v>-10</v>
      </c>
      <c r="DC10" s="58">
        <f t="shared" si="88"/>
        <v>185.640625</v>
      </c>
      <c r="DD10" s="58">
        <f t="shared" si="89"/>
        <v>18</v>
      </c>
      <c r="DE10" s="58">
        <f t="shared" si="45"/>
        <v>0</v>
      </c>
      <c r="DF10" s="58">
        <f t="shared" si="46"/>
        <v>18</v>
      </c>
      <c r="DG10" s="58">
        <f t="shared" si="47"/>
        <v>4</v>
      </c>
    </row>
    <row r="11" spans="1:111" ht="30" customHeight="1" x14ac:dyDescent="0.55000000000000004">
      <c r="A11" s="21">
        <f>RawData[[#This Row],[Num]]</f>
        <v>0</v>
      </c>
      <c r="B11" s="22" t="str">
        <f>IFERROR(VLOOKUP($A11,'Raw Data'!$A$3:$EA$30,2,0)," ")</f>
        <v xml:space="preserve"> </v>
      </c>
      <c r="C11" s="8" t="str">
        <f>IFERROR(VLOOKUP($A11,'Raw Data'!$A$3:$EA$30,6,0)," ")</f>
        <v xml:space="preserve"> </v>
      </c>
      <c r="D11" s="8" t="str">
        <f>IFERROR(VLOOKUP($A11,'Raw Data'!$A$3:$EA$30,7,0)," ")</f>
        <v xml:space="preserve"> </v>
      </c>
      <c r="E11" s="149" t="str">
        <f>IFERROR(VLOOKUP($A11,'Raw Data'!$A$3:$EA$29,10,0)," ")</f>
        <v xml:space="preserve"> </v>
      </c>
      <c r="F11" s="273" t="str">
        <f>IFERROR(VLOOKUP(dashboard[[#This Row],[BOX]],'Raw Data'!$A$3:$EA$32,130)," ")</f>
        <v xml:space="preserve"> </v>
      </c>
      <c r="G11" s="49" t="str">
        <f>IF(ISERROR(D11/dashboard[[#This Row],[RUNS]])," ",(D11/dashboard[[#This Row],[RUNS]]))</f>
        <v xml:space="preserve"> </v>
      </c>
      <c r="H11" s="7">
        <f>IF(ISERROR(dashboard[[#This Row],[Wins Data]]/$G$29),0,dashboard[[#This Row],[Wins Data]]/$G$29)</f>
        <v>0</v>
      </c>
      <c r="I11" s="8" t="str">
        <f>IF(dashboard[[#This Row],[Column2]]=1,($I$30/J$29)," ")</f>
        <v xml:space="preserve"> </v>
      </c>
      <c r="J11" s="17" t="str">
        <f t="shared" si="0"/>
        <v xml:space="preserve"> </v>
      </c>
      <c r="K11" s="49" t="str">
        <f t="shared" si="48"/>
        <v xml:space="preserve"> </v>
      </c>
      <c r="L11" s="7">
        <f t="shared" si="49"/>
        <v>0</v>
      </c>
      <c r="M11" s="8" t="str">
        <f>IF(dashboard[[#This Row],[Column1]]=1,($M$30/N$29)," ")</f>
        <v xml:space="preserve"> </v>
      </c>
      <c r="N11" s="17" t="str">
        <f t="shared" si="1"/>
        <v xml:space="preserve"> </v>
      </c>
      <c r="O11" s="49" t="str">
        <f t="shared" si="2"/>
        <v xml:space="preserve"> </v>
      </c>
      <c r="P11" s="7">
        <f t="shared" si="50"/>
        <v>0</v>
      </c>
      <c r="Q11" s="8" t="str">
        <f>IF(dashboard[[#This Row],[Column3]]=1,($Q$30/$R$29)," ")</f>
        <v xml:space="preserve"> </v>
      </c>
      <c r="R11" s="17" t="str">
        <f t="shared" si="4"/>
        <v xml:space="preserve"> </v>
      </c>
      <c r="S11" s="49" t="str">
        <f>IF(ISERROR(VLOOKUP($A11,'Raw Data'!$A$3:$EA$30,121,0))," ",VLOOKUP($A11,'Raw Data'!$A$3:$EA$30,121,0))</f>
        <v xml:space="preserve"> </v>
      </c>
      <c r="T11" s="7">
        <f t="shared" si="51"/>
        <v>0</v>
      </c>
      <c r="U11" s="8">
        <f t="shared" si="6"/>
        <v>0</v>
      </c>
      <c r="V11" s="17">
        <f t="shared" si="7"/>
        <v>1</v>
      </c>
      <c r="W11" s="49" t="str">
        <f>IFERROR(VLOOKUP($A11,'Raw Data'!$A$3:$EA$30,123,0)^2," ")</f>
        <v xml:space="preserve"> </v>
      </c>
      <c r="X11" s="7">
        <f t="shared" si="52"/>
        <v>0</v>
      </c>
      <c r="Y11" s="8">
        <f t="shared" si="8"/>
        <v>7505.5279320964964</v>
      </c>
      <c r="Z11" s="17">
        <f t="shared" si="9"/>
        <v>1</v>
      </c>
      <c r="AA11" s="219" t="str">
        <f>IF(ISERROR(VLOOKUP($A11,'Raw Data'!$A$3:$EA$30,36,0))," ",VLOOKUP($A11,'Raw Data'!$A$3:$EA$30,36,0))</f>
        <v xml:space="preserve"> </v>
      </c>
      <c r="AB11" s="7">
        <f t="shared" si="53"/>
        <v>0</v>
      </c>
      <c r="AC11" s="8" t="str">
        <f>IF(dashboard[[#This Row],[Column6]]=1,($AC$30/$AD$29)," ")</f>
        <v xml:space="preserve"> </v>
      </c>
      <c r="AD11" s="17" t="str">
        <f t="shared" si="11"/>
        <v xml:space="preserve"> </v>
      </c>
      <c r="AE11" s="49" t="str">
        <f>IF(ISERROR((100/(VLOOKUP($A11,'Raw Data'!$A$3:$X$32,'A1. PICKS'!$I$2,0))))," ",100/(VLOOKUP($A11,'Raw Data'!$A$3:$X$32,'A1. PICKS'!$I$2,0)))</f>
        <v xml:space="preserve"> </v>
      </c>
      <c r="AF11" s="7">
        <f t="shared" si="54"/>
        <v>0</v>
      </c>
      <c r="AG11" s="8" t="str">
        <f>IF(dashboard[[#This Row],[Column7]]=1,($AG$30/$AH$29)," ")</f>
        <v xml:space="preserve"> </v>
      </c>
      <c r="AH11" s="17" t="str">
        <f t="shared" si="13"/>
        <v xml:space="preserve"> </v>
      </c>
      <c r="AI11" s="49" t="str">
        <f>IFERROR(VLOOKUP($A11,'Raw Data'!$A$3:$EA$29,120,0)," ")</f>
        <v xml:space="preserve"> </v>
      </c>
      <c r="AJ11" s="7">
        <f t="shared" si="55"/>
        <v>0</v>
      </c>
      <c r="AK11" s="8">
        <f>IF(dashboard[[#This Row],[Column8]]=1,($AK$30/$AL$29)," ")</f>
        <v>0</v>
      </c>
      <c r="AL11" s="17">
        <f t="shared" si="14"/>
        <v>1</v>
      </c>
      <c r="AM11" s="49" t="str">
        <f>IF(ISERROR(VLOOKUP($A11,'Raw Data'!$A$3:$EA$30,31,0))," ",VLOOKUP($A11,'Raw Data'!$A$3:$EA$30,31,0))</f>
        <v xml:space="preserve"> </v>
      </c>
      <c r="AN11" s="7">
        <f t="shared" si="56"/>
        <v>0</v>
      </c>
      <c r="AO11" s="8" t="str">
        <f>IF(dashboard[[#This Row],[Column9]]=1,($AO$30/$AP$29)," ")</f>
        <v xml:space="preserve"> </v>
      </c>
      <c r="AP11" s="17" t="str">
        <f t="shared" si="16"/>
        <v xml:space="preserve"> </v>
      </c>
      <c r="AQ11" s="49" t="str">
        <f>IF(ISERROR(VLOOKUP($A11,'Raw Data'!$A$3:$EA$30,39,0))," ",VLOOKUP($A11,'Raw Data'!$A$3:$EA$30,39,0))</f>
        <v xml:space="preserve"> </v>
      </c>
      <c r="AR11" s="7">
        <f t="shared" si="57"/>
        <v>0</v>
      </c>
      <c r="AS11" s="8" t="str">
        <f>IF(dashboard[[#This Row],[Column10]]=1,($AS$30/$AT$29)," ")</f>
        <v xml:space="preserve"> </v>
      </c>
      <c r="AT11" s="17" t="str">
        <f t="shared" si="18"/>
        <v xml:space="preserve"> </v>
      </c>
      <c r="AU11" s="49" t="str">
        <f>IFERROR(VLOOKUP($A11,'Raw Data'!$A$3:$EA$30,20,0)," ")</f>
        <v xml:space="preserve"> </v>
      </c>
      <c r="AV11" s="7">
        <f t="shared" si="58"/>
        <v>0</v>
      </c>
      <c r="AW11" s="8" t="str">
        <f>IF(dashboard[[#This Row],[Column11]]=1,($AW$30/$AX$29)," ")</f>
        <v xml:space="preserve"> </v>
      </c>
      <c r="AX11" s="17" t="str">
        <f t="shared" si="20"/>
        <v xml:space="preserve"> </v>
      </c>
      <c r="AY11" s="49" t="str">
        <f>IF(ISERROR(VLOOKUP($A11,'Raw Data'!$A$3:$EA$30,75,0))," ",VLOOKUP($A11,'Raw Data'!$A$3:$EA$30,75,0))</f>
        <v xml:space="preserve"> </v>
      </c>
      <c r="AZ11" s="7">
        <f t="shared" si="59"/>
        <v>0</v>
      </c>
      <c r="BA11" s="8" t="str">
        <f t="shared" si="22"/>
        <v xml:space="preserve"> </v>
      </c>
      <c r="BB11" s="17" t="str">
        <f t="shared" si="60"/>
        <v xml:space="preserve"> </v>
      </c>
      <c r="BC11" s="49" t="str">
        <f>IF(ISERROR(VLOOKUP($A11,'Raw Data'!$A$3:$EA$30,108,0))," ",VLOOKUP($A11,'Raw Data'!$A$3:$EA$30,108,0))</f>
        <v xml:space="preserve"> </v>
      </c>
      <c r="BD11" s="7">
        <f t="shared" si="61"/>
        <v>0</v>
      </c>
      <c r="BE11" s="8" t="str">
        <f t="shared" si="25"/>
        <v xml:space="preserve"> </v>
      </c>
      <c r="BF11" s="17" t="str">
        <f t="shared" si="62"/>
        <v xml:space="preserve"> </v>
      </c>
      <c r="BG11" s="49" t="str">
        <f>IF(ISERROR(VLOOKUP($A11,'Raw Data'!$A$3:$EA$30,48,0))," ",VLOOKUP($A11,'Raw Data'!$A$3:$EA$30,48,0))</f>
        <v xml:space="preserve"> </v>
      </c>
      <c r="BH11" s="7">
        <f t="shared" si="63"/>
        <v>0</v>
      </c>
      <c r="BI11" s="8" t="str">
        <f t="shared" si="28"/>
        <v xml:space="preserve"> </v>
      </c>
      <c r="BJ11" s="17" t="str">
        <f t="shared" si="64"/>
        <v xml:space="preserve"> </v>
      </c>
      <c r="BK11" s="49" t="str">
        <f>IF(ISERROR(VLOOKUP($A11,'Raw Data'!$A$3:$EA$30,39,0))," ",VLOOKUP($A11,'Raw Data'!$A$3:$EA$30,39,0))</f>
        <v xml:space="preserve"> </v>
      </c>
      <c r="BL11" s="7">
        <f t="shared" si="65"/>
        <v>0</v>
      </c>
      <c r="BM11" s="8" t="str">
        <f t="shared" si="30"/>
        <v xml:space="preserve"> </v>
      </c>
      <c r="BN11" s="17" t="str">
        <f t="shared" si="31"/>
        <v xml:space="preserve"> </v>
      </c>
      <c r="BP11" s="8">
        <f t="shared" si="32"/>
        <v>7505.5279320964964</v>
      </c>
      <c r="BR11" s="9">
        <f t="shared" si="33"/>
        <v>7.505527932096496E-3</v>
      </c>
      <c r="BS11" s="10">
        <f t="shared" si="34"/>
        <v>-0.64975969985772108</v>
      </c>
      <c r="BT11" s="61">
        <f t="shared" si="35"/>
        <v>2.1060205177837771E-37</v>
      </c>
      <c r="BU11" s="32" t="str">
        <f t="shared" si="36"/>
        <v xml:space="preserve"> </v>
      </c>
      <c r="BV11" s="29" t="str">
        <f t="shared" si="37"/>
        <v>|||</v>
      </c>
      <c r="BW11" s="34" t="str">
        <f t="shared" si="38"/>
        <v>|||</v>
      </c>
      <c r="BX11" s="46" t="str">
        <f t="shared" si="39"/>
        <v>|||</v>
      </c>
      <c r="BY11" s="220" t="str">
        <f t="shared" si="40"/>
        <v xml:space="preserve"> </v>
      </c>
      <c r="BZ11" s="46" t="str">
        <f t="shared" si="41"/>
        <v>||||||</v>
      </c>
      <c r="CA11" s="229" t="str">
        <f t="shared" si="42"/>
        <v xml:space="preserve"> </v>
      </c>
      <c r="CB11" s="221" t="str">
        <f t="shared" si="43"/>
        <v xml:space="preserve"> </v>
      </c>
      <c r="CC11" s="57">
        <f t="shared" si="66"/>
        <v>0.61906915348118741</v>
      </c>
      <c r="CD11" s="57">
        <f t="shared" si="67"/>
        <v>1.812758291352139</v>
      </c>
      <c r="CE11" s="58">
        <f t="shared" si="68"/>
        <v>1</v>
      </c>
      <c r="CF11" s="58">
        <f t="shared" si="69"/>
        <v>1</v>
      </c>
      <c r="CG11" s="57">
        <f t="shared" si="70"/>
        <v>2</v>
      </c>
      <c r="CH11" s="57">
        <f t="shared" si="71"/>
        <v>9</v>
      </c>
      <c r="CI11" s="57">
        <f t="shared" si="72"/>
        <v>9</v>
      </c>
      <c r="CJ11" s="196">
        <f t="shared" si="73"/>
        <v>9</v>
      </c>
      <c r="CK11" s="57">
        <f t="shared" si="74"/>
        <v>7</v>
      </c>
      <c r="CL11" s="57">
        <f t="shared" si="75"/>
        <v>7</v>
      </c>
      <c r="CM11" s="57">
        <f t="shared" si="76"/>
        <v>9</v>
      </c>
      <c r="CN11" s="57">
        <f t="shared" si="77"/>
        <v>9</v>
      </c>
      <c r="CO11" s="57">
        <f t="shared" si="78"/>
        <v>1</v>
      </c>
      <c r="CP11" s="57">
        <f t="shared" si="79"/>
        <v>1</v>
      </c>
      <c r="CQ11" s="57">
        <f t="shared" si="80"/>
        <v>7</v>
      </c>
      <c r="CR11" s="57">
        <f t="shared" si="81"/>
        <v>6</v>
      </c>
      <c r="CS11" s="57">
        <f t="shared" si="82"/>
        <v>9</v>
      </c>
      <c r="CT11" s="57">
        <f t="shared" si="83"/>
        <v>9</v>
      </c>
      <c r="CU11" s="57" t="str">
        <f>IF(dashboard[[#This Row],[COHENSION]]=" "," ",_xlfn.RANK.AVG(F11,$F$3:$F$26,0))</f>
        <v xml:space="preserve"> </v>
      </c>
      <c r="CV11" s="57">
        <f t="shared" si="84"/>
        <v>3</v>
      </c>
      <c r="CW11" s="57">
        <f t="shared" si="85"/>
        <v>9</v>
      </c>
      <c r="CX11" s="58">
        <f t="shared" si="86"/>
        <v>1</v>
      </c>
      <c r="CY11" s="58">
        <f t="shared" si="87"/>
        <v>1</v>
      </c>
      <c r="CZ11" s="58" t="str">
        <f>IFERROR(VLOOKUP($A11,'cluster'!$A$20:$CI$45,86,0),CU11)</f>
        <v xml:space="preserve"> </v>
      </c>
      <c r="DA11" s="58" t="str">
        <f>IF(ISERROR(VLOOKUP(A11,'Raw Data'!$A$3:$DY$29,129,FALSE))," ",VLOOKUP(A11,'Raw Data'!$A$3:$DY$29,129,FALSE))</f>
        <v xml:space="preserve"> </v>
      </c>
      <c r="DB11" s="58" t="str">
        <f t="shared" si="44"/>
        <v xml:space="preserve"> </v>
      </c>
      <c r="DC11" s="58">
        <f t="shared" si="88"/>
        <v>11.390625</v>
      </c>
      <c r="DD11" s="58">
        <f t="shared" si="89"/>
        <v>1</v>
      </c>
      <c r="DE11" s="58">
        <f t="shared" si="45"/>
        <v>0</v>
      </c>
      <c r="DF11" s="58">
        <f t="shared" si="46"/>
        <v>1</v>
      </c>
      <c r="DG11" s="58" t="str">
        <f t="shared" si="47"/>
        <v xml:space="preserve"> </v>
      </c>
    </row>
    <row r="12" spans="1:111" ht="30" customHeight="1" x14ac:dyDescent="0.55000000000000004">
      <c r="A12" s="21">
        <f>RawData[[#This Row],[Num]]</f>
        <v>0</v>
      </c>
      <c r="B12" s="22" t="str">
        <f>IFERROR(VLOOKUP($A12,'Raw Data'!$A$3:$EA$30,2,0)," ")</f>
        <v xml:space="preserve"> </v>
      </c>
      <c r="C12" s="8" t="str">
        <f>IFERROR(VLOOKUP($A12,'Raw Data'!$A$3:$EA$30,6,0)," ")</f>
        <v xml:space="preserve"> </v>
      </c>
      <c r="D12" s="8" t="str">
        <f>IFERROR(VLOOKUP($A12,'Raw Data'!$A$3:$EA$30,7,0)," ")</f>
        <v xml:space="preserve"> </v>
      </c>
      <c r="E12" s="149" t="str">
        <f>IFERROR(VLOOKUP($A12,'Raw Data'!$A$3:$EA$29,10,0)," ")</f>
        <v xml:space="preserve"> </v>
      </c>
      <c r="F12" s="273" t="str">
        <f>IFERROR(VLOOKUP(dashboard[[#This Row],[BOX]],'Raw Data'!$A$3:$EA$32,130)," ")</f>
        <v xml:space="preserve"> </v>
      </c>
      <c r="G12" s="49" t="str">
        <f>IF(ISERROR(D12/dashboard[[#This Row],[RUNS]])," ",(D12/dashboard[[#This Row],[RUNS]]))</f>
        <v xml:space="preserve"> </v>
      </c>
      <c r="H12" s="7">
        <f>IF(ISERROR(dashboard[[#This Row],[Wins Data]]/$G$29),0,dashboard[[#This Row],[Wins Data]]/$G$29)</f>
        <v>0</v>
      </c>
      <c r="I12" s="8" t="str">
        <f>IF(dashboard[[#This Row],[Column2]]=1,($I$30/J$29)," ")</f>
        <v xml:space="preserve"> </v>
      </c>
      <c r="J12" s="17" t="str">
        <f t="shared" si="0"/>
        <v xml:space="preserve"> </v>
      </c>
      <c r="K12" s="49" t="str">
        <f t="shared" si="48"/>
        <v xml:space="preserve"> </v>
      </c>
      <c r="L12" s="7">
        <f t="shared" si="49"/>
        <v>0</v>
      </c>
      <c r="M12" s="8" t="str">
        <f>IF(dashboard[[#This Row],[Column1]]=1,($M$30/N$29)," ")</f>
        <v xml:space="preserve"> </v>
      </c>
      <c r="N12" s="17" t="str">
        <f t="shared" si="1"/>
        <v xml:space="preserve"> </v>
      </c>
      <c r="O12" s="49" t="str">
        <f t="shared" si="2"/>
        <v xml:space="preserve"> </v>
      </c>
      <c r="P12" s="7">
        <f t="shared" si="50"/>
        <v>0</v>
      </c>
      <c r="Q12" s="8" t="str">
        <f>IF(dashboard[[#This Row],[Column3]]=1,($Q$30/$R$29)," ")</f>
        <v xml:space="preserve"> </v>
      </c>
      <c r="R12" s="17" t="str">
        <f t="shared" si="4"/>
        <v xml:space="preserve"> </v>
      </c>
      <c r="S12" s="49" t="str">
        <f>IF(ISERROR(VLOOKUP($A12,'Raw Data'!$A$3:$EA$30,121,0))," ",VLOOKUP($A12,'Raw Data'!$A$3:$EA$30,121,0))</f>
        <v xml:space="preserve"> </v>
      </c>
      <c r="T12" s="7">
        <f t="shared" si="51"/>
        <v>0</v>
      </c>
      <c r="U12" s="8">
        <f t="shared" si="6"/>
        <v>0</v>
      </c>
      <c r="V12" s="17">
        <f t="shared" si="7"/>
        <v>1</v>
      </c>
      <c r="W12" s="49" t="str">
        <f>IFERROR(VLOOKUP($A12,'Raw Data'!$A$3:$EA$30,123,0)^2," ")</f>
        <v xml:space="preserve"> </v>
      </c>
      <c r="X12" s="7">
        <f t="shared" si="52"/>
        <v>0</v>
      </c>
      <c r="Y12" s="8">
        <f t="shared" si="8"/>
        <v>7505.5279320964964</v>
      </c>
      <c r="Z12" s="17">
        <f t="shared" si="9"/>
        <v>1</v>
      </c>
      <c r="AA12" s="219" t="str">
        <f>IF(ISERROR(VLOOKUP($A12,'Raw Data'!$A$3:$EA$30,36,0))," ",VLOOKUP($A12,'Raw Data'!$A$3:$EA$30,36,0))</f>
        <v xml:space="preserve"> </v>
      </c>
      <c r="AB12" s="7">
        <f t="shared" si="53"/>
        <v>0</v>
      </c>
      <c r="AC12" s="8" t="str">
        <f>IF(dashboard[[#This Row],[Column6]]=1,($AC$30/$AD$29)," ")</f>
        <v xml:space="preserve"> </v>
      </c>
      <c r="AD12" s="17" t="str">
        <f t="shared" si="11"/>
        <v xml:space="preserve"> </v>
      </c>
      <c r="AE12" s="49" t="str">
        <f>IF(ISERROR((100/(VLOOKUP($A12,'Raw Data'!$A$3:$X$32,'A1. PICKS'!$I$2,0))))," ",100/(VLOOKUP($A12,'Raw Data'!$A$3:$X$32,'A1. PICKS'!$I$2,0)))</f>
        <v xml:space="preserve"> </v>
      </c>
      <c r="AF12" s="7">
        <f t="shared" si="54"/>
        <v>0</v>
      </c>
      <c r="AG12" s="8" t="str">
        <f>IF(dashboard[[#This Row],[Column7]]=1,($AG$30/$AH$29)," ")</f>
        <v xml:space="preserve"> </v>
      </c>
      <c r="AH12" s="17" t="str">
        <f t="shared" si="13"/>
        <v xml:space="preserve"> </v>
      </c>
      <c r="AI12" s="49" t="str">
        <f>IFERROR(VLOOKUP($A12,'Raw Data'!$A$3:$EA$29,120,0)," ")</f>
        <v xml:space="preserve"> </v>
      </c>
      <c r="AJ12" s="7">
        <f t="shared" si="55"/>
        <v>0</v>
      </c>
      <c r="AK12" s="8">
        <f>IF(dashboard[[#This Row],[Column8]]=1,($AK$30/$AL$29)," ")</f>
        <v>0</v>
      </c>
      <c r="AL12" s="17">
        <f t="shared" si="14"/>
        <v>1</v>
      </c>
      <c r="AM12" s="49" t="str">
        <f>IF(ISERROR(VLOOKUP($A12,'Raw Data'!$A$3:$EA$30,31,0))," ",VLOOKUP($A12,'Raw Data'!$A$3:$EA$30,31,0))</f>
        <v xml:space="preserve"> </v>
      </c>
      <c r="AN12" s="7">
        <f t="shared" si="56"/>
        <v>0</v>
      </c>
      <c r="AO12" s="8" t="str">
        <f>IF(dashboard[[#This Row],[Column9]]=1,($AO$30/$AP$29)," ")</f>
        <v xml:space="preserve"> </v>
      </c>
      <c r="AP12" s="17" t="str">
        <f t="shared" si="16"/>
        <v xml:space="preserve"> </v>
      </c>
      <c r="AQ12" s="49" t="str">
        <f>IF(ISERROR(VLOOKUP($A12,'Raw Data'!$A$3:$EA$30,39,0))," ",VLOOKUP($A12,'Raw Data'!$A$3:$EA$30,39,0))</f>
        <v xml:space="preserve"> </v>
      </c>
      <c r="AR12" s="7">
        <f t="shared" si="57"/>
        <v>0</v>
      </c>
      <c r="AS12" s="8" t="str">
        <f>IF(dashboard[[#This Row],[Column10]]=1,($AS$30/$AT$29)," ")</f>
        <v xml:space="preserve"> </v>
      </c>
      <c r="AT12" s="17" t="str">
        <f t="shared" si="18"/>
        <v xml:space="preserve"> </v>
      </c>
      <c r="AU12" s="49" t="str">
        <f>IFERROR(VLOOKUP($A12,'Raw Data'!$A$3:$EA$30,20,0)," ")</f>
        <v xml:space="preserve"> </v>
      </c>
      <c r="AV12" s="7">
        <f t="shared" si="58"/>
        <v>0</v>
      </c>
      <c r="AW12" s="8" t="str">
        <f>IF(dashboard[[#This Row],[Column11]]=1,($AW$30/$AX$29)," ")</f>
        <v xml:space="preserve"> </v>
      </c>
      <c r="AX12" s="17" t="str">
        <f t="shared" si="20"/>
        <v xml:space="preserve"> </v>
      </c>
      <c r="AY12" s="49" t="str">
        <f>IF(ISERROR(VLOOKUP($A12,'Raw Data'!$A$3:$EA$30,75,0))," ",VLOOKUP($A12,'Raw Data'!$A$3:$EA$30,75,0))</f>
        <v xml:space="preserve"> </v>
      </c>
      <c r="AZ12" s="7">
        <f t="shared" si="59"/>
        <v>0</v>
      </c>
      <c r="BA12" s="8" t="str">
        <f t="shared" si="22"/>
        <v xml:space="preserve"> </v>
      </c>
      <c r="BB12" s="17" t="str">
        <f t="shared" si="60"/>
        <v xml:space="preserve"> </v>
      </c>
      <c r="BC12" s="49" t="str">
        <f>IF(ISERROR(VLOOKUP($A12,'Raw Data'!$A$3:$EA$30,108,0))," ",VLOOKUP($A12,'Raw Data'!$A$3:$EA$30,108,0))</f>
        <v xml:space="preserve"> </v>
      </c>
      <c r="BD12" s="7">
        <f t="shared" si="61"/>
        <v>0</v>
      </c>
      <c r="BE12" s="8" t="str">
        <f t="shared" si="25"/>
        <v xml:space="preserve"> </v>
      </c>
      <c r="BF12" s="17" t="str">
        <f t="shared" si="62"/>
        <v xml:space="preserve"> </v>
      </c>
      <c r="BG12" s="49" t="str">
        <f>IF(ISERROR(VLOOKUP($A12,'Raw Data'!$A$3:$EA$30,48,0))," ",VLOOKUP($A12,'Raw Data'!$A$3:$EA$30,48,0))</f>
        <v xml:space="preserve"> </v>
      </c>
      <c r="BH12" s="7">
        <f t="shared" si="63"/>
        <v>0</v>
      </c>
      <c r="BI12" s="8" t="str">
        <f t="shared" si="28"/>
        <v xml:space="preserve"> </v>
      </c>
      <c r="BJ12" s="17" t="str">
        <f t="shared" si="64"/>
        <v xml:space="preserve"> </v>
      </c>
      <c r="BK12" s="49" t="str">
        <f>IF(ISERROR(VLOOKUP($A12,'Raw Data'!$A$3:$EA$30,39,0))," ",VLOOKUP($A12,'Raw Data'!$A$3:$EA$30,39,0))</f>
        <v xml:space="preserve"> </v>
      </c>
      <c r="BL12" s="7">
        <f t="shared" si="65"/>
        <v>0</v>
      </c>
      <c r="BM12" s="8" t="str">
        <f t="shared" si="30"/>
        <v xml:space="preserve"> </v>
      </c>
      <c r="BN12" s="17" t="str">
        <f t="shared" si="31"/>
        <v xml:space="preserve"> </v>
      </c>
      <c r="BP12" s="8">
        <f t="shared" si="32"/>
        <v>7505.5279320964964</v>
      </c>
      <c r="BR12" s="9">
        <f t="shared" si="33"/>
        <v>7.505527932096496E-3</v>
      </c>
      <c r="BS12" s="10">
        <f t="shared" si="34"/>
        <v>-0.64975969985772108</v>
      </c>
      <c r="BT12" s="61">
        <f t="shared" si="35"/>
        <v>2.1060205177837771E-37</v>
      </c>
      <c r="BU12" s="32" t="str">
        <f t="shared" si="36"/>
        <v xml:space="preserve"> </v>
      </c>
      <c r="BV12" s="29" t="str">
        <f t="shared" si="37"/>
        <v>|||</v>
      </c>
      <c r="BW12" s="34" t="str">
        <f t="shared" si="38"/>
        <v>|||</v>
      </c>
      <c r="BX12" s="46" t="str">
        <f t="shared" si="39"/>
        <v>|||</v>
      </c>
      <c r="BY12" s="220" t="str">
        <f t="shared" si="40"/>
        <v xml:space="preserve"> </v>
      </c>
      <c r="BZ12" s="46" t="str">
        <f t="shared" si="41"/>
        <v>||||||</v>
      </c>
      <c r="CA12" s="229" t="str">
        <f t="shared" si="42"/>
        <v xml:space="preserve"> </v>
      </c>
      <c r="CB12" s="221" t="str">
        <f t="shared" si="43"/>
        <v xml:space="preserve"> </v>
      </c>
      <c r="CC12" s="57">
        <f t="shared" si="66"/>
        <v>0.61906915348118741</v>
      </c>
      <c r="CD12" s="57">
        <f t="shared" si="67"/>
        <v>1.812758291352139</v>
      </c>
      <c r="CE12" s="58">
        <f t="shared" si="68"/>
        <v>1</v>
      </c>
      <c r="CF12" s="58">
        <f t="shared" si="69"/>
        <v>1</v>
      </c>
      <c r="CG12" s="57">
        <f t="shared" si="70"/>
        <v>2</v>
      </c>
      <c r="CH12" s="57">
        <f t="shared" si="71"/>
        <v>9</v>
      </c>
      <c r="CI12" s="57">
        <f t="shared" si="72"/>
        <v>9</v>
      </c>
      <c r="CJ12" s="196">
        <f t="shared" si="73"/>
        <v>9</v>
      </c>
      <c r="CK12" s="57">
        <f t="shared" si="74"/>
        <v>7</v>
      </c>
      <c r="CL12" s="57">
        <f t="shared" si="75"/>
        <v>7</v>
      </c>
      <c r="CM12" s="57">
        <f t="shared" si="76"/>
        <v>9</v>
      </c>
      <c r="CN12" s="57">
        <f t="shared" si="77"/>
        <v>9</v>
      </c>
      <c r="CO12" s="57">
        <f t="shared" si="78"/>
        <v>1</v>
      </c>
      <c r="CP12" s="57">
        <f t="shared" si="79"/>
        <v>1</v>
      </c>
      <c r="CQ12" s="57">
        <f t="shared" si="80"/>
        <v>7</v>
      </c>
      <c r="CR12" s="57">
        <f t="shared" si="81"/>
        <v>6</v>
      </c>
      <c r="CS12" s="57">
        <f t="shared" si="82"/>
        <v>9</v>
      </c>
      <c r="CT12" s="57">
        <f t="shared" si="83"/>
        <v>9</v>
      </c>
      <c r="CU12" s="57" t="str">
        <f>IF(dashboard[[#This Row],[COHENSION]]=" "," ",_xlfn.RANK.AVG(F12,$F$3:$F$26,0))</f>
        <v xml:space="preserve"> </v>
      </c>
      <c r="CV12" s="57">
        <f t="shared" si="84"/>
        <v>3</v>
      </c>
      <c r="CW12" s="57">
        <f t="shared" si="85"/>
        <v>9</v>
      </c>
      <c r="CX12" s="58">
        <f t="shared" si="86"/>
        <v>1</v>
      </c>
      <c r="CY12" s="58">
        <f t="shared" si="87"/>
        <v>1</v>
      </c>
      <c r="CZ12" s="58" t="str">
        <f>IFERROR(VLOOKUP($A12,'cluster'!$A$20:$CI$45,86,0),CU12)</f>
        <v xml:space="preserve"> </v>
      </c>
      <c r="DA12" s="58" t="str">
        <f>IF(ISERROR(VLOOKUP(A12,'Raw Data'!$A$3:$DY$29,129,FALSE))," ",VLOOKUP(A12,'Raw Data'!$A$3:$DY$29,129,FALSE))</f>
        <v xml:space="preserve"> </v>
      </c>
      <c r="DB12" s="58" t="str">
        <f t="shared" si="44"/>
        <v xml:space="preserve"> </v>
      </c>
      <c r="DC12" s="58">
        <f t="shared" si="88"/>
        <v>11.390625</v>
      </c>
      <c r="DD12" s="58">
        <f t="shared" si="89"/>
        <v>1</v>
      </c>
      <c r="DE12" s="58">
        <f t="shared" si="45"/>
        <v>0</v>
      </c>
      <c r="DF12" s="58">
        <f t="shared" si="46"/>
        <v>1</v>
      </c>
      <c r="DG12" s="58" t="str">
        <f t="shared" si="47"/>
        <v xml:space="preserve"> </v>
      </c>
    </row>
    <row r="13" spans="1:111" ht="30" customHeight="1" x14ac:dyDescent="0.55000000000000004">
      <c r="A13" s="21">
        <f>RawData[[#This Row],[Num]]</f>
        <v>0</v>
      </c>
      <c r="B13" s="22" t="str">
        <f>IFERROR(VLOOKUP($A13,'Raw Data'!$A$3:$EA$30,2,0)," ")</f>
        <v xml:space="preserve"> </v>
      </c>
      <c r="C13" s="8" t="str">
        <f>IFERROR(VLOOKUP($A13,'Raw Data'!$A$3:$EA$30,6,0)," ")</f>
        <v xml:space="preserve"> </v>
      </c>
      <c r="D13" s="8" t="str">
        <f>IFERROR(VLOOKUP($A13,'Raw Data'!$A$3:$EA$30,7,0)," ")</f>
        <v xml:space="preserve"> </v>
      </c>
      <c r="E13" s="149" t="str">
        <f>IFERROR(VLOOKUP($A13,'Raw Data'!$A$3:$EA$29,10,0)," ")</f>
        <v xml:space="preserve"> </v>
      </c>
      <c r="F13" s="273" t="str">
        <f>IFERROR(VLOOKUP(dashboard[[#This Row],[BOX]],'Raw Data'!$A$3:$EA$32,130)," ")</f>
        <v xml:space="preserve"> </v>
      </c>
      <c r="G13" s="49" t="str">
        <f>IF(ISERROR(D13/dashboard[[#This Row],[RUNS]])," ",(D13/dashboard[[#This Row],[RUNS]]))</f>
        <v xml:space="preserve"> </v>
      </c>
      <c r="H13" s="7">
        <f>IF(ISERROR(dashboard[[#This Row],[Wins Data]]/$G$29),0,dashboard[[#This Row],[Wins Data]]/$G$29)</f>
        <v>0</v>
      </c>
      <c r="I13" s="8" t="str">
        <f>IF(dashboard[[#This Row],[Column2]]=1,($I$30/J$29)," ")</f>
        <v xml:space="preserve"> </v>
      </c>
      <c r="J13" s="17" t="str">
        <f t="shared" si="0"/>
        <v xml:space="preserve"> </v>
      </c>
      <c r="K13" s="49" t="str">
        <f t="shared" si="48"/>
        <v xml:space="preserve"> </v>
      </c>
      <c r="L13" s="7">
        <f t="shared" si="49"/>
        <v>0</v>
      </c>
      <c r="M13" s="8" t="str">
        <f>IF(dashboard[[#This Row],[Column1]]=1,($M$30/N$29)," ")</f>
        <v xml:space="preserve"> </v>
      </c>
      <c r="N13" s="17" t="str">
        <f t="shared" si="1"/>
        <v xml:space="preserve"> </v>
      </c>
      <c r="O13" s="49" t="str">
        <f t="shared" si="2"/>
        <v xml:space="preserve"> </v>
      </c>
      <c r="P13" s="7">
        <f t="shared" si="50"/>
        <v>0</v>
      </c>
      <c r="Q13" s="8" t="str">
        <f>IF(dashboard[[#This Row],[Column3]]=1,($Q$30/$R$29)," ")</f>
        <v xml:space="preserve"> </v>
      </c>
      <c r="R13" s="17" t="str">
        <f t="shared" si="4"/>
        <v xml:space="preserve"> </v>
      </c>
      <c r="S13" s="49" t="str">
        <f>IF(ISERROR(VLOOKUP($A13,'Raw Data'!$A$3:$EA$30,121,0))," ",VLOOKUP($A13,'Raw Data'!$A$3:$EA$30,121,0))</f>
        <v xml:space="preserve"> </v>
      </c>
      <c r="T13" s="7">
        <f t="shared" si="51"/>
        <v>0</v>
      </c>
      <c r="U13" s="8">
        <f t="shared" si="6"/>
        <v>0</v>
      </c>
      <c r="V13" s="17">
        <f t="shared" si="7"/>
        <v>1</v>
      </c>
      <c r="W13" s="49" t="str">
        <f>IFERROR(VLOOKUP($A13,'Raw Data'!$A$3:$EA$30,123,0)^2," ")</f>
        <v xml:space="preserve"> </v>
      </c>
      <c r="X13" s="7">
        <f t="shared" si="52"/>
        <v>0</v>
      </c>
      <c r="Y13" s="8">
        <f t="shared" si="8"/>
        <v>7505.5279320964964</v>
      </c>
      <c r="Z13" s="17">
        <f t="shared" si="9"/>
        <v>1</v>
      </c>
      <c r="AA13" s="219" t="str">
        <f>IF(ISERROR(VLOOKUP($A13,'Raw Data'!$A$3:$EA$30,36,0))," ",VLOOKUP($A13,'Raw Data'!$A$3:$EA$30,36,0))</f>
        <v xml:space="preserve"> </v>
      </c>
      <c r="AB13" s="7">
        <f t="shared" si="53"/>
        <v>0</v>
      </c>
      <c r="AC13" s="8" t="str">
        <f>IF(dashboard[[#This Row],[Column6]]=1,($AC$30/$AD$29)," ")</f>
        <v xml:space="preserve"> </v>
      </c>
      <c r="AD13" s="17" t="str">
        <f t="shared" si="11"/>
        <v xml:space="preserve"> </v>
      </c>
      <c r="AE13" s="49" t="str">
        <f>IF(ISERROR((100/(VLOOKUP($A13,'Raw Data'!$A$3:$X$32,'A1. PICKS'!$I$2,0))))," ",100/(VLOOKUP($A13,'Raw Data'!$A$3:$X$32,'A1. PICKS'!$I$2,0)))</f>
        <v xml:space="preserve"> </v>
      </c>
      <c r="AF13" s="7">
        <f t="shared" si="54"/>
        <v>0</v>
      </c>
      <c r="AG13" s="8" t="str">
        <f>IF(dashboard[[#This Row],[Column7]]=1,($AG$30/$AH$29)," ")</f>
        <v xml:space="preserve"> </v>
      </c>
      <c r="AH13" s="17" t="str">
        <f t="shared" si="13"/>
        <v xml:space="preserve"> </v>
      </c>
      <c r="AI13" s="49" t="str">
        <f>IFERROR(VLOOKUP($A13,'Raw Data'!$A$3:$EA$29,120,0)," ")</f>
        <v xml:space="preserve"> </v>
      </c>
      <c r="AJ13" s="7">
        <f t="shared" si="55"/>
        <v>0</v>
      </c>
      <c r="AK13" s="8">
        <f>IF(dashboard[[#This Row],[Column8]]=1,($AK$30/$AL$29)," ")</f>
        <v>0</v>
      </c>
      <c r="AL13" s="17">
        <f t="shared" si="14"/>
        <v>1</v>
      </c>
      <c r="AM13" s="49" t="str">
        <f>IF(ISERROR(VLOOKUP($A13,'Raw Data'!$A$3:$EA$30,31,0))," ",VLOOKUP($A13,'Raw Data'!$A$3:$EA$30,31,0))</f>
        <v xml:space="preserve"> </v>
      </c>
      <c r="AN13" s="7">
        <f t="shared" si="56"/>
        <v>0</v>
      </c>
      <c r="AO13" s="8" t="str">
        <f>IF(dashboard[[#This Row],[Column9]]=1,($AO$30/$AP$29)," ")</f>
        <v xml:space="preserve"> </v>
      </c>
      <c r="AP13" s="17" t="str">
        <f t="shared" si="16"/>
        <v xml:space="preserve"> </v>
      </c>
      <c r="AQ13" s="49" t="str">
        <f>IF(ISERROR(VLOOKUP($A13,'Raw Data'!$A$3:$EA$30,39,0))," ",VLOOKUP($A13,'Raw Data'!$A$3:$EA$30,39,0))</f>
        <v xml:space="preserve"> </v>
      </c>
      <c r="AR13" s="7">
        <f t="shared" si="57"/>
        <v>0</v>
      </c>
      <c r="AS13" s="8" t="str">
        <f>IF(dashboard[[#This Row],[Column10]]=1,($AS$30/$AT$29)," ")</f>
        <v xml:space="preserve"> </v>
      </c>
      <c r="AT13" s="17" t="str">
        <f t="shared" si="18"/>
        <v xml:space="preserve"> </v>
      </c>
      <c r="AU13" s="49" t="str">
        <f>IFERROR(VLOOKUP($A13,'Raw Data'!$A$3:$EA$30,20,0)," ")</f>
        <v xml:space="preserve"> </v>
      </c>
      <c r="AV13" s="7">
        <f t="shared" si="58"/>
        <v>0</v>
      </c>
      <c r="AW13" s="8" t="str">
        <f>IF(dashboard[[#This Row],[Column11]]=1,($AW$30/$AX$29)," ")</f>
        <v xml:space="preserve"> </v>
      </c>
      <c r="AX13" s="17" t="str">
        <f t="shared" si="20"/>
        <v xml:space="preserve"> </v>
      </c>
      <c r="AY13" s="49" t="str">
        <f>IF(ISERROR(VLOOKUP($A13,'Raw Data'!$A$3:$EA$30,75,0))," ",VLOOKUP($A13,'Raw Data'!$A$3:$EA$30,75,0))</f>
        <v xml:space="preserve"> </v>
      </c>
      <c r="AZ13" s="7">
        <f t="shared" si="59"/>
        <v>0</v>
      </c>
      <c r="BA13" s="8" t="str">
        <f t="shared" si="22"/>
        <v xml:space="preserve"> </v>
      </c>
      <c r="BB13" s="17" t="str">
        <f t="shared" si="60"/>
        <v xml:space="preserve"> </v>
      </c>
      <c r="BC13" s="49" t="str">
        <f>IF(ISERROR(VLOOKUP($A13,'Raw Data'!$A$3:$EA$30,108,0))," ",VLOOKUP($A13,'Raw Data'!$A$3:$EA$30,108,0))</f>
        <v xml:space="preserve"> </v>
      </c>
      <c r="BD13" s="7">
        <f t="shared" si="61"/>
        <v>0</v>
      </c>
      <c r="BE13" s="8" t="str">
        <f t="shared" si="25"/>
        <v xml:space="preserve"> </v>
      </c>
      <c r="BF13" s="17" t="str">
        <f t="shared" si="62"/>
        <v xml:space="preserve"> </v>
      </c>
      <c r="BG13" s="49" t="str">
        <f>IF(ISERROR(VLOOKUP($A13,'Raw Data'!$A$3:$EA$30,48,0))," ",VLOOKUP($A13,'Raw Data'!$A$3:$EA$30,48,0))</f>
        <v xml:space="preserve"> </v>
      </c>
      <c r="BH13" s="7">
        <f t="shared" si="63"/>
        <v>0</v>
      </c>
      <c r="BI13" s="8" t="str">
        <f t="shared" si="28"/>
        <v xml:space="preserve"> </v>
      </c>
      <c r="BJ13" s="17" t="str">
        <f t="shared" si="64"/>
        <v xml:space="preserve"> </v>
      </c>
      <c r="BK13" s="49" t="str">
        <f>IF(ISERROR(VLOOKUP($A13,'Raw Data'!$A$3:$EA$30,39,0))," ",VLOOKUP($A13,'Raw Data'!$A$3:$EA$30,39,0))</f>
        <v xml:space="preserve"> </v>
      </c>
      <c r="BL13" s="7">
        <f t="shared" si="65"/>
        <v>0</v>
      </c>
      <c r="BM13" s="8" t="str">
        <f t="shared" si="30"/>
        <v xml:space="preserve"> </v>
      </c>
      <c r="BN13" s="17" t="str">
        <f t="shared" si="31"/>
        <v xml:space="preserve"> </v>
      </c>
      <c r="BP13" s="8">
        <f t="shared" si="32"/>
        <v>7505.5279320964964</v>
      </c>
      <c r="BR13" s="9">
        <f t="shared" si="33"/>
        <v>7.505527932096496E-3</v>
      </c>
      <c r="BS13" s="10">
        <f t="shared" si="34"/>
        <v>-0.64975969985772108</v>
      </c>
      <c r="BT13" s="61">
        <f t="shared" si="35"/>
        <v>2.1060205177837771E-37</v>
      </c>
      <c r="BU13" s="32" t="str">
        <f t="shared" si="36"/>
        <v xml:space="preserve"> </v>
      </c>
      <c r="BV13" s="29" t="str">
        <f t="shared" si="37"/>
        <v>|||</v>
      </c>
      <c r="BW13" s="34" t="str">
        <f t="shared" si="38"/>
        <v>|||</v>
      </c>
      <c r="BX13" s="46" t="str">
        <f t="shared" si="39"/>
        <v>|||</v>
      </c>
      <c r="BY13" s="220" t="str">
        <f t="shared" si="40"/>
        <v xml:space="preserve"> </v>
      </c>
      <c r="BZ13" s="46" t="str">
        <f t="shared" si="41"/>
        <v>||||||</v>
      </c>
      <c r="CA13" s="229" t="str">
        <f t="shared" si="42"/>
        <v xml:space="preserve"> </v>
      </c>
      <c r="CB13" s="221" t="str">
        <f t="shared" si="43"/>
        <v xml:space="preserve"> </v>
      </c>
      <c r="CC13" s="57">
        <f t="shared" si="66"/>
        <v>0.61906915348118741</v>
      </c>
      <c r="CD13" s="57">
        <f t="shared" si="67"/>
        <v>1.812758291352139</v>
      </c>
      <c r="CE13" s="58">
        <f t="shared" si="68"/>
        <v>1</v>
      </c>
      <c r="CF13" s="58">
        <f t="shared" si="69"/>
        <v>1</v>
      </c>
      <c r="CG13" s="57">
        <f t="shared" si="70"/>
        <v>2</v>
      </c>
      <c r="CH13" s="57">
        <f t="shared" si="71"/>
        <v>9</v>
      </c>
      <c r="CI13" s="57">
        <f t="shared" si="72"/>
        <v>9</v>
      </c>
      <c r="CJ13" s="196">
        <f t="shared" si="73"/>
        <v>9</v>
      </c>
      <c r="CK13" s="57">
        <f t="shared" si="74"/>
        <v>7</v>
      </c>
      <c r="CL13" s="57">
        <f t="shared" si="75"/>
        <v>7</v>
      </c>
      <c r="CM13" s="57">
        <f t="shared" si="76"/>
        <v>9</v>
      </c>
      <c r="CN13" s="57">
        <f t="shared" si="77"/>
        <v>9</v>
      </c>
      <c r="CO13" s="57">
        <f t="shared" si="78"/>
        <v>1</v>
      </c>
      <c r="CP13" s="57">
        <f t="shared" si="79"/>
        <v>1</v>
      </c>
      <c r="CQ13" s="57">
        <f t="shared" si="80"/>
        <v>7</v>
      </c>
      <c r="CR13" s="57">
        <f t="shared" si="81"/>
        <v>6</v>
      </c>
      <c r="CS13" s="57">
        <f t="shared" si="82"/>
        <v>9</v>
      </c>
      <c r="CT13" s="57">
        <f t="shared" si="83"/>
        <v>9</v>
      </c>
      <c r="CU13" s="57" t="str">
        <f>IF(dashboard[[#This Row],[COHENSION]]=" "," ",_xlfn.RANK.AVG(F13,$F$3:$F$26,0))</f>
        <v xml:space="preserve"> </v>
      </c>
      <c r="CV13" s="57">
        <f t="shared" si="84"/>
        <v>3</v>
      </c>
      <c r="CW13" s="57">
        <f t="shared" si="85"/>
        <v>9</v>
      </c>
      <c r="CX13" s="58">
        <f t="shared" si="86"/>
        <v>1</v>
      </c>
      <c r="CY13" s="58">
        <f t="shared" si="87"/>
        <v>1</v>
      </c>
      <c r="CZ13" s="58" t="str">
        <f>IFERROR(VLOOKUP($A13,'cluster'!$A$20:$CI$45,86,0),CU13)</f>
        <v xml:space="preserve"> </v>
      </c>
      <c r="DA13" s="58" t="str">
        <f>IF(ISERROR(VLOOKUP(A13,'Raw Data'!$A$3:$DY$29,129,FALSE))," ",VLOOKUP(A13,'Raw Data'!$A$3:$DY$29,129,FALSE))</f>
        <v xml:space="preserve"> </v>
      </c>
      <c r="DB13" s="58" t="str">
        <f t="shared" si="44"/>
        <v xml:space="preserve"> </v>
      </c>
      <c r="DC13" s="58">
        <f t="shared" si="88"/>
        <v>11.390625</v>
      </c>
      <c r="DD13" s="58">
        <f t="shared" si="89"/>
        <v>1</v>
      </c>
      <c r="DE13" s="58">
        <f t="shared" si="45"/>
        <v>0</v>
      </c>
      <c r="DF13" s="58">
        <f t="shared" si="46"/>
        <v>1</v>
      </c>
      <c r="DG13" s="58" t="str">
        <f t="shared" si="47"/>
        <v xml:space="preserve"> </v>
      </c>
    </row>
    <row r="14" spans="1:111" ht="30" customHeight="1" x14ac:dyDescent="0.55000000000000004">
      <c r="A14" s="21">
        <f>RawData[[#This Row],[Num]]</f>
        <v>0</v>
      </c>
      <c r="B14" s="22" t="str">
        <f>IFERROR(VLOOKUP($A14,'Raw Data'!$A$3:$EA$30,2,0)," ")</f>
        <v xml:space="preserve"> </v>
      </c>
      <c r="C14" s="8" t="str">
        <f>IFERROR(VLOOKUP($A14,'Raw Data'!$A$3:$EA$30,6,0)," ")</f>
        <v xml:space="preserve"> </v>
      </c>
      <c r="D14" s="8" t="str">
        <f>IFERROR(VLOOKUP($A14,'Raw Data'!$A$3:$EA$30,7,0)," ")</f>
        <v xml:space="preserve"> </v>
      </c>
      <c r="E14" s="149" t="str">
        <f>IFERROR(VLOOKUP($A14,'Raw Data'!$A$3:$EA$29,10,0)," ")</f>
        <v xml:space="preserve"> </v>
      </c>
      <c r="F14" s="273" t="str">
        <f>IFERROR(VLOOKUP(dashboard[[#This Row],[BOX]],'Raw Data'!$A$3:$EA$32,130)," ")</f>
        <v xml:space="preserve"> </v>
      </c>
      <c r="G14" s="49" t="str">
        <f>IF(ISERROR(D14/dashboard[[#This Row],[RUNS]])," ",(D14/dashboard[[#This Row],[RUNS]]))</f>
        <v xml:space="preserve"> </v>
      </c>
      <c r="H14" s="7">
        <f>IF(ISERROR(dashboard[[#This Row],[Wins Data]]/$G$29),0,dashboard[[#This Row],[Wins Data]]/$G$29)</f>
        <v>0</v>
      </c>
      <c r="I14" s="8" t="str">
        <f>IF(dashboard[[#This Row],[Column2]]=1,($I$30/J$29)," ")</f>
        <v xml:space="preserve"> </v>
      </c>
      <c r="J14" s="17" t="str">
        <f t="shared" si="0"/>
        <v xml:space="preserve"> </v>
      </c>
      <c r="K14" s="49" t="str">
        <f t="shared" si="48"/>
        <v xml:space="preserve"> </v>
      </c>
      <c r="L14" s="7">
        <f t="shared" si="49"/>
        <v>0</v>
      </c>
      <c r="M14" s="8" t="str">
        <f>IF(dashboard[[#This Row],[Column1]]=1,($M$30/N$29)," ")</f>
        <v xml:space="preserve"> </v>
      </c>
      <c r="N14" s="17" t="str">
        <f t="shared" si="1"/>
        <v xml:space="preserve"> </v>
      </c>
      <c r="O14" s="49" t="str">
        <f t="shared" si="2"/>
        <v xml:space="preserve"> </v>
      </c>
      <c r="P14" s="7">
        <f t="shared" si="50"/>
        <v>0</v>
      </c>
      <c r="Q14" s="8" t="str">
        <f>IF(dashboard[[#This Row],[Column3]]=1,($Q$30/$R$29)," ")</f>
        <v xml:space="preserve"> </v>
      </c>
      <c r="R14" s="17" t="str">
        <f t="shared" si="4"/>
        <v xml:space="preserve"> </v>
      </c>
      <c r="S14" s="49" t="str">
        <f>IF(ISERROR(VLOOKUP($A14,'Raw Data'!$A$3:$EA$30,121,0))," ",VLOOKUP($A14,'Raw Data'!$A$3:$EA$30,121,0))</f>
        <v xml:space="preserve"> </v>
      </c>
      <c r="T14" s="7">
        <f t="shared" si="51"/>
        <v>0</v>
      </c>
      <c r="U14" s="8">
        <f t="shared" si="6"/>
        <v>0</v>
      </c>
      <c r="V14" s="17">
        <f t="shared" si="7"/>
        <v>1</v>
      </c>
      <c r="W14" s="49" t="str">
        <f>IFERROR(VLOOKUP($A14,'Raw Data'!$A$3:$EA$30,123,0)^2," ")</f>
        <v xml:space="preserve"> </v>
      </c>
      <c r="X14" s="7">
        <f t="shared" si="52"/>
        <v>0</v>
      </c>
      <c r="Y14" s="8">
        <f t="shared" si="8"/>
        <v>7505.5279320964964</v>
      </c>
      <c r="Z14" s="17">
        <f t="shared" si="9"/>
        <v>1</v>
      </c>
      <c r="AA14" s="219" t="str">
        <f>IF(ISERROR(VLOOKUP($A14,'Raw Data'!$A$3:$EA$30,36,0))," ",VLOOKUP($A14,'Raw Data'!$A$3:$EA$30,36,0))</f>
        <v xml:space="preserve"> </v>
      </c>
      <c r="AB14" s="7">
        <f t="shared" si="53"/>
        <v>0</v>
      </c>
      <c r="AC14" s="8" t="str">
        <f>IF(dashboard[[#This Row],[Column6]]=1,($AC$30/$AD$29)," ")</f>
        <v xml:space="preserve"> </v>
      </c>
      <c r="AD14" s="17" t="str">
        <f t="shared" si="11"/>
        <v xml:space="preserve"> </v>
      </c>
      <c r="AE14" s="49" t="str">
        <f>IF(ISERROR((100/(VLOOKUP($A14,'Raw Data'!$A$3:$X$32,'A1. PICKS'!$I$2,0))))," ",100/(VLOOKUP($A14,'Raw Data'!$A$3:$X$32,'A1. PICKS'!$I$2,0)))</f>
        <v xml:space="preserve"> </v>
      </c>
      <c r="AF14" s="7">
        <f t="shared" si="54"/>
        <v>0</v>
      </c>
      <c r="AG14" s="8" t="str">
        <f>IF(dashboard[[#This Row],[Column7]]=1,($AG$30/$AH$29)," ")</f>
        <v xml:space="preserve"> </v>
      </c>
      <c r="AH14" s="17" t="str">
        <f t="shared" si="13"/>
        <v xml:space="preserve"> </v>
      </c>
      <c r="AI14" s="49" t="str">
        <f>IFERROR(VLOOKUP($A14,'Raw Data'!$A$3:$EA$29,120,0)," ")</f>
        <v xml:space="preserve"> </v>
      </c>
      <c r="AJ14" s="7">
        <f t="shared" si="55"/>
        <v>0</v>
      </c>
      <c r="AK14" s="8">
        <f>IF(dashboard[[#This Row],[Column8]]=1,($AK$30/$AL$29)," ")</f>
        <v>0</v>
      </c>
      <c r="AL14" s="17">
        <f t="shared" si="14"/>
        <v>1</v>
      </c>
      <c r="AM14" s="49" t="str">
        <f>IF(ISERROR(VLOOKUP($A14,'Raw Data'!$A$3:$EA$30,31,0))," ",VLOOKUP($A14,'Raw Data'!$A$3:$EA$30,31,0))</f>
        <v xml:space="preserve"> </v>
      </c>
      <c r="AN14" s="7">
        <f t="shared" si="56"/>
        <v>0</v>
      </c>
      <c r="AO14" s="8" t="str">
        <f>IF(dashboard[[#This Row],[Column9]]=1,($AO$30/$AP$29)," ")</f>
        <v xml:space="preserve"> </v>
      </c>
      <c r="AP14" s="17" t="str">
        <f t="shared" si="16"/>
        <v xml:space="preserve"> </v>
      </c>
      <c r="AQ14" s="49" t="str">
        <f>IF(ISERROR(VLOOKUP($A14,'Raw Data'!$A$3:$EA$30,39,0))," ",VLOOKUP($A14,'Raw Data'!$A$3:$EA$30,39,0))</f>
        <v xml:space="preserve"> </v>
      </c>
      <c r="AR14" s="7">
        <f t="shared" si="57"/>
        <v>0</v>
      </c>
      <c r="AS14" s="8" t="str">
        <f>IF(dashboard[[#This Row],[Column10]]=1,($AS$30/$AT$29)," ")</f>
        <v xml:space="preserve"> </v>
      </c>
      <c r="AT14" s="17" t="str">
        <f t="shared" si="18"/>
        <v xml:space="preserve"> </v>
      </c>
      <c r="AU14" s="49" t="str">
        <f>IFERROR(VLOOKUP($A14,'Raw Data'!$A$3:$EA$30,20,0)," ")</f>
        <v xml:space="preserve"> </v>
      </c>
      <c r="AV14" s="7">
        <f t="shared" si="58"/>
        <v>0</v>
      </c>
      <c r="AW14" s="8" t="str">
        <f>IF(dashboard[[#This Row],[Column11]]=1,($AW$30/$AX$29)," ")</f>
        <v xml:space="preserve"> </v>
      </c>
      <c r="AX14" s="17" t="str">
        <f t="shared" si="20"/>
        <v xml:space="preserve"> </v>
      </c>
      <c r="AY14" s="49" t="str">
        <f>IF(ISERROR(VLOOKUP($A14,'Raw Data'!$A$3:$EA$30,75,0))," ",VLOOKUP($A14,'Raw Data'!$A$3:$EA$30,75,0))</f>
        <v xml:space="preserve"> </v>
      </c>
      <c r="AZ14" s="7">
        <f t="shared" si="59"/>
        <v>0</v>
      </c>
      <c r="BA14" s="8" t="str">
        <f t="shared" si="22"/>
        <v xml:space="preserve"> </v>
      </c>
      <c r="BB14" s="17" t="str">
        <f t="shared" si="60"/>
        <v xml:space="preserve"> </v>
      </c>
      <c r="BC14" s="49" t="str">
        <f>IF(ISERROR(VLOOKUP($A14,'Raw Data'!$A$3:$EA$30,108,0))," ",VLOOKUP($A14,'Raw Data'!$A$3:$EA$30,108,0))</f>
        <v xml:space="preserve"> </v>
      </c>
      <c r="BD14" s="7">
        <f t="shared" si="61"/>
        <v>0</v>
      </c>
      <c r="BE14" s="8" t="str">
        <f t="shared" si="25"/>
        <v xml:space="preserve"> </v>
      </c>
      <c r="BF14" s="17" t="str">
        <f t="shared" si="62"/>
        <v xml:space="preserve"> </v>
      </c>
      <c r="BG14" s="49" t="str">
        <f>IF(ISERROR(VLOOKUP($A14,'Raw Data'!$A$3:$EA$30,48,0))," ",VLOOKUP($A14,'Raw Data'!$A$3:$EA$30,48,0))</f>
        <v xml:space="preserve"> </v>
      </c>
      <c r="BH14" s="7">
        <f t="shared" si="63"/>
        <v>0</v>
      </c>
      <c r="BI14" s="8" t="str">
        <f t="shared" si="28"/>
        <v xml:space="preserve"> </v>
      </c>
      <c r="BJ14" s="17" t="str">
        <f t="shared" si="64"/>
        <v xml:space="preserve"> </v>
      </c>
      <c r="BK14" s="49" t="str">
        <f>IF(ISERROR(VLOOKUP($A14,'Raw Data'!$A$3:$EA$30,39,0))," ",VLOOKUP($A14,'Raw Data'!$A$3:$EA$30,39,0))</f>
        <v xml:space="preserve"> </v>
      </c>
      <c r="BL14" s="7">
        <f t="shared" si="65"/>
        <v>0</v>
      </c>
      <c r="BM14" s="8" t="str">
        <f t="shared" si="30"/>
        <v xml:space="preserve"> </v>
      </c>
      <c r="BN14" s="17" t="str">
        <f t="shared" si="31"/>
        <v xml:space="preserve"> </v>
      </c>
      <c r="BP14" s="8">
        <f t="shared" si="32"/>
        <v>7505.5279320964964</v>
      </c>
      <c r="BR14" s="9">
        <f t="shared" si="33"/>
        <v>7.505527932096496E-3</v>
      </c>
      <c r="BS14" s="10">
        <f t="shared" si="34"/>
        <v>-0.64975969985772108</v>
      </c>
      <c r="BT14" s="61">
        <f t="shared" si="35"/>
        <v>2.1060205177837771E-37</v>
      </c>
      <c r="BU14" s="32" t="str">
        <f t="shared" si="36"/>
        <v xml:space="preserve"> </v>
      </c>
      <c r="BV14" s="29" t="str">
        <f t="shared" si="37"/>
        <v>|||</v>
      </c>
      <c r="BW14" s="34" t="str">
        <f t="shared" si="38"/>
        <v>|||</v>
      </c>
      <c r="BX14" s="46" t="str">
        <f t="shared" si="39"/>
        <v>|||</v>
      </c>
      <c r="BY14" s="220" t="str">
        <f t="shared" si="40"/>
        <v xml:space="preserve"> </v>
      </c>
      <c r="BZ14" s="46" t="str">
        <f t="shared" si="41"/>
        <v>||||||</v>
      </c>
      <c r="CA14" s="229" t="str">
        <f t="shared" si="42"/>
        <v xml:space="preserve"> </v>
      </c>
      <c r="CB14" s="221" t="str">
        <f t="shared" si="43"/>
        <v xml:space="preserve"> </v>
      </c>
      <c r="CC14" s="57">
        <f t="shared" si="66"/>
        <v>0.61906915348118741</v>
      </c>
      <c r="CD14" s="57">
        <f t="shared" si="67"/>
        <v>1.812758291352139</v>
      </c>
      <c r="CE14" s="58">
        <f t="shared" si="68"/>
        <v>1</v>
      </c>
      <c r="CF14" s="58">
        <f t="shared" si="69"/>
        <v>1</v>
      </c>
      <c r="CG14" s="57">
        <f t="shared" si="70"/>
        <v>2</v>
      </c>
      <c r="CH14" s="57">
        <f t="shared" si="71"/>
        <v>9</v>
      </c>
      <c r="CI14" s="57">
        <f t="shared" si="72"/>
        <v>9</v>
      </c>
      <c r="CJ14" s="196">
        <f t="shared" si="73"/>
        <v>9</v>
      </c>
      <c r="CK14" s="57">
        <f t="shared" si="74"/>
        <v>7</v>
      </c>
      <c r="CL14" s="57">
        <f t="shared" si="75"/>
        <v>7</v>
      </c>
      <c r="CM14" s="57">
        <f t="shared" si="76"/>
        <v>9</v>
      </c>
      <c r="CN14" s="57">
        <f t="shared" si="77"/>
        <v>9</v>
      </c>
      <c r="CO14" s="57">
        <f t="shared" si="78"/>
        <v>1</v>
      </c>
      <c r="CP14" s="57">
        <f t="shared" si="79"/>
        <v>1</v>
      </c>
      <c r="CQ14" s="57">
        <f t="shared" si="80"/>
        <v>7</v>
      </c>
      <c r="CR14" s="57">
        <f t="shared" si="81"/>
        <v>6</v>
      </c>
      <c r="CS14" s="57">
        <f t="shared" si="82"/>
        <v>9</v>
      </c>
      <c r="CT14" s="57">
        <f t="shared" si="83"/>
        <v>9</v>
      </c>
      <c r="CU14" s="57" t="str">
        <f>IF(dashboard[[#This Row],[COHENSION]]=" "," ",_xlfn.RANK.AVG(F14,$F$3:$F$26,0))</f>
        <v xml:space="preserve"> </v>
      </c>
      <c r="CV14" s="57">
        <f t="shared" si="84"/>
        <v>3</v>
      </c>
      <c r="CW14" s="57">
        <f t="shared" si="85"/>
        <v>9</v>
      </c>
      <c r="CX14" s="58">
        <f t="shared" si="86"/>
        <v>1</v>
      </c>
      <c r="CY14" s="58">
        <f t="shared" si="87"/>
        <v>1</v>
      </c>
      <c r="CZ14" s="58" t="str">
        <f>IFERROR(VLOOKUP($A14,'cluster'!$A$20:$CI$45,86,0),CU14)</f>
        <v xml:space="preserve"> </v>
      </c>
      <c r="DA14" s="58" t="str">
        <f>IF(ISERROR(VLOOKUP(A14,'Raw Data'!$A$3:$DY$29,129,FALSE))," ",VLOOKUP(A14,'Raw Data'!$A$3:$DY$29,129,FALSE))</f>
        <v xml:space="preserve"> </v>
      </c>
      <c r="DB14" s="58" t="str">
        <f t="shared" si="44"/>
        <v xml:space="preserve"> </v>
      </c>
      <c r="DC14" s="58">
        <f t="shared" si="88"/>
        <v>11.390625</v>
      </c>
      <c r="DD14" s="58">
        <f t="shared" si="89"/>
        <v>1</v>
      </c>
      <c r="DE14" s="58">
        <f t="shared" si="45"/>
        <v>0</v>
      </c>
      <c r="DF14" s="58">
        <f t="shared" si="46"/>
        <v>1</v>
      </c>
      <c r="DG14" s="58" t="str">
        <f t="shared" si="47"/>
        <v xml:space="preserve"> </v>
      </c>
    </row>
    <row r="15" spans="1:111" ht="30" customHeight="1" x14ac:dyDescent="0.55000000000000004">
      <c r="A15" s="21">
        <f>RawData[[#This Row],[Num]]</f>
        <v>0</v>
      </c>
      <c r="B15" s="22" t="str">
        <f>IFERROR(VLOOKUP($A15,'Raw Data'!$A$3:$EA$30,2,0)," ")</f>
        <v xml:space="preserve"> </v>
      </c>
      <c r="C15" s="8" t="str">
        <f>IFERROR(VLOOKUP($A15,'Raw Data'!$A$3:$EA$30,6,0)," ")</f>
        <v xml:space="preserve"> </v>
      </c>
      <c r="D15" s="8" t="str">
        <f>IFERROR(VLOOKUP($A15,'Raw Data'!$A$3:$EA$30,7,0)," ")</f>
        <v xml:space="preserve"> </v>
      </c>
      <c r="E15" s="149" t="str">
        <f>IFERROR(VLOOKUP($A15,'Raw Data'!$A$3:$EA$29,10,0)," ")</f>
        <v xml:space="preserve"> </v>
      </c>
      <c r="F15" s="273" t="str">
        <f>IFERROR(VLOOKUP(dashboard[[#This Row],[BOX]],'Raw Data'!$A$3:$EA$32,130)," ")</f>
        <v xml:space="preserve"> </v>
      </c>
      <c r="G15" s="49" t="str">
        <f>IF(ISERROR(D15/dashboard[[#This Row],[RUNS]])," ",(D15/dashboard[[#This Row],[RUNS]]))</f>
        <v xml:space="preserve"> </v>
      </c>
      <c r="H15" s="7">
        <f>IF(ISERROR(dashboard[[#This Row],[Wins Data]]/$G$29),0,dashboard[[#This Row],[Wins Data]]/$G$29)</f>
        <v>0</v>
      </c>
      <c r="I15" s="8" t="str">
        <f>IF(dashboard[[#This Row],[Column2]]=1,($I$30/J$29)," ")</f>
        <v xml:space="preserve"> </v>
      </c>
      <c r="J15" s="17" t="str">
        <f t="shared" si="0"/>
        <v xml:space="preserve"> </v>
      </c>
      <c r="K15" s="49" t="str">
        <f t="shared" si="48"/>
        <v xml:space="preserve"> </v>
      </c>
      <c r="L15" s="7">
        <f t="shared" si="49"/>
        <v>0</v>
      </c>
      <c r="M15" s="8" t="str">
        <f>IF(dashboard[[#This Row],[Column1]]=1,($M$30/N$29)," ")</f>
        <v xml:space="preserve"> </v>
      </c>
      <c r="N15" s="17" t="str">
        <f t="shared" si="1"/>
        <v xml:space="preserve"> </v>
      </c>
      <c r="O15" s="49" t="str">
        <f t="shared" si="2"/>
        <v xml:space="preserve"> </v>
      </c>
      <c r="P15" s="7">
        <f t="shared" si="50"/>
        <v>0</v>
      </c>
      <c r="Q15" s="8" t="str">
        <f>IF(dashboard[[#This Row],[Column3]]=1,($Q$30/$R$29)," ")</f>
        <v xml:space="preserve"> </v>
      </c>
      <c r="R15" s="17" t="str">
        <f t="shared" si="4"/>
        <v xml:space="preserve"> </v>
      </c>
      <c r="S15" s="49" t="str">
        <f>IF(ISERROR(VLOOKUP($A15,'Raw Data'!$A$3:$EA$30,121,0))," ",VLOOKUP($A15,'Raw Data'!$A$3:$EA$30,121,0))</f>
        <v xml:space="preserve"> </v>
      </c>
      <c r="T15" s="7">
        <f t="shared" si="51"/>
        <v>0</v>
      </c>
      <c r="U15" s="8">
        <f t="shared" si="6"/>
        <v>0</v>
      </c>
      <c r="V15" s="17">
        <f t="shared" si="7"/>
        <v>1</v>
      </c>
      <c r="W15" s="49" t="str">
        <f>IFERROR(VLOOKUP($A15,'Raw Data'!$A$3:$EA$30,123,0)^2," ")</f>
        <v xml:space="preserve"> </v>
      </c>
      <c r="X15" s="7">
        <f t="shared" si="52"/>
        <v>0</v>
      </c>
      <c r="Y15" s="8">
        <f t="shared" si="8"/>
        <v>7505.5279320964964</v>
      </c>
      <c r="Z15" s="17">
        <f t="shared" si="9"/>
        <v>1</v>
      </c>
      <c r="AA15" s="219" t="str">
        <f>IF(ISERROR(VLOOKUP($A15,'Raw Data'!$A$3:$EA$30,36,0))," ",VLOOKUP($A15,'Raw Data'!$A$3:$EA$30,36,0))</f>
        <v xml:space="preserve"> </v>
      </c>
      <c r="AB15" s="7">
        <f t="shared" si="53"/>
        <v>0</v>
      </c>
      <c r="AC15" s="8" t="str">
        <f>IF(dashboard[[#This Row],[Column6]]=1,($AC$30/$AD$29)," ")</f>
        <v xml:space="preserve"> </v>
      </c>
      <c r="AD15" s="17" t="str">
        <f t="shared" si="11"/>
        <v xml:space="preserve"> </v>
      </c>
      <c r="AE15" s="49" t="str">
        <f>IF(ISERROR((100/(VLOOKUP($A15,'Raw Data'!$A$3:$X$32,'A1. PICKS'!$I$2,0))))," ",100/(VLOOKUP($A15,'Raw Data'!$A$3:$X$32,'A1. PICKS'!$I$2,0)))</f>
        <v xml:space="preserve"> </v>
      </c>
      <c r="AF15" s="7">
        <f t="shared" si="54"/>
        <v>0</v>
      </c>
      <c r="AG15" s="8" t="str">
        <f>IF(dashboard[[#This Row],[Column7]]=1,($AG$30/$AH$29)," ")</f>
        <v xml:space="preserve"> </v>
      </c>
      <c r="AH15" s="17" t="str">
        <f t="shared" si="13"/>
        <v xml:space="preserve"> </v>
      </c>
      <c r="AI15" s="49" t="str">
        <f>IFERROR(VLOOKUP($A15,'Raw Data'!$A$3:$EA$29,120,0)," ")</f>
        <v xml:space="preserve"> </v>
      </c>
      <c r="AJ15" s="7">
        <f t="shared" si="55"/>
        <v>0</v>
      </c>
      <c r="AK15" s="8">
        <f>IF(dashboard[[#This Row],[Column8]]=1,($AK$30/$AL$29)," ")</f>
        <v>0</v>
      </c>
      <c r="AL15" s="17">
        <f t="shared" si="14"/>
        <v>1</v>
      </c>
      <c r="AM15" s="49" t="str">
        <f>IF(ISERROR(VLOOKUP($A15,'Raw Data'!$A$3:$EA$30,31,0))," ",VLOOKUP($A15,'Raw Data'!$A$3:$EA$30,31,0))</f>
        <v xml:space="preserve"> </v>
      </c>
      <c r="AN15" s="7">
        <f t="shared" si="56"/>
        <v>0</v>
      </c>
      <c r="AO15" s="8" t="str">
        <f>IF(dashboard[[#This Row],[Column9]]=1,($AO$30/$AP$29)," ")</f>
        <v xml:space="preserve"> </v>
      </c>
      <c r="AP15" s="17" t="str">
        <f t="shared" si="16"/>
        <v xml:space="preserve"> </v>
      </c>
      <c r="AQ15" s="49" t="str">
        <f>IF(ISERROR(VLOOKUP($A15,'Raw Data'!$A$3:$EA$30,39,0))," ",VLOOKUP($A15,'Raw Data'!$A$3:$EA$30,39,0))</f>
        <v xml:space="preserve"> </v>
      </c>
      <c r="AR15" s="7">
        <f t="shared" si="57"/>
        <v>0</v>
      </c>
      <c r="AS15" s="8" t="str">
        <f>IF(dashboard[[#This Row],[Column10]]=1,($AS$30/$AT$29)," ")</f>
        <v xml:space="preserve"> </v>
      </c>
      <c r="AT15" s="17" t="str">
        <f t="shared" si="18"/>
        <v xml:space="preserve"> </v>
      </c>
      <c r="AU15" s="49" t="str">
        <f>IFERROR(VLOOKUP($A15,'Raw Data'!$A$3:$EA$30,20,0)," ")</f>
        <v xml:space="preserve"> </v>
      </c>
      <c r="AV15" s="7">
        <f t="shared" si="58"/>
        <v>0</v>
      </c>
      <c r="AW15" s="8" t="str">
        <f>IF(dashboard[[#This Row],[Column11]]=1,($AW$30/$AX$29)," ")</f>
        <v xml:space="preserve"> </v>
      </c>
      <c r="AX15" s="17" t="str">
        <f t="shared" si="20"/>
        <v xml:space="preserve"> </v>
      </c>
      <c r="AY15" s="49" t="str">
        <f>IF(ISERROR(VLOOKUP($A15,'Raw Data'!$A$3:$EA$30,75,0))," ",VLOOKUP($A15,'Raw Data'!$A$3:$EA$30,75,0))</f>
        <v xml:space="preserve"> </v>
      </c>
      <c r="AZ15" s="7">
        <f t="shared" si="59"/>
        <v>0</v>
      </c>
      <c r="BA15" s="8" t="str">
        <f t="shared" si="22"/>
        <v xml:space="preserve"> </v>
      </c>
      <c r="BB15" s="17" t="str">
        <f t="shared" si="60"/>
        <v xml:space="preserve"> </v>
      </c>
      <c r="BC15" s="49" t="str">
        <f>IF(ISERROR(VLOOKUP($A15,'Raw Data'!$A$3:$EA$30,108,0))," ",VLOOKUP($A15,'Raw Data'!$A$3:$EA$30,108,0))</f>
        <v xml:space="preserve"> </v>
      </c>
      <c r="BD15" s="7">
        <f t="shared" si="61"/>
        <v>0</v>
      </c>
      <c r="BE15" s="8" t="str">
        <f t="shared" si="25"/>
        <v xml:space="preserve"> </v>
      </c>
      <c r="BF15" s="17" t="str">
        <f t="shared" si="62"/>
        <v xml:space="preserve"> </v>
      </c>
      <c r="BG15" s="49" t="str">
        <f>IF(ISERROR(VLOOKUP($A15,'Raw Data'!$A$3:$EA$30,48,0))," ",VLOOKUP($A15,'Raw Data'!$A$3:$EA$30,48,0))</f>
        <v xml:space="preserve"> </v>
      </c>
      <c r="BH15" s="7">
        <f t="shared" si="63"/>
        <v>0</v>
      </c>
      <c r="BI15" s="8" t="str">
        <f t="shared" si="28"/>
        <v xml:space="preserve"> </v>
      </c>
      <c r="BJ15" s="17" t="str">
        <f t="shared" si="64"/>
        <v xml:space="preserve"> </v>
      </c>
      <c r="BK15" s="49" t="str">
        <f>IF(ISERROR(VLOOKUP($A15,'Raw Data'!$A$3:$EA$30,39,0))," ",VLOOKUP($A15,'Raw Data'!$A$3:$EA$30,39,0))</f>
        <v xml:space="preserve"> </v>
      </c>
      <c r="BL15" s="7">
        <f t="shared" si="65"/>
        <v>0</v>
      </c>
      <c r="BM15" s="8" t="str">
        <f t="shared" si="30"/>
        <v xml:space="preserve"> </v>
      </c>
      <c r="BN15" s="17" t="str">
        <f t="shared" si="31"/>
        <v xml:space="preserve"> </v>
      </c>
      <c r="BP15" s="8">
        <f t="shared" si="32"/>
        <v>7505.5279320964964</v>
      </c>
      <c r="BR15" s="9">
        <f t="shared" si="33"/>
        <v>7.505527932096496E-3</v>
      </c>
      <c r="BS15" s="10">
        <f t="shared" si="34"/>
        <v>-0.64975969985772108</v>
      </c>
      <c r="BT15" s="61">
        <f t="shared" si="35"/>
        <v>2.1060205177837771E-37</v>
      </c>
      <c r="BU15" s="32" t="str">
        <f t="shared" si="36"/>
        <v xml:space="preserve"> </v>
      </c>
      <c r="BV15" s="29" t="str">
        <f t="shared" si="37"/>
        <v>|||</v>
      </c>
      <c r="BW15" s="34" t="str">
        <f t="shared" si="38"/>
        <v>|||</v>
      </c>
      <c r="BX15" s="46" t="str">
        <f t="shared" si="39"/>
        <v>|||</v>
      </c>
      <c r="BY15" s="220" t="str">
        <f t="shared" si="40"/>
        <v xml:space="preserve"> </v>
      </c>
      <c r="BZ15" s="46" t="str">
        <f t="shared" si="41"/>
        <v>||||||</v>
      </c>
      <c r="CA15" s="229" t="str">
        <f t="shared" si="42"/>
        <v xml:space="preserve"> </v>
      </c>
      <c r="CB15" s="221" t="str">
        <f t="shared" si="43"/>
        <v xml:space="preserve"> </v>
      </c>
      <c r="CC15" s="57">
        <f t="shared" si="66"/>
        <v>0.61906915348118741</v>
      </c>
      <c r="CD15" s="57">
        <f t="shared" si="67"/>
        <v>1.812758291352139</v>
      </c>
      <c r="CE15" s="58">
        <f t="shared" si="68"/>
        <v>1</v>
      </c>
      <c r="CF15" s="58">
        <f t="shared" si="69"/>
        <v>1</v>
      </c>
      <c r="CG15" s="57">
        <f t="shared" si="70"/>
        <v>2</v>
      </c>
      <c r="CH15" s="57">
        <f t="shared" si="71"/>
        <v>9</v>
      </c>
      <c r="CI15" s="57">
        <f t="shared" si="72"/>
        <v>9</v>
      </c>
      <c r="CJ15" s="196">
        <f t="shared" si="73"/>
        <v>9</v>
      </c>
      <c r="CK15" s="57">
        <f t="shared" si="74"/>
        <v>7</v>
      </c>
      <c r="CL15" s="57">
        <f t="shared" si="75"/>
        <v>7</v>
      </c>
      <c r="CM15" s="57">
        <f t="shared" si="76"/>
        <v>9</v>
      </c>
      <c r="CN15" s="57">
        <f t="shared" si="77"/>
        <v>9</v>
      </c>
      <c r="CO15" s="57">
        <f t="shared" si="78"/>
        <v>1</v>
      </c>
      <c r="CP15" s="57">
        <f t="shared" si="79"/>
        <v>1</v>
      </c>
      <c r="CQ15" s="57">
        <f t="shared" si="80"/>
        <v>7</v>
      </c>
      <c r="CR15" s="57">
        <f t="shared" si="81"/>
        <v>6</v>
      </c>
      <c r="CS15" s="57">
        <f t="shared" si="82"/>
        <v>9</v>
      </c>
      <c r="CT15" s="57">
        <f t="shared" si="83"/>
        <v>9</v>
      </c>
      <c r="CU15" s="57" t="str">
        <f>IF(dashboard[[#This Row],[COHENSION]]=" "," ",_xlfn.RANK.AVG(F15,$F$3:$F$26,0))</f>
        <v xml:space="preserve"> </v>
      </c>
      <c r="CV15" s="57">
        <f t="shared" si="84"/>
        <v>3</v>
      </c>
      <c r="CW15" s="57">
        <f t="shared" si="85"/>
        <v>9</v>
      </c>
      <c r="CX15" s="58">
        <f t="shared" si="86"/>
        <v>1</v>
      </c>
      <c r="CY15" s="58">
        <f t="shared" si="87"/>
        <v>1</v>
      </c>
      <c r="CZ15" s="58" t="str">
        <f>IFERROR(VLOOKUP($A15,'cluster'!$A$20:$CI$45,86,0),CU15)</f>
        <v xml:space="preserve"> </v>
      </c>
      <c r="DA15" s="58" t="str">
        <f>IF(ISERROR(VLOOKUP(A15,'Raw Data'!$A$3:$DY$29,129,FALSE))," ",VLOOKUP(A15,'Raw Data'!$A$3:$DY$29,129,FALSE))</f>
        <v xml:space="preserve"> </v>
      </c>
      <c r="DB15" s="58" t="str">
        <f t="shared" si="44"/>
        <v xml:space="preserve"> </v>
      </c>
      <c r="DC15" s="58">
        <f t="shared" si="88"/>
        <v>11.390625</v>
      </c>
      <c r="DD15" s="58">
        <f t="shared" si="89"/>
        <v>1</v>
      </c>
      <c r="DE15" s="58">
        <f t="shared" si="45"/>
        <v>0</v>
      </c>
      <c r="DF15" s="58">
        <f t="shared" si="46"/>
        <v>1</v>
      </c>
      <c r="DG15" s="58" t="str">
        <f t="shared" si="47"/>
        <v xml:space="preserve"> </v>
      </c>
    </row>
    <row r="16" spans="1:111" ht="30" customHeight="1" x14ac:dyDescent="0.55000000000000004">
      <c r="A16" s="21">
        <f>RawData[[#This Row],[Num]]</f>
        <v>0</v>
      </c>
      <c r="B16" s="22" t="str">
        <f>IFERROR(VLOOKUP($A16,'Raw Data'!$A$3:$EA$30,2,0)," ")</f>
        <v xml:space="preserve"> </v>
      </c>
      <c r="C16" s="8" t="str">
        <f>IFERROR(VLOOKUP($A16,'Raw Data'!$A$3:$EA$30,6,0)," ")</f>
        <v xml:space="preserve"> </v>
      </c>
      <c r="D16" s="8" t="str">
        <f>IFERROR(VLOOKUP($A16,'Raw Data'!$A$3:$EA$30,7,0)," ")</f>
        <v xml:space="preserve"> </v>
      </c>
      <c r="E16" s="149" t="str">
        <f>IFERROR(VLOOKUP($A16,'Raw Data'!$A$3:$EA$29,10,0)," ")</f>
        <v xml:space="preserve"> </v>
      </c>
      <c r="F16" s="273" t="str">
        <f>IFERROR(VLOOKUP(dashboard[[#This Row],[BOX]],'Raw Data'!$A$3:$EA$32,130)," ")</f>
        <v xml:space="preserve"> </v>
      </c>
      <c r="G16" s="49" t="str">
        <f>IF(ISERROR(D16/dashboard[[#This Row],[RUNS]])," ",(D16/dashboard[[#This Row],[RUNS]]))</f>
        <v xml:space="preserve"> </v>
      </c>
      <c r="H16" s="7">
        <f>IF(ISERROR(dashboard[[#This Row],[Wins Data]]/$G$29),0,dashboard[[#This Row],[Wins Data]]/$G$29)</f>
        <v>0</v>
      </c>
      <c r="I16" s="8" t="str">
        <f>IF(dashboard[[#This Row],[Column2]]=1,($I$30/J$29)," ")</f>
        <v xml:space="preserve"> </v>
      </c>
      <c r="J16" s="17" t="str">
        <f t="shared" si="0"/>
        <v xml:space="preserve"> </v>
      </c>
      <c r="K16" s="49" t="str">
        <f t="shared" si="48"/>
        <v xml:space="preserve"> </v>
      </c>
      <c r="L16" s="7">
        <f t="shared" si="49"/>
        <v>0</v>
      </c>
      <c r="M16" s="8" t="str">
        <f>IF(dashboard[[#This Row],[Column1]]=1,($M$30/N$29)," ")</f>
        <v xml:space="preserve"> </v>
      </c>
      <c r="N16" s="17" t="str">
        <f t="shared" si="1"/>
        <v xml:space="preserve"> </v>
      </c>
      <c r="O16" s="49" t="str">
        <f t="shared" si="2"/>
        <v xml:space="preserve"> </v>
      </c>
      <c r="P16" s="7">
        <f t="shared" si="50"/>
        <v>0</v>
      </c>
      <c r="Q16" s="8" t="str">
        <f>IF(dashboard[[#This Row],[Column3]]=1,($Q$30/$R$29)," ")</f>
        <v xml:space="preserve"> </v>
      </c>
      <c r="R16" s="17" t="str">
        <f t="shared" si="4"/>
        <v xml:space="preserve"> </v>
      </c>
      <c r="S16" s="49" t="str">
        <f>IF(ISERROR(VLOOKUP($A16,'Raw Data'!$A$3:$EA$30,121,0))," ",VLOOKUP($A16,'Raw Data'!$A$3:$EA$30,121,0))</f>
        <v xml:space="preserve"> </v>
      </c>
      <c r="T16" s="7">
        <f t="shared" si="51"/>
        <v>0</v>
      </c>
      <c r="U16" s="8">
        <f t="shared" si="6"/>
        <v>0</v>
      </c>
      <c r="V16" s="17">
        <f t="shared" si="7"/>
        <v>1</v>
      </c>
      <c r="W16" s="49" t="str">
        <f>IFERROR(VLOOKUP($A16,'Raw Data'!$A$3:$EA$30,123,0)^2," ")</f>
        <v xml:space="preserve"> </v>
      </c>
      <c r="X16" s="7">
        <f t="shared" si="52"/>
        <v>0</v>
      </c>
      <c r="Y16" s="8">
        <f t="shared" si="8"/>
        <v>7505.5279320964964</v>
      </c>
      <c r="Z16" s="17">
        <f t="shared" si="9"/>
        <v>1</v>
      </c>
      <c r="AA16" s="219" t="str">
        <f>IF(ISERROR(VLOOKUP($A16,'Raw Data'!$A$3:$EA$30,36,0))," ",VLOOKUP($A16,'Raw Data'!$A$3:$EA$30,36,0))</f>
        <v xml:space="preserve"> </v>
      </c>
      <c r="AB16" s="7">
        <f t="shared" si="53"/>
        <v>0</v>
      </c>
      <c r="AC16" s="8" t="str">
        <f>IF(dashboard[[#This Row],[Column6]]=1,($AC$30/$AD$29)," ")</f>
        <v xml:space="preserve"> </v>
      </c>
      <c r="AD16" s="17" t="str">
        <f t="shared" si="11"/>
        <v xml:space="preserve"> </v>
      </c>
      <c r="AE16" s="49" t="str">
        <f>IF(ISERROR((100/(VLOOKUP($A16,'Raw Data'!$A$3:$X$32,'A1. PICKS'!$I$2,0))))," ",100/(VLOOKUP($A16,'Raw Data'!$A$3:$X$32,'A1. PICKS'!$I$2,0)))</f>
        <v xml:space="preserve"> </v>
      </c>
      <c r="AF16" s="7">
        <f t="shared" si="54"/>
        <v>0</v>
      </c>
      <c r="AG16" s="8" t="str">
        <f>IF(dashboard[[#This Row],[Column7]]=1,($AG$30/$AH$29)," ")</f>
        <v xml:space="preserve"> </v>
      </c>
      <c r="AH16" s="17" t="str">
        <f t="shared" si="13"/>
        <v xml:space="preserve"> </v>
      </c>
      <c r="AI16" s="49" t="str">
        <f>IFERROR(VLOOKUP($A16,'Raw Data'!$A$3:$EA$29,120,0)," ")</f>
        <v xml:space="preserve"> </v>
      </c>
      <c r="AJ16" s="7">
        <f t="shared" si="55"/>
        <v>0</v>
      </c>
      <c r="AK16" s="8">
        <f>IF(dashboard[[#This Row],[Column8]]=1,($AK$30/$AL$29)," ")</f>
        <v>0</v>
      </c>
      <c r="AL16" s="17">
        <f t="shared" si="14"/>
        <v>1</v>
      </c>
      <c r="AM16" s="49" t="str">
        <f>IF(ISERROR(VLOOKUP($A16,'Raw Data'!$A$3:$EA$30,31,0))," ",VLOOKUP($A16,'Raw Data'!$A$3:$EA$30,31,0))</f>
        <v xml:space="preserve"> </v>
      </c>
      <c r="AN16" s="7">
        <f t="shared" si="56"/>
        <v>0</v>
      </c>
      <c r="AO16" s="8" t="str">
        <f>IF(dashboard[[#This Row],[Column9]]=1,($AO$30/$AP$29)," ")</f>
        <v xml:space="preserve"> </v>
      </c>
      <c r="AP16" s="17" t="str">
        <f t="shared" si="16"/>
        <v xml:space="preserve"> </v>
      </c>
      <c r="AQ16" s="49" t="str">
        <f>IF(ISERROR(VLOOKUP($A16,'Raw Data'!$A$3:$EA$30,39,0))," ",VLOOKUP($A16,'Raw Data'!$A$3:$EA$30,39,0))</f>
        <v xml:space="preserve"> </v>
      </c>
      <c r="AR16" s="7">
        <f t="shared" si="57"/>
        <v>0</v>
      </c>
      <c r="AS16" s="8" t="str">
        <f>IF(dashboard[[#This Row],[Column10]]=1,($AS$30/$AT$29)," ")</f>
        <v xml:space="preserve"> </v>
      </c>
      <c r="AT16" s="17" t="str">
        <f t="shared" si="18"/>
        <v xml:space="preserve"> </v>
      </c>
      <c r="AU16" s="49" t="str">
        <f>IFERROR(VLOOKUP($A16,'Raw Data'!$A$3:$EA$30,20,0)," ")</f>
        <v xml:space="preserve"> </v>
      </c>
      <c r="AV16" s="7">
        <f t="shared" si="58"/>
        <v>0</v>
      </c>
      <c r="AW16" s="8" t="str">
        <f>IF(dashboard[[#This Row],[Column11]]=1,($AW$30/$AX$29)," ")</f>
        <v xml:space="preserve"> </v>
      </c>
      <c r="AX16" s="17" t="str">
        <f t="shared" si="20"/>
        <v xml:space="preserve"> </v>
      </c>
      <c r="AY16" s="49" t="str">
        <f>IF(ISERROR(VLOOKUP($A16,'Raw Data'!$A$3:$EA$30,75,0))," ",VLOOKUP($A16,'Raw Data'!$A$3:$EA$30,75,0))</f>
        <v xml:space="preserve"> </v>
      </c>
      <c r="AZ16" s="7">
        <f t="shared" si="59"/>
        <v>0</v>
      </c>
      <c r="BA16" s="8" t="str">
        <f t="shared" si="22"/>
        <v xml:space="preserve"> </v>
      </c>
      <c r="BB16" s="17" t="str">
        <f t="shared" si="60"/>
        <v xml:space="preserve"> </v>
      </c>
      <c r="BC16" s="49" t="str">
        <f>IF(ISERROR(VLOOKUP($A16,'Raw Data'!$A$3:$EA$30,108,0))," ",VLOOKUP($A16,'Raw Data'!$A$3:$EA$30,108,0))</f>
        <v xml:space="preserve"> </v>
      </c>
      <c r="BD16" s="7">
        <f t="shared" si="61"/>
        <v>0</v>
      </c>
      <c r="BE16" s="8" t="str">
        <f t="shared" si="25"/>
        <v xml:space="preserve"> </v>
      </c>
      <c r="BF16" s="17" t="str">
        <f t="shared" si="62"/>
        <v xml:space="preserve"> </v>
      </c>
      <c r="BG16" s="49" t="str">
        <f>IF(ISERROR(VLOOKUP($A16,'Raw Data'!$A$3:$EA$30,48,0))," ",VLOOKUP($A16,'Raw Data'!$A$3:$EA$30,48,0))</f>
        <v xml:space="preserve"> </v>
      </c>
      <c r="BH16" s="7">
        <f t="shared" si="63"/>
        <v>0</v>
      </c>
      <c r="BI16" s="8" t="str">
        <f t="shared" si="28"/>
        <v xml:space="preserve"> </v>
      </c>
      <c r="BJ16" s="17" t="str">
        <f t="shared" si="64"/>
        <v xml:space="preserve"> </v>
      </c>
      <c r="BK16" s="49" t="str">
        <f>IF(ISERROR(VLOOKUP($A16,'Raw Data'!$A$3:$EA$30,39,0))," ",VLOOKUP($A16,'Raw Data'!$A$3:$EA$30,39,0))</f>
        <v xml:space="preserve"> </v>
      </c>
      <c r="BL16" s="7">
        <f t="shared" si="65"/>
        <v>0</v>
      </c>
      <c r="BM16" s="8" t="str">
        <f t="shared" si="30"/>
        <v xml:space="preserve"> </v>
      </c>
      <c r="BN16" s="17" t="str">
        <f t="shared" si="31"/>
        <v xml:space="preserve"> </v>
      </c>
      <c r="BP16" s="8">
        <f t="shared" si="32"/>
        <v>7505.5279320964964</v>
      </c>
      <c r="BR16" s="9">
        <f t="shared" si="33"/>
        <v>7.505527932096496E-3</v>
      </c>
      <c r="BS16" s="10">
        <f t="shared" si="34"/>
        <v>-0.64975969985772108</v>
      </c>
      <c r="BT16" s="61">
        <f t="shared" si="35"/>
        <v>2.1060205177837771E-37</v>
      </c>
      <c r="BU16" s="32" t="str">
        <f t="shared" si="36"/>
        <v xml:space="preserve"> </v>
      </c>
      <c r="BV16" s="29" t="str">
        <f t="shared" si="37"/>
        <v>|||</v>
      </c>
      <c r="BW16" s="34" t="str">
        <f t="shared" si="38"/>
        <v>|||</v>
      </c>
      <c r="BX16" s="46" t="str">
        <f t="shared" si="39"/>
        <v>|||</v>
      </c>
      <c r="BY16" s="220" t="str">
        <f t="shared" si="40"/>
        <v xml:space="preserve"> </v>
      </c>
      <c r="BZ16" s="46" t="str">
        <f t="shared" si="41"/>
        <v>||||||</v>
      </c>
      <c r="CA16" s="229" t="str">
        <f t="shared" si="42"/>
        <v xml:space="preserve"> </v>
      </c>
      <c r="CB16" s="221" t="str">
        <f t="shared" si="43"/>
        <v xml:space="preserve"> </v>
      </c>
      <c r="CC16" s="57">
        <f t="shared" si="66"/>
        <v>0.61906915348118741</v>
      </c>
      <c r="CD16" s="57">
        <f t="shared" si="67"/>
        <v>1.812758291352139</v>
      </c>
      <c r="CE16" s="58">
        <f t="shared" si="68"/>
        <v>1</v>
      </c>
      <c r="CF16" s="58">
        <f t="shared" si="69"/>
        <v>1</v>
      </c>
      <c r="CG16" s="57">
        <f t="shared" si="70"/>
        <v>2</v>
      </c>
      <c r="CH16" s="57">
        <f t="shared" si="71"/>
        <v>9</v>
      </c>
      <c r="CI16" s="57">
        <f t="shared" si="72"/>
        <v>9</v>
      </c>
      <c r="CJ16" s="196">
        <f t="shared" si="73"/>
        <v>9</v>
      </c>
      <c r="CK16" s="57">
        <f t="shared" si="74"/>
        <v>7</v>
      </c>
      <c r="CL16" s="57">
        <f t="shared" si="75"/>
        <v>7</v>
      </c>
      <c r="CM16" s="57">
        <f t="shared" si="76"/>
        <v>9</v>
      </c>
      <c r="CN16" s="57">
        <f t="shared" si="77"/>
        <v>9</v>
      </c>
      <c r="CO16" s="57">
        <f t="shared" si="78"/>
        <v>1</v>
      </c>
      <c r="CP16" s="57">
        <f t="shared" si="79"/>
        <v>1</v>
      </c>
      <c r="CQ16" s="57">
        <f t="shared" si="80"/>
        <v>7</v>
      </c>
      <c r="CR16" s="57">
        <f t="shared" si="81"/>
        <v>6</v>
      </c>
      <c r="CS16" s="57">
        <f t="shared" si="82"/>
        <v>9</v>
      </c>
      <c r="CT16" s="57">
        <f t="shared" si="83"/>
        <v>9</v>
      </c>
      <c r="CU16" s="57" t="str">
        <f>IF(dashboard[[#This Row],[COHENSION]]=" "," ",_xlfn.RANK.AVG(F16,$F$3:$F$26,0))</f>
        <v xml:space="preserve"> </v>
      </c>
      <c r="CV16" s="57">
        <f t="shared" si="84"/>
        <v>3</v>
      </c>
      <c r="CW16" s="57">
        <f t="shared" si="85"/>
        <v>9</v>
      </c>
      <c r="CX16" s="58">
        <f t="shared" si="86"/>
        <v>1</v>
      </c>
      <c r="CY16" s="58">
        <f t="shared" si="87"/>
        <v>1</v>
      </c>
      <c r="CZ16" s="58" t="str">
        <f>IFERROR(VLOOKUP($A16,'cluster'!$A$20:$CI$45,86,0),CU16)</f>
        <v xml:space="preserve"> </v>
      </c>
      <c r="DA16" s="58" t="str">
        <f>IF(ISERROR(VLOOKUP(A16,'Raw Data'!$A$3:$DY$29,129,FALSE))," ",VLOOKUP(A16,'Raw Data'!$A$3:$DY$29,129,FALSE))</f>
        <v xml:space="preserve"> </v>
      </c>
      <c r="DB16" s="58" t="str">
        <f t="shared" si="44"/>
        <v xml:space="preserve"> </v>
      </c>
      <c r="DC16" s="58">
        <f t="shared" si="88"/>
        <v>11.390625</v>
      </c>
      <c r="DD16" s="58">
        <f t="shared" si="89"/>
        <v>1</v>
      </c>
      <c r="DE16" s="58">
        <f t="shared" si="45"/>
        <v>0</v>
      </c>
      <c r="DF16" s="58">
        <f t="shared" si="46"/>
        <v>1</v>
      </c>
      <c r="DG16" s="58" t="str">
        <f t="shared" si="47"/>
        <v xml:space="preserve"> </v>
      </c>
    </row>
    <row r="17" spans="1:111" ht="30" customHeight="1" x14ac:dyDescent="0.55000000000000004">
      <c r="A17" s="21">
        <f>RawData[[#This Row],[Num]]</f>
        <v>0</v>
      </c>
      <c r="B17" s="22" t="str">
        <f>IFERROR(VLOOKUP($A17,'Raw Data'!$A$3:$EA$30,2,0)," ")</f>
        <v xml:space="preserve"> </v>
      </c>
      <c r="C17" s="8" t="str">
        <f>IFERROR(VLOOKUP($A17,'Raw Data'!$A$3:$EA$30,6,0)," ")</f>
        <v xml:space="preserve"> </v>
      </c>
      <c r="D17" s="8" t="str">
        <f>IFERROR(VLOOKUP($A17,'Raw Data'!$A$3:$EA$30,7,0)," ")</f>
        <v xml:space="preserve"> </v>
      </c>
      <c r="E17" s="149" t="str">
        <f>IFERROR(VLOOKUP($A17,'Raw Data'!$A$3:$EA$29,10,0)," ")</f>
        <v xml:space="preserve"> </v>
      </c>
      <c r="F17" s="273" t="str">
        <f>IFERROR(VLOOKUP(dashboard[[#This Row],[BOX]],'Raw Data'!$A$3:$EA$32,130)," ")</f>
        <v xml:space="preserve"> </v>
      </c>
      <c r="G17" s="49" t="str">
        <f>IF(ISERROR(D17/dashboard[[#This Row],[RUNS]])," ",(D17/dashboard[[#This Row],[RUNS]]))</f>
        <v xml:space="preserve"> </v>
      </c>
      <c r="H17" s="7">
        <f>IF(ISERROR(dashboard[[#This Row],[Wins Data]]/$G$29),0,dashboard[[#This Row],[Wins Data]]/$G$29)</f>
        <v>0</v>
      </c>
      <c r="I17" s="8" t="str">
        <f>IF(dashboard[[#This Row],[Column2]]=1,($I$30/J$29)," ")</f>
        <v xml:space="preserve"> </v>
      </c>
      <c r="J17" s="17" t="str">
        <f t="shared" si="0"/>
        <v xml:space="preserve"> </v>
      </c>
      <c r="K17" s="49" t="str">
        <f t="shared" si="48"/>
        <v xml:space="preserve"> </v>
      </c>
      <c r="L17" s="7">
        <f t="shared" si="49"/>
        <v>0</v>
      </c>
      <c r="M17" s="8" t="str">
        <f>IF(dashboard[[#This Row],[Column1]]=1,($M$30/N$29)," ")</f>
        <v xml:space="preserve"> </v>
      </c>
      <c r="N17" s="17" t="str">
        <f t="shared" si="1"/>
        <v xml:space="preserve"> </v>
      </c>
      <c r="O17" s="49" t="str">
        <f t="shared" si="2"/>
        <v xml:space="preserve"> </v>
      </c>
      <c r="P17" s="7">
        <f t="shared" si="50"/>
        <v>0</v>
      </c>
      <c r="Q17" s="8" t="str">
        <f>IF(dashboard[[#This Row],[Column3]]=1,($Q$30/$R$29)," ")</f>
        <v xml:space="preserve"> </v>
      </c>
      <c r="R17" s="17" t="str">
        <f t="shared" si="4"/>
        <v xml:space="preserve"> </v>
      </c>
      <c r="S17" s="49" t="str">
        <f>IF(ISERROR(VLOOKUP($A17,'Raw Data'!$A$3:$EA$30,121,0))," ",VLOOKUP($A17,'Raw Data'!$A$3:$EA$30,121,0))</f>
        <v xml:space="preserve"> </v>
      </c>
      <c r="T17" s="7">
        <f t="shared" si="51"/>
        <v>0</v>
      </c>
      <c r="U17" s="8">
        <f t="shared" si="6"/>
        <v>0</v>
      </c>
      <c r="V17" s="17">
        <f t="shared" si="7"/>
        <v>1</v>
      </c>
      <c r="W17" s="49" t="str">
        <f>IFERROR(VLOOKUP($A17,'Raw Data'!$A$3:$EA$30,123,0)^2," ")</f>
        <v xml:space="preserve"> </v>
      </c>
      <c r="X17" s="7">
        <f t="shared" si="52"/>
        <v>0</v>
      </c>
      <c r="Y17" s="8">
        <f t="shared" si="8"/>
        <v>7505.5279320964964</v>
      </c>
      <c r="Z17" s="17">
        <f t="shared" si="9"/>
        <v>1</v>
      </c>
      <c r="AA17" s="219" t="str">
        <f>IF(ISERROR(VLOOKUP($A17,'Raw Data'!$A$3:$EA$30,36,0))," ",VLOOKUP($A17,'Raw Data'!$A$3:$EA$30,36,0))</f>
        <v xml:space="preserve"> </v>
      </c>
      <c r="AB17" s="7">
        <f t="shared" si="53"/>
        <v>0</v>
      </c>
      <c r="AC17" s="8" t="str">
        <f>IF(dashboard[[#This Row],[Column6]]=1,($AC$30/$AD$29)," ")</f>
        <v xml:space="preserve"> </v>
      </c>
      <c r="AD17" s="17" t="str">
        <f t="shared" si="11"/>
        <v xml:space="preserve"> </v>
      </c>
      <c r="AE17" s="49" t="str">
        <f>IF(ISERROR((100/(VLOOKUP($A17,'Raw Data'!$A$3:$X$32,'A1. PICKS'!$I$2,0))))," ",100/(VLOOKUP($A17,'Raw Data'!$A$3:$X$32,'A1. PICKS'!$I$2,0)))</f>
        <v xml:space="preserve"> </v>
      </c>
      <c r="AF17" s="7">
        <f t="shared" si="54"/>
        <v>0</v>
      </c>
      <c r="AG17" s="8" t="str">
        <f>IF(dashboard[[#This Row],[Column7]]=1,($AG$30/$AH$29)," ")</f>
        <v xml:space="preserve"> </v>
      </c>
      <c r="AH17" s="17" t="str">
        <f t="shared" si="13"/>
        <v xml:space="preserve"> </v>
      </c>
      <c r="AI17" s="49" t="str">
        <f>IFERROR(VLOOKUP($A17,'Raw Data'!$A$3:$EA$29,120,0)," ")</f>
        <v xml:space="preserve"> </v>
      </c>
      <c r="AJ17" s="7">
        <f t="shared" si="55"/>
        <v>0</v>
      </c>
      <c r="AK17" s="8">
        <f>IF(dashboard[[#This Row],[Column8]]=1,($AK$30/$AL$29)," ")</f>
        <v>0</v>
      </c>
      <c r="AL17" s="17">
        <f t="shared" si="14"/>
        <v>1</v>
      </c>
      <c r="AM17" s="49" t="str">
        <f>IF(ISERROR(VLOOKUP($A17,'Raw Data'!$A$3:$EA$30,31,0))," ",VLOOKUP($A17,'Raw Data'!$A$3:$EA$30,31,0))</f>
        <v xml:space="preserve"> </v>
      </c>
      <c r="AN17" s="7">
        <f t="shared" si="56"/>
        <v>0</v>
      </c>
      <c r="AO17" s="8" t="str">
        <f>IF(dashboard[[#This Row],[Column9]]=1,($AO$30/$AP$29)," ")</f>
        <v xml:space="preserve"> </v>
      </c>
      <c r="AP17" s="17" t="str">
        <f t="shared" si="16"/>
        <v xml:space="preserve"> </v>
      </c>
      <c r="AQ17" s="49" t="str">
        <f>IF(ISERROR(VLOOKUP($A17,'Raw Data'!$A$3:$EA$30,39,0))," ",VLOOKUP($A17,'Raw Data'!$A$3:$EA$30,39,0))</f>
        <v xml:space="preserve"> </v>
      </c>
      <c r="AR17" s="7">
        <f t="shared" si="57"/>
        <v>0</v>
      </c>
      <c r="AS17" s="8" t="str">
        <f>IF(dashboard[[#This Row],[Column10]]=1,($AS$30/$AT$29)," ")</f>
        <v xml:space="preserve"> </v>
      </c>
      <c r="AT17" s="17" t="str">
        <f t="shared" si="18"/>
        <v xml:space="preserve"> </v>
      </c>
      <c r="AU17" s="49" t="str">
        <f>IFERROR(VLOOKUP($A17,'Raw Data'!$A$3:$EA$30,20,0)," ")</f>
        <v xml:space="preserve"> </v>
      </c>
      <c r="AV17" s="7">
        <f t="shared" si="58"/>
        <v>0</v>
      </c>
      <c r="AW17" s="8" t="str">
        <f>IF(dashboard[[#This Row],[Column11]]=1,($AW$30/$AX$29)," ")</f>
        <v xml:space="preserve"> </v>
      </c>
      <c r="AX17" s="17" t="str">
        <f t="shared" si="20"/>
        <v xml:space="preserve"> </v>
      </c>
      <c r="AY17" s="49" t="str">
        <f>IF(ISERROR(VLOOKUP($A17,'Raw Data'!$A$3:$EA$30,75,0))," ",VLOOKUP($A17,'Raw Data'!$A$3:$EA$30,75,0))</f>
        <v xml:space="preserve"> </v>
      </c>
      <c r="AZ17" s="7">
        <f t="shared" si="59"/>
        <v>0</v>
      </c>
      <c r="BA17" s="8" t="str">
        <f t="shared" si="22"/>
        <v xml:space="preserve"> </v>
      </c>
      <c r="BB17" s="17" t="str">
        <f t="shared" si="60"/>
        <v xml:space="preserve"> </v>
      </c>
      <c r="BC17" s="49" t="str">
        <f>IF(ISERROR(VLOOKUP($A17,'Raw Data'!$A$3:$EA$30,108,0))," ",VLOOKUP($A17,'Raw Data'!$A$3:$EA$30,108,0))</f>
        <v xml:space="preserve"> </v>
      </c>
      <c r="BD17" s="7">
        <f t="shared" si="61"/>
        <v>0</v>
      </c>
      <c r="BE17" s="8" t="str">
        <f t="shared" si="25"/>
        <v xml:space="preserve"> </v>
      </c>
      <c r="BF17" s="17" t="str">
        <f t="shared" si="62"/>
        <v xml:space="preserve"> </v>
      </c>
      <c r="BG17" s="49" t="str">
        <f>IF(ISERROR(VLOOKUP($A17,'Raw Data'!$A$3:$EA$30,48,0))," ",VLOOKUP($A17,'Raw Data'!$A$3:$EA$30,48,0))</f>
        <v xml:space="preserve"> </v>
      </c>
      <c r="BH17" s="7">
        <f t="shared" si="63"/>
        <v>0</v>
      </c>
      <c r="BI17" s="8" t="str">
        <f t="shared" si="28"/>
        <v xml:space="preserve"> </v>
      </c>
      <c r="BJ17" s="17" t="str">
        <f t="shared" si="64"/>
        <v xml:space="preserve"> </v>
      </c>
      <c r="BK17" s="49" t="str">
        <f>IF(ISERROR(VLOOKUP($A17,'Raw Data'!$A$3:$EA$30,39,0))," ",VLOOKUP($A17,'Raw Data'!$A$3:$EA$30,39,0))</f>
        <v xml:space="preserve"> </v>
      </c>
      <c r="BL17" s="7">
        <f t="shared" si="65"/>
        <v>0</v>
      </c>
      <c r="BM17" s="8" t="str">
        <f t="shared" si="30"/>
        <v xml:space="preserve"> </v>
      </c>
      <c r="BN17" s="17" t="str">
        <f t="shared" si="31"/>
        <v xml:space="preserve"> </v>
      </c>
      <c r="BP17" s="8">
        <f t="shared" si="32"/>
        <v>7505.5279320964964</v>
      </c>
      <c r="BR17" s="9">
        <f t="shared" si="33"/>
        <v>7.505527932096496E-3</v>
      </c>
      <c r="BS17" s="10">
        <f t="shared" si="34"/>
        <v>-0.64975969985772108</v>
      </c>
      <c r="BT17" s="61">
        <f t="shared" si="35"/>
        <v>2.1060205177837771E-37</v>
      </c>
      <c r="BU17" s="32" t="str">
        <f t="shared" si="36"/>
        <v xml:space="preserve"> </v>
      </c>
      <c r="BV17" s="29" t="str">
        <f t="shared" si="37"/>
        <v>|||</v>
      </c>
      <c r="BW17" s="34" t="str">
        <f t="shared" si="38"/>
        <v>|||</v>
      </c>
      <c r="BX17" s="46" t="str">
        <f t="shared" si="39"/>
        <v>|||</v>
      </c>
      <c r="BY17" s="220" t="str">
        <f t="shared" si="40"/>
        <v xml:space="preserve"> </v>
      </c>
      <c r="BZ17" s="46" t="str">
        <f t="shared" si="41"/>
        <v>||||||</v>
      </c>
      <c r="CA17" s="229" t="str">
        <f t="shared" si="42"/>
        <v xml:space="preserve"> </v>
      </c>
      <c r="CB17" s="221" t="str">
        <f t="shared" si="43"/>
        <v xml:space="preserve"> </v>
      </c>
      <c r="CC17" s="57">
        <f t="shared" si="66"/>
        <v>0.61906915348118741</v>
      </c>
      <c r="CD17" s="57">
        <f t="shared" si="67"/>
        <v>1.812758291352139</v>
      </c>
      <c r="CE17" s="58">
        <f t="shared" si="68"/>
        <v>1</v>
      </c>
      <c r="CF17" s="58">
        <f t="shared" si="69"/>
        <v>1</v>
      </c>
      <c r="CG17" s="57">
        <f t="shared" si="70"/>
        <v>2</v>
      </c>
      <c r="CH17" s="57">
        <f t="shared" si="71"/>
        <v>9</v>
      </c>
      <c r="CI17" s="57">
        <f t="shared" si="72"/>
        <v>9</v>
      </c>
      <c r="CJ17" s="196">
        <f t="shared" si="73"/>
        <v>9</v>
      </c>
      <c r="CK17" s="57">
        <f t="shared" si="74"/>
        <v>7</v>
      </c>
      <c r="CL17" s="57">
        <f t="shared" si="75"/>
        <v>7</v>
      </c>
      <c r="CM17" s="57">
        <f t="shared" si="76"/>
        <v>9</v>
      </c>
      <c r="CN17" s="57">
        <f t="shared" si="77"/>
        <v>9</v>
      </c>
      <c r="CO17" s="57">
        <f t="shared" si="78"/>
        <v>1</v>
      </c>
      <c r="CP17" s="57">
        <f t="shared" si="79"/>
        <v>1</v>
      </c>
      <c r="CQ17" s="57">
        <f t="shared" si="80"/>
        <v>7</v>
      </c>
      <c r="CR17" s="57">
        <f t="shared" si="81"/>
        <v>6</v>
      </c>
      <c r="CS17" s="57">
        <f t="shared" si="82"/>
        <v>9</v>
      </c>
      <c r="CT17" s="57">
        <f t="shared" si="83"/>
        <v>9</v>
      </c>
      <c r="CU17" s="57" t="str">
        <f>IF(dashboard[[#This Row],[COHENSION]]=" "," ",_xlfn.RANK.AVG(F17,$F$3:$F$26,0))</f>
        <v xml:space="preserve"> </v>
      </c>
      <c r="CV17" s="57">
        <f t="shared" si="84"/>
        <v>3</v>
      </c>
      <c r="CW17" s="57">
        <f t="shared" si="85"/>
        <v>9</v>
      </c>
      <c r="CX17" s="58">
        <f t="shared" si="86"/>
        <v>1</v>
      </c>
      <c r="CY17" s="58">
        <f t="shared" si="87"/>
        <v>1</v>
      </c>
      <c r="CZ17" s="58" t="str">
        <f>IFERROR(VLOOKUP($A17,'cluster'!$A$20:$CI$45,86,0),CU17)</f>
        <v xml:space="preserve"> </v>
      </c>
      <c r="DA17" s="58" t="str">
        <f>IF(ISERROR(VLOOKUP(A17,'Raw Data'!$A$3:$DY$29,129,FALSE))," ",VLOOKUP(A17,'Raw Data'!$A$3:$DY$29,129,FALSE))</f>
        <v xml:space="preserve"> </v>
      </c>
      <c r="DB17" s="58" t="str">
        <f t="shared" si="44"/>
        <v xml:space="preserve"> </v>
      </c>
      <c r="DC17" s="58">
        <f t="shared" si="88"/>
        <v>11.390625</v>
      </c>
      <c r="DD17" s="58">
        <f t="shared" si="89"/>
        <v>1</v>
      </c>
      <c r="DE17" s="58">
        <f t="shared" si="45"/>
        <v>0</v>
      </c>
      <c r="DF17" s="58">
        <f t="shared" si="46"/>
        <v>1</v>
      </c>
      <c r="DG17" s="58" t="str">
        <f t="shared" si="47"/>
        <v xml:space="preserve"> </v>
      </c>
    </row>
    <row r="18" spans="1:111" ht="30" customHeight="1" x14ac:dyDescent="0.55000000000000004">
      <c r="A18" s="21">
        <f>RawData[[#This Row],[Num]]</f>
        <v>0</v>
      </c>
      <c r="B18" s="22" t="str">
        <f>IFERROR(VLOOKUP($A18,'Raw Data'!$A$3:$EA$30,2,0)," ")</f>
        <v xml:space="preserve"> </v>
      </c>
      <c r="C18" s="8" t="str">
        <f>IFERROR(VLOOKUP($A18,'Raw Data'!$A$3:$EA$30,6,0)," ")</f>
        <v xml:space="preserve"> </v>
      </c>
      <c r="D18" s="8" t="str">
        <f>IFERROR(VLOOKUP($A18,'Raw Data'!$A$3:$EA$30,7,0)," ")</f>
        <v xml:space="preserve"> </v>
      </c>
      <c r="E18" s="149" t="str">
        <f>IFERROR(VLOOKUP($A18,'Raw Data'!$A$3:$EA$29,10,0)," ")</f>
        <v xml:space="preserve"> </v>
      </c>
      <c r="F18" s="273" t="str">
        <f>IFERROR(VLOOKUP(dashboard[[#This Row],[BOX]],'Raw Data'!$A$3:$EA$32,130)," ")</f>
        <v xml:space="preserve"> </v>
      </c>
      <c r="G18" s="49" t="str">
        <f>IF(ISERROR(D18/dashboard[[#This Row],[RUNS]])," ",(D18/dashboard[[#This Row],[RUNS]]))</f>
        <v xml:space="preserve"> </v>
      </c>
      <c r="H18" s="7">
        <f>IF(ISERROR(dashboard[[#This Row],[Wins Data]]/$G$29),0,dashboard[[#This Row],[Wins Data]]/$G$29)</f>
        <v>0</v>
      </c>
      <c r="I18" s="8" t="str">
        <f>IF(dashboard[[#This Row],[Column2]]=1,($I$30/J$29)," ")</f>
        <v xml:space="preserve"> </v>
      </c>
      <c r="J18" s="17" t="str">
        <f t="shared" si="0"/>
        <v xml:space="preserve"> </v>
      </c>
      <c r="K18" s="49" t="str">
        <f t="shared" si="48"/>
        <v xml:space="preserve"> </v>
      </c>
      <c r="L18" s="7">
        <f t="shared" si="49"/>
        <v>0</v>
      </c>
      <c r="M18" s="8" t="str">
        <f>IF(dashboard[[#This Row],[Column1]]=1,($M$30/N$29)," ")</f>
        <v xml:space="preserve"> </v>
      </c>
      <c r="N18" s="17" t="str">
        <f t="shared" si="1"/>
        <v xml:space="preserve"> </v>
      </c>
      <c r="O18" s="49" t="str">
        <f t="shared" si="2"/>
        <v xml:space="preserve"> </v>
      </c>
      <c r="P18" s="7">
        <f t="shared" si="50"/>
        <v>0</v>
      </c>
      <c r="Q18" s="8" t="str">
        <f>IF(dashboard[[#This Row],[Column3]]=1,($Q$30/$R$29)," ")</f>
        <v xml:space="preserve"> </v>
      </c>
      <c r="R18" s="17" t="str">
        <f t="shared" si="4"/>
        <v xml:space="preserve"> </v>
      </c>
      <c r="S18" s="49" t="str">
        <f>IF(ISERROR(VLOOKUP($A18,'Raw Data'!$A$3:$EA$30,121,0))," ",VLOOKUP($A18,'Raw Data'!$A$3:$EA$30,121,0))</f>
        <v xml:space="preserve"> </v>
      </c>
      <c r="T18" s="7">
        <f t="shared" si="51"/>
        <v>0</v>
      </c>
      <c r="U18" s="8">
        <f t="shared" si="6"/>
        <v>0</v>
      </c>
      <c r="V18" s="17">
        <f t="shared" si="7"/>
        <v>1</v>
      </c>
      <c r="W18" s="49" t="str">
        <f>IFERROR(VLOOKUP($A18,'Raw Data'!$A$3:$EA$30,123,0)^2," ")</f>
        <v xml:space="preserve"> </v>
      </c>
      <c r="X18" s="7">
        <f t="shared" si="52"/>
        <v>0</v>
      </c>
      <c r="Y18" s="8">
        <f t="shared" si="8"/>
        <v>7505.5279320964964</v>
      </c>
      <c r="Z18" s="17">
        <f t="shared" si="9"/>
        <v>1</v>
      </c>
      <c r="AA18" s="219" t="str">
        <f>IF(ISERROR(VLOOKUP($A18,'Raw Data'!$A$3:$EA$30,36,0))," ",VLOOKUP($A18,'Raw Data'!$A$3:$EA$30,36,0))</f>
        <v xml:space="preserve"> </v>
      </c>
      <c r="AB18" s="7">
        <f t="shared" si="53"/>
        <v>0</v>
      </c>
      <c r="AC18" s="8" t="str">
        <f>IF(dashboard[[#This Row],[Column6]]=1,($AC$30/$AD$29)," ")</f>
        <v xml:space="preserve"> </v>
      </c>
      <c r="AD18" s="17" t="str">
        <f t="shared" si="11"/>
        <v xml:space="preserve"> </v>
      </c>
      <c r="AE18" s="49" t="str">
        <f>IF(ISERROR((100/(VLOOKUP($A18,'Raw Data'!$A$3:$X$32,'A1. PICKS'!$I$2,0))))," ",100/(VLOOKUP($A18,'Raw Data'!$A$3:$X$32,'A1. PICKS'!$I$2,0)))</f>
        <v xml:space="preserve"> </v>
      </c>
      <c r="AF18" s="7">
        <f t="shared" si="54"/>
        <v>0</v>
      </c>
      <c r="AG18" s="8" t="str">
        <f>IF(dashboard[[#This Row],[Column7]]=1,($AG$30/$AH$29)," ")</f>
        <v xml:space="preserve"> </v>
      </c>
      <c r="AH18" s="17" t="str">
        <f t="shared" si="13"/>
        <v xml:space="preserve"> </v>
      </c>
      <c r="AI18" s="49" t="str">
        <f>IFERROR(VLOOKUP($A18,'Raw Data'!$A$3:$EA$29,120,0)," ")</f>
        <v xml:space="preserve"> </v>
      </c>
      <c r="AJ18" s="7">
        <f t="shared" si="55"/>
        <v>0</v>
      </c>
      <c r="AK18" s="8">
        <f>IF(dashboard[[#This Row],[Column8]]=1,($AK$30/$AL$29)," ")</f>
        <v>0</v>
      </c>
      <c r="AL18" s="17">
        <f t="shared" si="14"/>
        <v>1</v>
      </c>
      <c r="AM18" s="49" t="str">
        <f>IF(ISERROR(VLOOKUP($A18,'Raw Data'!$A$3:$EA$30,31,0))," ",VLOOKUP($A18,'Raw Data'!$A$3:$EA$30,31,0))</f>
        <v xml:space="preserve"> </v>
      </c>
      <c r="AN18" s="7">
        <f t="shared" si="56"/>
        <v>0</v>
      </c>
      <c r="AO18" s="8" t="str">
        <f>IF(dashboard[[#This Row],[Column9]]=1,($AO$30/$AP$29)," ")</f>
        <v xml:space="preserve"> </v>
      </c>
      <c r="AP18" s="17" t="str">
        <f t="shared" si="16"/>
        <v xml:space="preserve"> </v>
      </c>
      <c r="AQ18" s="49" t="str">
        <f>IF(ISERROR(VLOOKUP($A18,'Raw Data'!$A$3:$EA$30,39,0))," ",VLOOKUP($A18,'Raw Data'!$A$3:$EA$30,39,0))</f>
        <v xml:space="preserve"> </v>
      </c>
      <c r="AR18" s="7">
        <f t="shared" si="57"/>
        <v>0</v>
      </c>
      <c r="AS18" s="8" t="str">
        <f>IF(dashboard[[#This Row],[Column10]]=1,($AS$30/$AT$29)," ")</f>
        <v xml:space="preserve"> </v>
      </c>
      <c r="AT18" s="17" t="str">
        <f t="shared" si="18"/>
        <v xml:space="preserve"> </v>
      </c>
      <c r="AU18" s="49" t="str">
        <f>IFERROR(VLOOKUP($A18,'Raw Data'!$A$3:$EA$30,20,0)," ")</f>
        <v xml:space="preserve"> </v>
      </c>
      <c r="AV18" s="7">
        <f t="shared" si="58"/>
        <v>0</v>
      </c>
      <c r="AW18" s="8" t="str">
        <f>IF(dashboard[[#This Row],[Column11]]=1,($AW$30/$AX$29)," ")</f>
        <v xml:space="preserve"> </v>
      </c>
      <c r="AX18" s="17" t="str">
        <f t="shared" si="20"/>
        <v xml:space="preserve"> </v>
      </c>
      <c r="AY18" s="49" t="str">
        <f>IF(ISERROR(VLOOKUP($A18,'Raw Data'!$A$3:$EA$30,75,0))," ",VLOOKUP($A18,'Raw Data'!$A$3:$EA$30,75,0))</f>
        <v xml:space="preserve"> </v>
      </c>
      <c r="AZ18" s="7">
        <f t="shared" si="59"/>
        <v>0</v>
      </c>
      <c r="BA18" s="8" t="str">
        <f t="shared" si="22"/>
        <v xml:space="preserve"> </v>
      </c>
      <c r="BB18" s="17" t="str">
        <f t="shared" si="60"/>
        <v xml:space="preserve"> </v>
      </c>
      <c r="BC18" s="49" t="str">
        <f>IF(ISERROR(VLOOKUP($A18,'Raw Data'!$A$3:$EA$30,108,0))," ",VLOOKUP($A18,'Raw Data'!$A$3:$EA$30,108,0))</f>
        <v xml:space="preserve"> </v>
      </c>
      <c r="BD18" s="7">
        <f t="shared" si="61"/>
        <v>0</v>
      </c>
      <c r="BE18" s="8" t="str">
        <f t="shared" si="25"/>
        <v xml:space="preserve"> </v>
      </c>
      <c r="BF18" s="17" t="str">
        <f t="shared" si="62"/>
        <v xml:space="preserve"> </v>
      </c>
      <c r="BG18" s="49" t="str">
        <f>IF(ISERROR(VLOOKUP($A18,'Raw Data'!$A$3:$EA$30,48,0))," ",VLOOKUP($A18,'Raw Data'!$A$3:$EA$30,48,0))</f>
        <v xml:space="preserve"> </v>
      </c>
      <c r="BH18" s="7">
        <f t="shared" si="63"/>
        <v>0</v>
      </c>
      <c r="BI18" s="8" t="str">
        <f t="shared" si="28"/>
        <v xml:space="preserve"> </v>
      </c>
      <c r="BJ18" s="17" t="str">
        <f t="shared" si="64"/>
        <v xml:space="preserve"> </v>
      </c>
      <c r="BK18" s="49" t="str">
        <f>IF(ISERROR(VLOOKUP($A18,'Raw Data'!$A$3:$EA$30,39,0))," ",VLOOKUP($A18,'Raw Data'!$A$3:$EA$30,39,0))</f>
        <v xml:space="preserve"> </v>
      </c>
      <c r="BL18" s="7">
        <f t="shared" si="65"/>
        <v>0</v>
      </c>
      <c r="BM18" s="8" t="str">
        <f t="shared" si="30"/>
        <v xml:space="preserve"> </v>
      </c>
      <c r="BN18" s="17" t="str">
        <f t="shared" si="31"/>
        <v xml:space="preserve"> </v>
      </c>
      <c r="BP18" s="8">
        <f t="shared" si="32"/>
        <v>7505.5279320964964</v>
      </c>
      <c r="BR18" s="9">
        <f t="shared" si="33"/>
        <v>7.505527932096496E-3</v>
      </c>
      <c r="BS18" s="10">
        <f t="shared" si="34"/>
        <v>-0.64975969985772108</v>
      </c>
      <c r="BT18" s="61">
        <f t="shared" si="35"/>
        <v>2.1060205177837771E-37</v>
      </c>
      <c r="BU18" s="32" t="str">
        <f t="shared" si="36"/>
        <v xml:space="preserve"> </v>
      </c>
      <c r="BV18" s="29" t="str">
        <f t="shared" si="37"/>
        <v>|||</v>
      </c>
      <c r="BW18" s="34" t="str">
        <f t="shared" si="38"/>
        <v>|||</v>
      </c>
      <c r="BX18" s="46" t="str">
        <f t="shared" si="39"/>
        <v>|||</v>
      </c>
      <c r="BY18" s="220" t="str">
        <f t="shared" si="40"/>
        <v xml:space="preserve"> </v>
      </c>
      <c r="BZ18" s="46" t="str">
        <f t="shared" si="41"/>
        <v>||||||</v>
      </c>
      <c r="CA18" s="229" t="str">
        <f t="shared" si="42"/>
        <v xml:space="preserve"> </v>
      </c>
      <c r="CB18" s="221" t="str">
        <f t="shared" si="43"/>
        <v xml:space="preserve"> </v>
      </c>
      <c r="CC18" s="57">
        <f t="shared" si="66"/>
        <v>0.61906915348118741</v>
      </c>
      <c r="CD18" s="57">
        <f t="shared" si="67"/>
        <v>1.812758291352139</v>
      </c>
      <c r="CE18" s="58">
        <f t="shared" si="68"/>
        <v>1</v>
      </c>
      <c r="CF18" s="58">
        <f t="shared" si="69"/>
        <v>1</v>
      </c>
      <c r="CG18" s="57">
        <f t="shared" si="70"/>
        <v>2</v>
      </c>
      <c r="CH18" s="57">
        <f t="shared" si="71"/>
        <v>9</v>
      </c>
      <c r="CI18" s="57">
        <f t="shared" si="72"/>
        <v>9</v>
      </c>
      <c r="CJ18" s="196">
        <f t="shared" si="73"/>
        <v>9</v>
      </c>
      <c r="CK18" s="57">
        <f t="shared" si="74"/>
        <v>7</v>
      </c>
      <c r="CL18" s="57">
        <f t="shared" si="75"/>
        <v>7</v>
      </c>
      <c r="CM18" s="57">
        <f t="shared" si="76"/>
        <v>9</v>
      </c>
      <c r="CN18" s="57">
        <f t="shared" si="77"/>
        <v>9</v>
      </c>
      <c r="CO18" s="57">
        <f t="shared" si="78"/>
        <v>1</v>
      </c>
      <c r="CP18" s="57">
        <f t="shared" si="79"/>
        <v>1</v>
      </c>
      <c r="CQ18" s="57">
        <f t="shared" si="80"/>
        <v>7</v>
      </c>
      <c r="CR18" s="57">
        <f t="shared" si="81"/>
        <v>6</v>
      </c>
      <c r="CS18" s="57">
        <f t="shared" si="82"/>
        <v>9</v>
      </c>
      <c r="CT18" s="57">
        <f t="shared" si="83"/>
        <v>9</v>
      </c>
      <c r="CU18" s="57" t="str">
        <f>IF(dashboard[[#This Row],[COHENSION]]=" "," ",_xlfn.RANK.AVG(F18,$F$3:$F$26,0))</f>
        <v xml:space="preserve"> </v>
      </c>
      <c r="CV18" s="57">
        <f t="shared" si="84"/>
        <v>3</v>
      </c>
      <c r="CW18" s="57">
        <f t="shared" si="85"/>
        <v>9</v>
      </c>
      <c r="CX18" s="58">
        <f t="shared" si="86"/>
        <v>1</v>
      </c>
      <c r="CY18" s="58">
        <f t="shared" si="87"/>
        <v>1</v>
      </c>
      <c r="CZ18" s="58" t="str">
        <f>IFERROR(VLOOKUP($A18,'cluster'!$A$20:$CI$45,86,0),CU18)</f>
        <v xml:space="preserve"> </v>
      </c>
      <c r="DA18" s="58" t="str">
        <f>IF(ISERROR(VLOOKUP(A18,'Raw Data'!$A$3:$DY$29,129,FALSE))," ",VLOOKUP(A18,'Raw Data'!$A$3:$DY$29,129,FALSE))</f>
        <v xml:space="preserve"> </v>
      </c>
      <c r="DB18" s="58" t="str">
        <f t="shared" si="44"/>
        <v xml:space="preserve"> </v>
      </c>
      <c r="DC18" s="58">
        <f t="shared" si="88"/>
        <v>11.390625</v>
      </c>
      <c r="DD18" s="58">
        <f t="shared" si="89"/>
        <v>1</v>
      </c>
      <c r="DE18" s="58">
        <f t="shared" si="45"/>
        <v>0</v>
      </c>
      <c r="DF18" s="58">
        <f t="shared" si="46"/>
        <v>1</v>
      </c>
      <c r="DG18" s="58" t="str">
        <f t="shared" si="47"/>
        <v xml:space="preserve"> </v>
      </c>
    </row>
    <row r="19" spans="1:111" ht="30" customHeight="1" x14ac:dyDescent="0.55000000000000004">
      <c r="A19" s="21">
        <f>RawData[[#This Row],[Num]]</f>
        <v>0</v>
      </c>
      <c r="B19" s="22" t="str">
        <f>IFERROR(VLOOKUP($A19,'Raw Data'!$A$3:$EA$30,2,0)," ")</f>
        <v xml:space="preserve"> </v>
      </c>
      <c r="C19" s="8" t="str">
        <f>IFERROR(VLOOKUP($A19,'Raw Data'!$A$3:$EA$30,6,0)," ")</f>
        <v xml:space="preserve"> </v>
      </c>
      <c r="D19" s="8" t="str">
        <f>IFERROR(VLOOKUP($A19,'Raw Data'!$A$3:$EA$30,7,0)," ")</f>
        <v xml:space="preserve"> </v>
      </c>
      <c r="E19" s="149" t="str">
        <f>IFERROR(VLOOKUP($A19,'Raw Data'!$A$3:$EA$29,10,0)," ")</f>
        <v xml:space="preserve"> </v>
      </c>
      <c r="F19" s="273" t="str">
        <f>IFERROR(VLOOKUP(dashboard[[#This Row],[BOX]],'Raw Data'!$A$3:$EA$32,130)," ")</f>
        <v xml:space="preserve"> </v>
      </c>
      <c r="G19" s="49" t="str">
        <f>IF(ISERROR(D19/dashboard[[#This Row],[RUNS]])," ",(D19/dashboard[[#This Row],[RUNS]]))</f>
        <v xml:space="preserve"> </v>
      </c>
      <c r="H19" s="7">
        <f>IF(ISERROR(dashboard[[#This Row],[Wins Data]]/$G$29),0,dashboard[[#This Row],[Wins Data]]/$G$29)</f>
        <v>0</v>
      </c>
      <c r="I19" s="8" t="str">
        <f>IF(dashboard[[#This Row],[Column2]]=1,($I$30/J$29)," ")</f>
        <v xml:space="preserve"> </v>
      </c>
      <c r="J19" s="17" t="str">
        <f t="shared" si="0"/>
        <v xml:space="preserve"> </v>
      </c>
      <c r="K19" s="49" t="str">
        <f t="shared" si="48"/>
        <v xml:space="preserve"> </v>
      </c>
      <c r="L19" s="7">
        <f t="shared" si="49"/>
        <v>0</v>
      </c>
      <c r="M19" s="8" t="str">
        <f>IF(dashboard[[#This Row],[Column1]]=1,($M$30/N$29)," ")</f>
        <v xml:space="preserve"> </v>
      </c>
      <c r="N19" s="17" t="str">
        <f t="shared" si="1"/>
        <v xml:space="preserve"> </v>
      </c>
      <c r="O19" s="49" t="str">
        <f t="shared" si="2"/>
        <v xml:space="preserve"> </v>
      </c>
      <c r="P19" s="7">
        <f t="shared" si="50"/>
        <v>0</v>
      </c>
      <c r="Q19" s="8" t="str">
        <f>IF(dashboard[[#This Row],[Column3]]=1,($Q$30/$R$29)," ")</f>
        <v xml:space="preserve"> </v>
      </c>
      <c r="R19" s="17" t="str">
        <f t="shared" si="4"/>
        <v xml:space="preserve"> </v>
      </c>
      <c r="S19" s="49" t="str">
        <f>IF(ISERROR(VLOOKUP($A19,'Raw Data'!$A$3:$EA$30,121,0))," ",VLOOKUP($A19,'Raw Data'!$A$3:$EA$30,121,0))</f>
        <v xml:space="preserve"> </v>
      </c>
      <c r="T19" s="7">
        <f t="shared" si="51"/>
        <v>0</v>
      </c>
      <c r="U19" s="8">
        <f t="shared" si="6"/>
        <v>0</v>
      </c>
      <c r="V19" s="17">
        <f t="shared" si="7"/>
        <v>1</v>
      </c>
      <c r="W19" s="49" t="str">
        <f>IFERROR(VLOOKUP($A19,'Raw Data'!$A$3:$EA$30,123,0)^2," ")</f>
        <v xml:space="preserve"> </v>
      </c>
      <c r="X19" s="7">
        <f t="shared" si="52"/>
        <v>0</v>
      </c>
      <c r="Y19" s="8">
        <f t="shared" si="8"/>
        <v>7505.5279320964964</v>
      </c>
      <c r="Z19" s="17">
        <f t="shared" si="9"/>
        <v>1</v>
      </c>
      <c r="AA19" s="219" t="str">
        <f>IF(ISERROR(VLOOKUP($A19,'Raw Data'!$A$3:$EA$30,36,0))," ",VLOOKUP($A19,'Raw Data'!$A$3:$EA$30,36,0))</f>
        <v xml:space="preserve"> </v>
      </c>
      <c r="AB19" s="7">
        <f t="shared" si="53"/>
        <v>0</v>
      </c>
      <c r="AC19" s="8" t="str">
        <f>IF(dashboard[[#This Row],[Column6]]=1,($AC$30/$AD$29)," ")</f>
        <v xml:space="preserve"> </v>
      </c>
      <c r="AD19" s="17" t="str">
        <f t="shared" si="11"/>
        <v xml:space="preserve"> </v>
      </c>
      <c r="AE19" s="49" t="str">
        <f>IF(ISERROR((100/(VLOOKUP($A19,'Raw Data'!$A$3:$X$32,'A1. PICKS'!$I$2,0))))," ",100/(VLOOKUP($A19,'Raw Data'!$A$3:$X$32,'A1. PICKS'!$I$2,0)))</f>
        <v xml:space="preserve"> </v>
      </c>
      <c r="AF19" s="7">
        <f t="shared" si="54"/>
        <v>0</v>
      </c>
      <c r="AG19" s="8" t="str">
        <f>IF(dashboard[[#This Row],[Column7]]=1,($AG$30/$AH$29)," ")</f>
        <v xml:space="preserve"> </v>
      </c>
      <c r="AH19" s="17" t="str">
        <f t="shared" si="13"/>
        <v xml:space="preserve"> </v>
      </c>
      <c r="AI19" s="49" t="str">
        <f>IFERROR(VLOOKUP($A19,'Raw Data'!$A$3:$EA$29,120,0)," ")</f>
        <v xml:space="preserve"> </v>
      </c>
      <c r="AJ19" s="7">
        <f t="shared" si="55"/>
        <v>0</v>
      </c>
      <c r="AK19" s="8">
        <f>IF(dashboard[[#This Row],[Column8]]=1,($AK$30/$AL$29)," ")</f>
        <v>0</v>
      </c>
      <c r="AL19" s="17">
        <f t="shared" si="14"/>
        <v>1</v>
      </c>
      <c r="AM19" s="49" t="str">
        <f>IF(ISERROR(VLOOKUP($A19,'Raw Data'!$A$3:$EA$30,31,0))," ",VLOOKUP($A19,'Raw Data'!$A$3:$EA$30,31,0))</f>
        <v xml:space="preserve"> </v>
      </c>
      <c r="AN19" s="7">
        <f t="shared" si="56"/>
        <v>0</v>
      </c>
      <c r="AO19" s="8" t="str">
        <f>IF(dashboard[[#This Row],[Column9]]=1,($AO$30/$AP$29)," ")</f>
        <v xml:space="preserve"> </v>
      </c>
      <c r="AP19" s="17" t="str">
        <f t="shared" si="16"/>
        <v xml:space="preserve"> </v>
      </c>
      <c r="AQ19" s="49" t="str">
        <f>IF(ISERROR(VLOOKUP($A19,'Raw Data'!$A$3:$EA$30,39,0))," ",VLOOKUP($A19,'Raw Data'!$A$3:$EA$30,39,0))</f>
        <v xml:space="preserve"> </v>
      </c>
      <c r="AR19" s="7">
        <f t="shared" si="57"/>
        <v>0</v>
      </c>
      <c r="AS19" s="8" t="str">
        <f>IF(dashboard[[#This Row],[Column10]]=1,($AS$30/$AT$29)," ")</f>
        <v xml:space="preserve"> </v>
      </c>
      <c r="AT19" s="17" t="str">
        <f t="shared" si="18"/>
        <v xml:space="preserve"> </v>
      </c>
      <c r="AU19" s="49" t="str">
        <f>IFERROR(VLOOKUP($A19,'Raw Data'!$A$3:$EA$30,20,0)," ")</f>
        <v xml:space="preserve"> </v>
      </c>
      <c r="AV19" s="7">
        <f t="shared" si="58"/>
        <v>0</v>
      </c>
      <c r="AW19" s="8" t="str">
        <f>IF(dashboard[[#This Row],[Column11]]=1,($AW$30/$AX$29)," ")</f>
        <v xml:space="preserve"> </v>
      </c>
      <c r="AX19" s="17" t="str">
        <f t="shared" si="20"/>
        <v xml:space="preserve"> </v>
      </c>
      <c r="AY19" s="49" t="str">
        <f>IF(ISERROR(VLOOKUP($A19,'Raw Data'!$A$3:$EA$30,75,0))," ",VLOOKUP($A19,'Raw Data'!$A$3:$EA$30,75,0))</f>
        <v xml:space="preserve"> </v>
      </c>
      <c r="AZ19" s="7">
        <f t="shared" si="59"/>
        <v>0</v>
      </c>
      <c r="BA19" s="8" t="str">
        <f t="shared" si="22"/>
        <v xml:space="preserve"> </v>
      </c>
      <c r="BB19" s="17" t="str">
        <f t="shared" si="60"/>
        <v xml:space="preserve"> </v>
      </c>
      <c r="BC19" s="49" t="str">
        <f>IF(ISERROR(VLOOKUP($A19,'Raw Data'!$A$3:$EA$30,108,0))," ",VLOOKUP($A19,'Raw Data'!$A$3:$EA$30,108,0))</f>
        <v xml:space="preserve"> </v>
      </c>
      <c r="BD19" s="7">
        <f t="shared" si="61"/>
        <v>0</v>
      </c>
      <c r="BE19" s="8" t="str">
        <f t="shared" si="25"/>
        <v xml:space="preserve"> </v>
      </c>
      <c r="BF19" s="17" t="str">
        <f t="shared" si="62"/>
        <v xml:space="preserve"> </v>
      </c>
      <c r="BG19" s="49" t="str">
        <f>IF(ISERROR(VLOOKUP($A19,'Raw Data'!$A$3:$EA$30,48,0))," ",VLOOKUP($A19,'Raw Data'!$A$3:$EA$30,48,0))</f>
        <v xml:space="preserve"> </v>
      </c>
      <c r="BH19" s="7">
        <f t="shared" si="63"/>
        <v>0</v>
      </c>
      <c r="BI19" s="8" t="str">
        <f t="shared" si="28"/>
        <v xml:space="preserve"> </v>
      </c>
      <c r="BJ19" s="17" t="str">
        <f t="shared" si="64"/>
        <v xml:space="preserve"> </v>
      </c>
      <c r="BK19" s="49" t="str">
        <f>IF(ISERROR(VLOOKUP($A19,'Raw Data'!$A$3:$EA$30,39,0))," ",VLOOKUP($A19,'Raw Data'!$A$3:$EA$30,39,0))</f>
        <v xml:space="preserve"> </v>
      </c>
      <c r="BL19" s="7">
        <f t="shared" si="65"/>
        <v>0</v>
      </c>
      <c r="BM19" s="8" t="str">
        <f t="shared" si="30"/>
        <v xml:space="preserve"> </v>
      </c>
      <c r="BN19" s="17" t="str">
        <f t="shared" si="31"/>
        <v xml:space="preserve"> </v>
      </c>
      <c r="BP19" s="8">
        <f t="shared" si="32"/>
        <v>7505.5279320964964</v>
      </c>
      <c r="BR19" s="9">
        <f t="shared" si="33"/>
        <v>7.505527932096496E-3</v>
      </c>
      <c r="BS19" s="10">
        <f t="shared" si="34"/>
        <v>-0.64975969985772108</v>
      </c>
      <c r="BT19" s="61">
        <f t="shared" si="35"/>
        <v>2.1060205177837771E-37</v>
      </c>
      <c r="BU19" s="32" t="str">
        <f t="shared" si="36"/>
        <v xml:space="preserve"> </v>
      </c>
      <c r="BV19" s="29" t="str">
        <f t="shared" si="37"/>
        <v>|||</v>
      </c>
      <c r="BW19" s="34" t="str">
        <f t="shared" si="38"/>
        <v>|||</v>
      </c>
      <c r="BX19" s="46" t="str">
        <f t="shared" si="39"/>
        <v>|||</v>
      </c>
      <c r="BY19" s="220" t="str">
        <f t="shared" si="40"/>
        <v xml:space="preserve"> </v>
      </c>
      <c r="BZ19" s="46" t="str">
        <f t="shared" si="41"/>
        <v>||||||</v>
      </c>
      <c r="CA19" s="229" t="str">
        <f t="shared" si="42"/>
        <v xml:space="preserve"> </v>
      </c>
      <c r="CB19" s="221" t="str">
        <f t="shared" si="43"/>
        <v xml:space="preserve"> </v>
      </c>
      <c r="CC19" s="57">
        <f t="shared" si="66"/>
        <v>0.61906915348118741</v>
      </c>
      <c r="CD19" s="57">
        <f t="shared" si="67"/>
        <v>1.812758291352139</v>
      </c>
      <c r="CE19" s="58">
        <f t="shared" si="68"/>
        <v>1</v>
      </c>
      <c r="CF19" s="58">
        <f t="shared" si="69"/>
        <v>1</v>
      </c>
      <c r="CG19" s="57">
        <f t="shared" si="70"/>
        <v>2</v>
      </c>
      <c r="CH19" s="57">
        <f t="shared" si="71"/>
        <v>9</v>
      </c>
      <c r="CI19" s="57">
        <f t="shared" si="72"/>
        <v>9</v>
      </c>
      <c r="CJ19" s="196">
        <f t="shared" si="73"/>
        <v>9</v>
      </c>
      <c r="CK19" s="57">
        <f t="shared" si="74"/>
        <v>7</v>
      </c>
      <c r="CL19" s="57">
        <f t="shared" si="75"/>
        <v>7</v>
      </c>
      <c r="CM19" s="57">
        <f t="shared" si="76"/>
        <v>9</v>
      </c>
      <c r="CN19" s="57">
        <f t="shared" si="77"/>
        <v>9</v>
      </c>
      <c r="CO19" s="57">
        <f t="shared" si="78"/>
        <v>1</v>
      </c>
      <c r="CP19" s="57">
        <f t="shared" si="79"/>
        <v>1</v>
      </c>
      <c r="CQ19" s="57">
        <f t="shared" si="80"/>
        <v>7</v>
      </c>
      <c r="CR19" s="57">
        <f t="shared" si="81"/>
        <v>6</v>
      </c>
      <c r="CS19" s="57">
        <f t="shared" si="82"/>
        <v>9</v>
      </c>
      <c r="CT19" s="57">
        <f t="shared" si="83"/>
        <v>9</v>
      </c>
      <c r="CU19" s="57" t="str">
        <f>IF(dashboard[[#This Row],[COHENSION]]=" "," ",_xlfn.RANK.AVG(F19,$F$3:$F$26,0))</f>
        <v xml:space="preserve"> </v>
      </c>
      <c r="CV19" s="57">
        <f t="shared" si="84"/>
        <v>3</v>
      </c>
      <c r="CW19" s="57">
        <f t="shared" si="85"/>
        <v>9</v>
      </c>
      <c r="CX19" s="58">
        <f t="shared" si="86"/>
        <v>1</v>
      </c>
      <c r="CY19" s="58">
        <f t="shared" si="87"/>
        <v>1</v>
      </c>
      <c r="CZ19" s="58" t="str">
        <f>IFERROR(VLOOKUP($A19,'cluster'!$A$20:$CI$45,86,0),CU19)</f>
        <v xml:space="preserve"> </v>
      </c>
      <c r="DA19" s="58" t="str">
        <f>IF(ISERROR(VLOOKUP(A19,'Raw Data'!$A$3:$DY$29,129,FALSE))," ",VLOOKUP(A19,'Raw Data'!$A$3:$DY$29,129,FALSE))</f>
        <v xml:space="preserve"> </v>
      </c>
      <c r="DB19" s="58" t="str">
        <f t="shared" si="44"/>
        <v xml:space="preserve"> </v>
      </c>
      <c r="DC19" s="58">
        <f t="shared" si="88"/>
        <v>11.390625</v>
      </c>
      <c r="DD19" s="58">
        <f t="shared" si="89"/>
        <v>1</v>
      </c>
      <c r="DE19" s="58">
        <f t="shared" si="45"/>
        <v>0</v>
      </c>
      <c r="DF19" s="58">
        <f t="shared" si="46"/>
        <v>1</v>
      </c>
      <c r="DG19" s="58" t="str">
        <f t="shared" si="47"/>
        <v xml:space="preserve"> </v>
      </c>
    </row>
    <row r="20" spans="1:111" ht="30" customHeight="1" x14ac:dyDescent="0.55000000000000004">
      <c r="A20" s="21">
        <f>RawData[[#This Row],[Num]]</f>
        <v>0</v>
      </c>
      <c r="B20" s="22" t="str">
        <f>IFERROR(VLOOKUP($A20,'Raw Data'!$A$3:$EA$30,2,0)," ")</f>
        <v xml:space="preserve"> </v>
      </c>
      <c r="C20" s="8" t="str">
        <f>IFERROR(VLOOKUP($A20,'Raw Data'!$A$3:$EA$30,6,0)," ")</f>
        <v xml:space="preserve"> </v>
      </c>
      <c r="D20" s="8" t="str">
        <f>IFERROR(VLOOKUP($A20,'Raw Data'!$A$3:$EA$30,7,0)," ")</f>
        <v xml:space="preserve"> </v>
      </c>
      <c r="E20" s="149" t="str">
        <f>IFERROR(VLOOKUP($A20,'Raw Data'!$A$3:$EA$29,10,0)," ")</f>
        <v xml:space="preserve"> </v>
      </c>
      <c r="F20" s="273" t="str">
        <f>IFERROR(VLOOKUP(dashboard[[#This Row],[BOX]],'Raw Data'!$A$3:$EA$32,130)," ")</f>
        <v xml:space="preserve"> </v>
      </c>
      <c r="G20" s="49" t="str">
        <f>IF(ISERROR(D20/dashboard[[#This Row],[RUNS]])," ",(D20/dashboard[[#This Row],[RUNS]]))</f>
        <v xml:space="preserve"> </v>
      </c>
      <c r="H20" s="7">
        <f>IF(ISERROR(dashboard[[#This Row],[Wins Data]]/$G$29),0,dashboard[[#This Row],[Wins Data]]/$G$29)</f>
        <v>0</v>
      </c>
      <c r="I20" s="8" t="str">
        <f>IF(dashboard[[#This Row],[Column2]]=1,($I$30/J$29)," ")</f>
        <v xml:space="preserve"> </v>
      </c>
      <c r="J20" s="17" t="str">
        <f t="shared" si="0"/>
        <v xml:space="preserve"> </v>
      </c>
      <c r="K20" s="49" t="str">
        <f t="shared" si="48"/>
        <v xml:space="preserve"> </v>
      </c>
      <c r="L20" s="7">
        <f t="shared" si="49"/>
        <v>0</v>
      </c>
      <c r="M20" s="8" t="str">
        <f>IF(dashboard[[#This Row],[Column1]]=1,($M$30/N$29)," ")</f>
        <v xml:space="preserve"> </v>
      </c>
      <c r="N20" s="17" t="str">
        <f t="shared" si="1"/>
        <v xml:space="preserve"> </v>
      </c>
      <c r="O20" s="49" t="str">
        <f t="shared" si="2"/>
        <v xml:space="preserve"> </v>
      </c>
      <c r="P20" s="7">
        <f t="shared" si="50"/>
        <v>0</v>
      </c>
      <c r="Q20" s="8" t="str">
        <f>IF(dashboard[[#This Row],[Column3]]=1,($Q$30/$R$29)," ")</f>
        <v xml:space="preserve"> </v>
      </c>
      <c r="R20" s="17" t="str">
        <f t="shared" si="4"/>
        <v xml:space="preserve"> </v>
      </c>
      <c r="S20" s="49" t="str">
        <f>IF(ISERROR(VLOOKUP($A20,'Raw Data'!$A$3:$EA$30,121,0))," ",VLOOKUP($A20,'Raw Data'!$A$3:$EA$30,121,0))</f>
        <v xml:space="preserve"> </v>
      </c>
      <c r="T20" s="7">
        <f t="shared" si="51"/>
        <v>0</v>
      </c>
      <c r="U20" s="8">
        <f t="shared" si="6"/>
        <v>0</v>
      </c>
      <c r="V20" s="17">
        <f t="shared" si="7"/>
        <v>1</v>
      </c>
      <c r="W20" s="49" t="str">
        <f>IFERROR(VLOOKUP($A20,'Raw Data'!$A$3:$EA$30,123,0)^2," ")</f>
        <v xml:space="preserve"> </v>
      </c>
      <c r="X20" s="7">
        <f t="shared" si="52"/>
        <v>0</v>
      </c>
      <c r="Y20" s="8">
        <f t="shared" si="8"/>
        <v>7505.5279320964964</v>
      </c>
      <c r="Z20" s="17">
        <f t="shared" si="9"/>
        <v>1</v>
      </c>
      <c r="AA20" s="219" t="str">
        <f>IF(ISERROR(VLOOKUP($A20,'Raw Data'!$A$3:$EA$30,36,0))," ",VLOOKUP($A20,'Raw Data'!$A$3:$EA$30,36,0))</f>
        <v xml:space="preserve"> </v>
      </c>
      <c r="AB20" s="7">
        <f t="shared" si="53"/>
        <v>0</v>
      </c>
      <c r="AC20" s="8" t="str">
        <f>IF(dashboard[[#This Row],[Column6]]=1,($AC$30/$AD$29)," ")</f>
        <v xml:space="preserve"> </v>
      </c>
      <c r="AD20" s="17" t="str">
        <f t="shared" si="11"/>
        <v xml:space="preserve"> </v>
      </c>
      <c r="AE20" s="49" t="str">
        <f>IF(ISERROR((100/(VLOOKUP($A20,'Raw Data'!$A$3:$X$32,'A1. PICKS'!$I$2,0))))," ",100/(VLOOKUP($A20,'Raw Data'!$A$3:$X$32,'A1. PICKS'!$I$2,0)))</f>
        <v xml:space="preserve"> </v>
      </c>
      <c r="AF20" s="7">
        <f t="shared" si="54"/>
        <v>0</v>
      </c>
      <c r="AG20" s="8" t="str">
        <f>IF(dashboard[[#This Row],[Column7]]=1,($AG$30/$AH$29)," ")</f>
        <v xml:space="preserve"> </v>
      </c>
      <c r="AH20" s="17" t="str">
        <f t="shared" si="13"/>
        <v xml:space="preserve"> </v>
      </c>
      <c r="AI20" s="49" t="str">
        <f>IFERROR(VLOOKUP($A20,'Raw Data'!$A$3:$EA$29,120,0)," ")</f>
        <v xml:space="preserve"> </v>
      </c>
      <c r="AJ20" s="7">
        <f t="shared" si="55"/>
        <v>0</v>
      </c>
      <c r="AK20" s="8">
        <f>IF(dashboard[[#This Row],[Column8]]=1,($AK$30/$AL$29)," ")</f>
        <v>0</v>
      </c>
      <c r="AL20" s="17">
        <f t="shared" si="14"/>
        <v>1</v>
      </c>
      <c r="AM20" s="49" t="str">
        <f>IF(ISERROR(VLOOKUP($A20,'Raw Data'!$A$3:$EA$30,31,0))," ",VLOOKUP($A20,'Raw Data'!$A$3:$EA$30,31,0))</f>
        <v xml:space="preserve"> </v>
      </c>
      <c r="AN20" s="7">
        <f t="shared" si="56"/>
        <v>0</v>
      </c>
      <c r="AO20" s="8" t="str">
        <f>IF(dashboard[[#This Row],[Column9]]=1,($AO$30/$AP$29)," ")</f>
        <v xml:space="preserve"> </v>
      </c>
      <c r="AP20" s="17" t="str">
        <f t="shared" si="16"/>
        <v xml:space="preserve"> </v>
      </c>
      <c r="AQ20" s="49" t="str">
        <f>IF(ISERROR(VLOOKUP($A20,'Raw Data'!$A$3:$EA$30,39,0))," ",VLOOKUP($A20,'Raw Data'!$A$3:$EA$30,39,0))</f>
        <v xml:space="preserve"> </v>
      </c>
      <c r="AR20" s="7">
        <f t="shared" si="57"/>
        <v>0</v>
      </c>
      <c r="AS20" s="8" t="str">
        <f>IF(dashboard[[#This Row],[Column10]]=1,($AS$30/$AT$29)," ")</f>
        <v xml:space="preserve"> </v>
      </c>
      <c r="AT20" s="17" t="str">
        <f t="shared" si="18"/>
        <v xml:space="preserve"> </v>
      </c>
      <c r="AU20" s="49" t="str">
        <f>IFERROR(VLOOKUP($A20,'Raw Data'!$A$3:$EA$30,20,0)," ")</f>
        <v xml:space="preserve"> </v>
      </c>
      <c r="AV20" s="7">
        <f t="shared" si="58"/>
        <v>0</v>
      </c>
      <c r="AW20" s="8" t="str">
        <f>IF(dashboard[[#This Row],[Column11]]=1,($AW$30/$AX$29)," ")</f>
        <v xml:space="preserve"> </v>
      </c>
      <c r="AX20" s="17" t="str">
        <f t="shared" si="20"/>
        <v xml:space="preserve"> </v>
      </c>
      <c r="AY20" s="49" t="str">
        <f>IF(ISERROR(VLOOKUP($A20,'Raw Data'!$A$3:$EA$30,75,0))," ",VLOOKUP($A20,'Raw Data'!$A$3:$EA$30,75,0))</f>
        <v xml:space="preserve"> </v>
      </c>
      <c r="AZ20" s="7">
        <f t="shared" si="59"/>
        <v>0</v>
      </c>
      <c r="BA20" s="8" t="str">
        <f t="shared" si="22"/>
        <v xml:space="preserve"> </v>
      </c>
      <c r="BB20" s="17" t="str">
        <f t="shared" si="60"/>
        <v xml:space="preserve"> </v>
      </c>
      <c r="BC20" s="49" t="str">
        <f>IF(ISERROR(VLOOKUP($A20,'Raw Data'!$A$3:$EA$30,108,0))," ",VLOOKUP($A20,'Raw Data'!$A$3:$EA$30,108,0))</f>
        <v xml:space="preserve"> </v>
      </c>
      <c r="BD20" s="7">
        <f t="shared" si="61"/>
        <v>0</v>
      </c>
      <c r="BE20" s="8" t="str">
        <f t="shared" si="25"/>
        <v xml:space="preserve"> </v>
      </c>
      <c r="BF20" s="17" t="str">
        <f t="shared" si="62"/>
        <v xml:space="preserve"> </v>
      </c>
      <c r="BG20" s="49" t="str">
        <f>IF(ISERROR(VLOOKUP($A20,'Raw Data'!$A$3:$EA$30,48,0))," ",VLOOKUP($A20,'Raw Data'!$A$3:$EA$30,48,0))</f>
        <v xml:space="preserve"> </v>
      </c>
      <c r="BH20" s="7">
        <f t="shared" si="63"/>
        <v>0</v>
      </c>
      <c r="BI20" s="8" t="str">
        <f t="shared" si="28"/>
        <v xml:space="preserve"> </v>
      </c>
      <c r="BJ20" s="17" t="str">
        <f t="shared" si="64"/>
        <v xml:space="preserve"> </v>
      </c>
      <c r="BK20" s="49" t="str">
        <f>IF(ISERROR(VLOOKUP($A20,'Raw Data'!$A$3:$EA$30,39,0))," ",VLOOKUP($A20,'Raw Data'!$A$3:$EA$30,39,0))</f>
        <v xml:space="preserve"> </v>
      </c>
      <c r="BL20" s="7">
        <f t="shared" si="65"/>
        <v>0</v>
      </c>
      <c r="BM20" s="8" t="str">
        <f t="shared" si="30"/>
        <v xml:space="preserve"> </v>
      </c>
      <c r="BN20" s="17" t="str">
        <f t="shared" si="31"/>
        <v xml:space="preserve"> </v>
      </c>
      <c r="BP20" s="8">
        <f t="shared" si="32"/>
        <v>7505.5279320964964</v>
      </c>
      <c r="BR20" s="9">
        <f t="shared" si="33"/>
        <v>7.505527932096496E-3</v>
      </c>
      <c r="BS20" s="10">
        <f t="shared" si="34"/>
        <v>-0.64975969985772108</v>
      </c>
      <c r="BT20" s="61">
        <f t="shared" si="35"/>
        <v>2.1060205177837771E-37</v>
      </c>
      <c r="BU20" s="32" t="str">
        <f t="shared" si="36"/>
        <v xml:space="preserve"> </v>
      </c>
      <c r="BV20" s="29" t="str">
        <f t="shared" si="37"/>
        <v>|||</v>
      </c>
      <c r="BW20" s="34" t="str">
        <f t="shared" si="38"/>
        <v>|||</v>
      </c>
      <c r="BX20" s="46" t="str">
        <f t="shared" si="39"/>
        <v>|||</v>
      </c>
      <c r="BY20" s="220" t="str">
        <f t="shared" si="40"/>
        <v xml:space="preserve"> </v>
      </c>
      <c r="BZ20" s="46" t="str">
        <f t="shared" si="41"/>
        <v>||||||</v>
      </c>
      <c r="CA20" s="229" t="str">
        <f t="shared" si="42"/>
        <v xml:space="preserve"> </v>
      </c>
      <c r="CB20" s="221" t="str">
        <f t="shared" si="43"/>
        <v xml:space="preserve"> </v>
      </c>
      <c r="CC20" s="57">
        <f t="shared" si="66"/>
        <v>0.61906915348118741</v>
      </c>
      <c r="CD20" s="57">
        <f t="shared" si="67"/>
        <v>1.812758291352139</v>
      </c>
      <c r="CE20" s="58">
        <f t="shared" si="68"/>
        <v>1</v>
      </c>
      <c r="CF20" s="58">
        <f t="shared" si="69"/>
        <v>1</v>
      </c>
      <c r="CG20" s="57">
        <f t="shared" si="70"/>
        <v>2</v>
      </c>
      <c r="CH20" s="57">
        <f t="shared" si="71"/>
        <v>9</v>
      </c>
      <c r="CI20" s="57">
        <f t="shared" si="72"/>
        <v>9</v>
      </c>
      <c r="CJ20" s="196">
        <f t="shared" si="73"/>
        <v>9</v>
      </c>
      <c r="CK20" s="57">
        <f t="shared" si="74"/>
        <v>7</v>
      </c>
      <c r="CL20" s="57">
        <f t="shared" si="75"/>
        <v>7</v>
      </c>
      <c r="CM20" s="57">
        <f t="shared" si="76"/>
        <v>9</v>
      </c>
      <c r="CN20" s="57">
        <f t="shared" si="77"/>
        <v>9</v>
      </c>
      <c r="CO20" s="57">
        <f t="shared" si="78"/>
        <v>1</v>
      </c>
      <c r="CP20" s="57">
        <f t="shared" si="79"/>
        <v>1</v>
      </c>
      <c r="CQ20" s="57">
        <f t="shared" si="80"/>
        <v>7</v>
      </c>
      <c r="CR20" s="57">
        <f t="shared" si="81"/>
        <v>6</v>
      </c>
      <c r="CS20" s="57">
        <f t="shared" si="82"/>
        <v>9</v>
      </c>
      <c r="CT20" s="57">
        <f t="shared" si="83"/>
        <v>9</v>
      </c>
      <c r="CU20" s="57" t="str">
        <f>IF(dashboard[[#This Row],[COHENSION]]=" "," ",_xlfn.RANK.AVG(F20,$F$3:$F$26,0))</f>
        <v xml:space="preserve"> </v>
      </c>
      <c r="CV20" s="57">
        <f t="shared" si="84"/>
        <v>3</v>
      </c>
      <c r="CW20" s="57">
        <f t="shared" si="85"/>
        <v>9</v>
      </c>
      <c r="CX20" s="58">
        <f t="shared" si="86"/>
        <v>1</v>
      </c>
      <c r="CY20" s="58">
        <f t="shared" si="87"/>
        <v>1</v>
      </c>
      <c r="CZ20" s="58" t="str">
        <f>IFERROR(VLOOKUP($A20,'cluster'!$A$20:$CI$45,86,0),CU20)</f>
        <v xml:space="preserve"> </v>
      </c>
      <c r="DA20" s="58" t="str">
        <f>IF(ISERROR(VLOOKUP(A20,'Raw Data'!$A$3:$DY$29,129,FALSE))," ",VLOOKUP(A20,'Raw Data'!$A$3:$DY$29,129,FALSE))</f>
        <v xml:space="preserve"> </v>
      </c>
      <c r="DB20" s="58" t="str">
        <f t="shared" si="44"/>
        <v xml:space="preserve"> </v>
      </c>
      <c r="DC20" s="58">
        <f t="shared" si="88"/>
        <v>11.390625</v>
      </c>
      <c r="DD20" s="58">
        <f t="shared" si="89"/>
        <v>1</v>
      </c>
      <c r="DE20" s="58">
        <f t="shared" si="45"/>
        <v>0</v>
      </c>
      <c r="DF20" s="58">
        <f t="shared" si="46"/>
        <v>1</v>
      </c>
      <c r="DG20" s="58" t="str">
        <f t="shared" si="47"/>
        <v xml:space="preserve"> </v>
      </c>
    </row>
    <row r="21" spans="1:111" ht="30" customHeight="1" x14ac:dyDescent="0.55000000000000004">
      <c r="A21" s="21">
        <f>RawData[[#This Row],[Num]]</f>
        <v>0</v>
      </c>
      <c r="B21" s="22" t="str">
        <f>IFERROR(VLOOKUP($A21,'Raw Data'!$A$3:$EA$30,2,0)," ")</f>
        <v xml:space="preserve"> </v>
      </c>
      <c r="C21" s="8" t="str">
        <f>IFERROR(VLOOKUP($A21,'Raw Data'!$A$3:$EA$30,6,0)," ")</f>
        <v xml:space="preserve"> </v>
      </c>
      <c r="D21" s="8" t="str">
        <f>IFERROR(VLOOKUP($A21,'Raw Data'!$A$3:$EA$30,7,0)," ")</f>
        <v xml:space="preserve"> </v>
      </c>
      <c r="E21" s="149" t="str">
        <f>IFERROR(VLOOKUP($A21,'Raw Data'!$A$3:$EA$29,10,0)," ")</f>
        <v xml:space="preserve"> </v>
      </c>
      <c r="F21" s="273" t="str">
        <f>IFERROR(VLOOKUP(dashboard[[#This Row],[BOX]],'Raw Data'!$A$3:$EA$32,130)," ")</f>
        <v xml:space="preserve"> </v>
      </c>
      <c r="G21" s="49" t="str">
        <f>IF(ISERROR(D21/dashboard[[#This Row],[RUNS]])," ",(D21/dashboard[[#This Row],[RUNS]]))</f>
        <v xml:space="preserve"> </v>
      </c>
      <c r="H21" s="7">
        <f>IF(ISERROR(dashboard[[#This Row],[Wins Data]]/$G$29),0,dashboard[[#This Row],[Wins Data]]/$G$29)</f>
        <v>0</v>
      </c>
      <c r="I21" s="8" t="str">
        <f>IF(dashboard[[#This Row],[Column2]]=1,($I$30/J$29)," ")</f>
        <v xml:space="preserve"> </v>
      </c>
      <c r="J21" s="17" t="str">
        <f t="shared" si="0"/>
        <v xml:space="preserve"> </v>
      </c>
      <c r="K21" s="49" t="str">
        <f t="shared" si="48"/>
        <v xml:space="preserve"> </v>
      </c>
      <c r="L21" s="7">
        <f t="shared" si="49"/>
        <v>0</v>
      </c>
      <c r="M21" s="8" t="str">
        <f>IF(dashboard[[#This Row],[Column1]]=1,($M$30/N$29)," ")</f>
        <v xml:space="preserve"> </v>
      </c>
      <c r="N21" s="17" t="str">
        <f t="shared" si="1"/>
        <v xml:space="preserve"> </v>
      </c>
      <c r="O21" s="49" t="str">
        <f t="shared" si="2"/>
        <v xml:space="preserve"> </v>
      </c>
      <c r="P21" s="7">
        <f t="shared" si="50"/>
        <v>0</v>
      </c>
      <c r="Q21" s="8" t="str">
        <f>IF(dashboard[[#This Row],[Column3]]=1,($Q$30/$R$29)," ")</f>
        <v xml:space="preserve"> </v>
      </c>
      <c r="R21" s="17" t="str">
        <f t="shared" si="4"/>
        <v xml:space="preserve"> </v>
      </c>
      <c r="S21" s="49" t="str">
        <f>IF(ISERROR(VLOOKUP($A21,'Raw Data'!$A$3:$EA$30,121,0))," ",VLOOKUP($A21,'Raw Data'!$A$3:$EA$30,121,0))</f>
        <v xml:space="preserve"> </v>
      </c>
      <c r="T21" s="7">
        <f t="shared" si="51"/>
        <v>0</v>
      </c>
      <c r="U21" s="8">
        <f t="shared" si="6"/>
        <v>0</v>
      </c>
      <c r="V21" s="17">
        <f t="shared" si="7"/>
        <v>1</v>
      </c>
      <c r="W21" s="49" t="str">
        <f>IFERROR(VLOOKUP($A21,'Raw Data'!$A$3:$EA$30,123,0)^2," ")</f>
        <v xml:space="preserve"> </v>
      </c>
      <c r="X21" s="7">
        <f t="shared" si="52"/>
        <v>0</v>
      </c>
      <c r="Y21" s="8">
        <f t="shared" si="8"/>
        <v>7505.5279320964964</v>
      </c>
      <c r="Z21" s="17">
        <f t="shared" si="9"/>
        <v>1</v>
      </c>
      <c r="AA21" s="219" t="str">
        <f>IF(ISERROR(VLOOKUP($A21,'Raw Data'!$A$3:$EA$30,36,0))," ",VLOOKUP($A21,'Raw Data'!$A$3:$EA$30,36,0))</f>
        <v xml:space="preserve"> </v>
      </c>
      <c r="AB21" s="7">
        <f t="shared" si="53"/>
        <v>0</v>
      </c>
      <c r="AC21" s="8" t="str">
        <f>IF(dashboard[[#This Row],[Column6]]=1,($AC$30/$AD$29)," ")</f>
        <v xml:space="preserve"> </v>
      </c>
      <c r="AD21" s="17" t="str">
        <f t="shared" si="11"/>
        <v xml:space="preserve"> </v>
      </c>
      <c r="AE21" s="49" t="str">
        <f>IF(ISERROR((100/(VLOOKUP($A21,'Raw Data'!$A$3:$X$32,'A1. PICKS'!$I$2,0))))," ",100/(VLOOKUP($A21,'Raw Data'!$A$3:$X$32,'A1. PICKS'!$I$2,0)))</f>
        <v xml:space="preserve"> </v>
      </c>
      <c r="AF21" s="7">
        <f t="shared" si="54"/>
        <v>0</v>
      </c>
      <c r="AG21" s="8" t="str">
        <f>IF(dashboard[[#This Row],[Column7]]=1,($AG$30/$AH$29)," ")</f>
        <v xml:space="preserve"> </v>
      </c>
      <c r="AH21" s="17" t="str">
        <f t="shared" si="13"/>
        <v xml:space="preserve"> </v>
      </c>
      <c r="AI21" s="49" t="str">
        <f>IFERROR(VLOOKUP($A21,'Raw Data'!$A$3:$EA$29,120,0)," ")</f>
        <v xml:space="preserve"> </v>
      </c>
      <c r="AJ21" s="7">
        <f t="shared" si="55"/>
        <v>0</v>
      </c>
      <c r="AK21" s="8">
        <f>IF(dashboard[[#This Row],[Column8]]=1,($AK$30/$AL$29)," ")</f>
        <v>0</v>
      </c>
      <c r="AL21" s="17">
        <f t="shared" si="14"/>
        <v>1</v>
      </c>
      <c r="AM21" s="49" t="str">
        <f>IF(ISERROR(VLOOKUP($A21,'Raw Data'!$A$3:$EA$30,31,0))," ",VLOOKUP($A21,'Raw Data'!$A$3:$EA$30,31,0))</f>
        <v xml:space="preserve"> </v>
      </c>
      <c r="AN21" s="7">
        <f t="shared" si="56"/>
        <v>0</v>
      </c>
      <c r="AO21" s="8" t="str">
        <f>IF(dashboard[[#This Row],[Column9]]=1,($AO$30/$AP$29)," ")</f>
        <v xml:space="preserve"> </v>
      </c>
      <c r="AP21" s="17" t="str">
        <f t="shared" si="16"/>
        <v xml:space="preserve"> </v>
      </c>
      <c r="AQ21" s="49" t="str">
        <f>IF(ISERROR(VLOOKUP($A21,'Raw Data'!$A$3:$EA$30,39,0))," ",VLOOKUP($A21,'Raw Data'!$A$3:$EA$30,39,0))</f>
        <v xml:space="preserve"> </v>
      </c>
      <c r="AR21" s="7">
        <f t="shared" si="57"/>
        <v>0</v>
      </c>
      <c r="AS21" s="8" t="str">
        <f>IF(dashboard[[#This Row],[Column10]]=1,($AS$30/$AT$29)," ")</f>
        <v xml:space="preserve"> </v>
      </c>
      <c r="AT21" s="17" t="str">
        <f t="shared" si="18"/>
        <v xml:space="preserve"> </v>
      </c>
      <c r="AU21" s="49" t="str">
        <f>IFERROR(VLOOKUP($A21,'Raw Data'!$A$3:$EA$30,20,0)," ")</f>
        <v xml:space="preserve"> </v>
      </c>
      <c r="AV21" s="7">
        <f t="shared" si="58"/>
        <v>0</v>
      </c>
      <c r="AW21" s="8" t="str">
        <f>IF(dashboard[[#This Row],[Column11]]=1,($AW$30/$AX$29)," ")</f>
        <v xml:space="preserve"> </v>
      </c>
      <c r="AX21" s="17" t="str">
        <f t="shared" si="20"/>
        <v xml:space="preserve"> </v>
      </c>
      <c r="AY21" s="49" t="str">
        <f>IF(ISERROR(VLOOKUP($A21,'Raw Data'!$A$3:$EA$30,75,0))," ",VLOOKUP($A21,'Raw Data'!$A$3:$EA$30,75,0))</f>
        <v xml:space="preserve"> </v>
      </c>
      <c r="AZ21" s="7">
        <f t="shared" si="59"/>
        <v>0</v>
      </c>
      <c r="BA21" s="8" t="str">
        <f t="shared" si="22"/>
        <v xml:space="preserve"> </v>
      </c>
      <c r="BB21" s="17" t="str">
        <f t="shared" si="60"/>
        <v xml:space="preserve"> </v>
      </c>
      <c r="BC21" s="49" t="str">
        <f>IF(ISERROR(VLOOKUP($A21,'Raw Data'!$A$3:$EA$30,108,0))," ",VLOOKUP($A21,'Raw Data'!$A$3:$EA$30,108,0))</f>
        <v xml:space="preserve"> </v>
      </c>
      <c r="BD21" s="7">
        <f t="shared" si="61"/>
        <v>0</v>
      </c>
      <c r="BE21" s="8" t="str">
        <f t="shared" si="25"/>
        <v xml:space="preserve"> </v>
      </c>
      <c r="BF21" s="17" t="str">
        <f t="shared" si="62"/>
        <v xml:space="preserve"> </v>
      </c>
      <c r="BG21" s="49" t="str">
        <f>IF(ISERROR(VLOOKUP($A21,'Raw Data'!$A$3:$EA$30,48,0))," ",VLOOKUP($A21,'Raw Data'!$A$3:$EA$30,48,0))</f>
        <v xml:space="preserve"> </v>
      </c>
      <c r="BH21" s="7">
        <f t="shared" si="63"/>
        <v>0</v>
      </c>
      <c r="BI21" s="8" t="str">
        <f t="shared" si="28"/>
        <v xml:space="preserve"> </v>
      </c>
      <c r="BJ21" s="17" t="str">
        <f t="shared" si="64"/>
        <v xml:space="preserve"> </v>
      </c>
      <c r="BK21" s="49" t="str">
        <f>IF(ISERROR(VLOOKUP($A21,'Raw Data'!$A$3:$EA$30,39,0))," ",VLOOKUP($A21,'Raw Data'!$A$3:$EA$30,39,0))</f>
        <v xml:space="preserve"> </v>
      </c>
      <c r="BL21" s="7">
        <f t="shared" si="65"/>
        <v>0</v>
      </c>
      <c r="BM21" s="8" t="str">
        <f t="shared" si="30"/>
        <v xml:space="preserve"> </v>
      </c>
      <c r="BN21" s="17" t="str">
        <f t="shared" si="31"/>
        <v xml:space="preserve"> </v>
      </c>
      <c r="BP21" s="8">
        <f t="shared" si="32"/>
        <v>7505.5279320964964</v>
      </c>
      <c r="BR21" s="9">
        <f t="shared" si="33"/>
        <v>7.505527932096496E-3</v>
      </c>
      <c r="BS21" s="10">
        <f t="shared" si="34"/>
        <v>-0.64975969985772108</v>
      </c>
      <c r="BT21" s="61">
        <f t="shared" si="35"/>
        <v>2.1060205177837771E-37</v>
      </c>
      <c r="BU21" s="32" t="str">
        <f t="shared" si="36"/>
        <v xml:space="preserve"> </v>
      </c>
      <c r="BV21" s="29" t="str">
        <f t="shared" si="37"/>
        <v>|||</v>
      </c>
      <c r="BW21" s="34" t="str">
        <f t="shared" si="38"/>
        <v>|||</v>
      </c>
      <c r="BX21" s="46" t="str">
        <f t="shared" si="39"/>
        <v>|||</v>
      </c>
      <c r="BY21" s="220" t="str">
        <f t="shared" si="40"/>
        <v xml:space="preserve"> </v>
      </c>
      <c r="BZ21" s="46" t="str">
        <f t="shared" si="41"/>
        <v>||||||</v>
      </c>
      <c r="CA21" s="229" t="str">
        <f t="shared" si="42"/>
        <v xml:space="preserve"> </v>
      </c>
      <c r="CB21" s="221" t="str">
        <f t="shared" si="43"/>
        <v xml:space="preserve"> </v>
      </c>
      <c r="CC21" s="57">
        <f t="shared" si="66"/>
        <v>0.61906915348118741</v>
      </c>
      <c r="CD21" s="57">
        <f t="shared" si="67"/>
        <v>1.812758291352139</v>
      </c>
      <c r="CE21" s="58">
        <f t="shared" si="68"/>
        <v>1</v>
      </c>
      <c r="CF21" s="58">
        <f t="shared" si="69"/>
        <v>1</v>
      </c>
      <c r="CG21" s="57">
        <f t="shared" si="70"/>
        <v>2</v>
      </c>
      <c r="CH21" s="57">
        <f t="shared" si="71"/>
        <v>9</v>
      </c>
      <c r="CI21" s="57">
        <f t="shared" si="72"/>
        <v>9</v>
      </c>
      <c r="CJ21" s="196">
        <f t="shared" si="73"/>
        <v>9</v>
      </c>
      <c r="CK21" s="57">
        <f t="shared" si="74"/>
        <v>7</v>
      </c>
      <c r="CL21" s="57">
        <f t="shared" si="75"/>
        <v>7</v>
      </c>
      <c r="CM21" s="57">
        <f t="shared" si="76"/>
        <v>9</v>
      </c>
      <c r="CN21" s="57">
        <f t="shared" si="77"/>
        <v>9</v>
      </c>
      <c r="CO21" s="57">
        <f t="shared" si="78"/>
        <v>1</v>
      </c>
      <c r="CP21" s="57">
        <f t="shared" si="79"/>
        <v>1</v>
      </c>
      <c r="CQ21" s="57">
        <f t="shared" si="80"/>
        <v>7</v>
      </c>
      <c r="CR21" s="57">
        <f t="shared" si="81"/>
        <v>6</v>
      </c>
      <c r="CS21" s="57">
        <f t="shared" si="82"/>
        <v>9</v>
      </c>
      <c r="CT21" s="57">
        <f t="shared" si="83"/>
        <v>9</v>
      </c>
      <c r="CU21" s="57" t="str">
        <f>IF(dashboard[[#This Row],[COHENSION]]=" "," ",_xlfn.RANK.AVG(F21,$F$3:$F$26,0))</f>
        <v xml:space="preserve"> </v>
      </c>
      <c r="CV21" s="57">
        <f t="shared" si="84"/>
        <v>3</v>
      </c>
      <c r="CW21" s="57">
        <f t="shared" si="85"/>
        <v>9</v>
      </c>
      <c r="CX21" s="58">
        <f t="shared" si="86"/>
        <v>1</v>
      </c>
      <c r="CY21" s="58">
        <f t="shared" si="87"/>
        <v>1</v>
      </c>
      <c r="CZ21" s="58" t="str">
        <f>IFERROR(VLOOKUP($A21,'cluster'!$A$20:$CI$45,86,0),CU21)</f>
        <v xml:space="preserve"> </v>
      </c>
      <c r="DA21" s="58" t="str">
        <f>IF(ISERROR(VLOOKUP(A21,'Raw Data'!$A$3:$DY$29,129,FALSE))," ",VLOOKUP(A21,'Raw Data'!$A$3:$DY$29,129,FALSE))</f>
        <v xml:space="preserve"> </v>
      </c>
      <c r="DB21" s="58" t="str">
        <f t="shared" si="44"/>
        <v xml:space="preserve"> </v>
      </c>
      <c r="DC21" s="58">
        <f t="shared" si="88"/>
        <v>11.390625</v>
      </c>
      <c r="DD21" s="58">
        <f t="shared" si="89"/>
        <v>1</v>
      </c>
      <c r="DE21" s="58">
        <f t="shared" si="45"/>
        <v>0</v>
      </c>
      <c r="DF21" s="58">
        <f t="shared" si="46"/>
        <v>1</v>
      </c>
      <c r="DG21" s="58" t="str">
        <f t="shared" si="47"/>
        <v xml:space="preserve"> </v>
      </c>
    </row>
    <row r="22" spans="1:111" ht="30" customHeight="1" x14ac:dyDescent="0.55000000000000004">
      <c r="A22" s="21">
        <f>RawData[[#This Row],[Num]]</f>
        <v>0</v>
      </c>
      <c r="B22" s="22" t="str">
        <f>IFERROR(VLOOKUP($A22,'Raw Data'!$A$3:$EA$30,2,0)," ")</f>
        <v xml:space="preserve"> </v>
      </c>
      <c r="C22" s="8" t="str">
        <f>IFERROR(VLOOKUP($A22,'Raw Data'!$A$3:$EA$30,6,0)," ")</f>
        <v xml:space="preserve"> </v>
      </c>
      <c r="D22" s="8" t="str">
        <f>IFERROR(VLOOKUP($A22,'Raw Data'!$A$3:$EA$30,7,0)," ")</f>
        <v xml:space="preserve"> </v>
      </c>
      <c r="E22" s="149" t="str">
        <f>IFERROR(VLOOKUP($A22,'Raw Data'!$A$3:$EA$29,10,0)," ")</f>
        <v xml:space="preserve"> </v>
      </c>
      <c r="F22" s="273" t="str">
        <f>IFERROR(VLOOKUP(dashboard[[#This Row],[BOX]],'Raw Data'!$A$3:$EA$32,130)," ")</f>
        <v xml:space="preserve"> </v>
      </c>
      <c r="G22" s="49" t="str">
        <f>IF(ISERROR(D22/dashboard[[#This Row],[RUNS]])," ",(D22/dashboard[[#This Row],[RUNS]]))</f>
        <v xml:space="preserve"> </v>
      </c>
      <c r="H22" s="7">
        <f>IF(ISERROR(dashboard[[#This Row],[Wins Data]]/$G$29),0,dashboard[[#This Row],[Wins Data]]/$G$29)</f>
        <v>0</v>
      </c>
      <c r="I22" s="8" t="str">
        <f>IF(dashboard[[#This Row],[Column2]]=1,($I$30/J$29)," ")</f>
        <v xml:space="preserve"> </v>
      </c>
      <c r="J22" s="17" t="str">
        <f t="shared" si="0"/>
        <v xml:space="preserve"> </v>
      </c>
      <c r="K22" s="49" t="str">
        <f t="shared" si="48"/>
        <v xml:space="preserve"> </v>
      </c>
      <c r="L22" s="7">
        <f t="shared" si="49"/>
        <v>0</v>
      </c>
      <c r="M22" s="8" t="str">
        <f>IF(dashboard[[#This Row],[Column1]]=1,($M$30/N$29)," ")</f>
        <v xml:space="preserve"> </v>
      </c>
      <c r="N22" s="17" t="str">
        <f t="shared" si="1"/>
        <v xml:space="preserve"> </v>
      </c>
      <c r="O22" s="49" t="str">
        <f t="shared" si="2"/>
        <v xml:space="preserve"> </v>
      </c>
      <c r="P22" s="7">
        <f t="shared" si="50"/>
        <v>0</v>
      </c>
      <c r="Q22" s="8" t="str">
        <f>IF(dashboard[[#This Row],[Column3]]=1,($Q$30/$R$29)," ")</f>
        <v xml:space="preserve"> </v>
      </c>
      <c r="R22" s="17" t="str">
        <f t="shared" si="4"/>
        <v xml:space="preserve"> </v>
      </c>
      <c r="S22" s="49" t="str">
        <f>IF(ISERROR(VLOOKUP($A22,'Raw Data'!$A$3:$EA$30,121,0))," ",VLOOKUP($A22,'Raw Data'!$A$3:$EA$30,121,0))</f>
        <v xml:space="preserve"> </v>
      </c>
      <c r="T22" s="7">
        <f t="shared" si="51"/>
        <v>0</v>
      </c>
      <c r="U22" s="8">
        <f t="shared" si="6"/>
        <v>0</v>
      </c>
      <c r="V22" s="17">
        <f t="shared" si="7"/>
        <v>1</v>
      </c>
      <c r="W22" s="49" t="str">
        <f>IFERROR(VLOOKUP($A22,'Raw Data'!$A$3:$EA$30,123,0)^2," ")</f>
        <v xml:space="preserve"> </v>
      </c>
      <c r="X22" s="7">
        <f t="shared" si="52"/>
        <v>0</v>
      </c>
      <c r="Y22" s="8">
        <f t="shared" si="8"/>
        <v>7505.5279320964964</v>
      </c>
      <c r="Z22" s="17">
        <f t="shared" si="9"/>
        <v>1</v>
      </c>
      <c r="AA22" s="219" t="str">
        <f>IF(ISERROR(VLOOKUP($A22,'Raw Data'!$A$3:$EA$30,36,0))," ",VLOOKUP($A22,'Raw Data'!$A$3:$EA$30,36,0))</f>
        <v xml:space="preserve"> </v>
      </c>
      <c r="AB22" s="7">
        <f t="shared" si="53"/>
        <v>0</v>
      </c>
      <c r="AC22" s="8" t="str">
        <f>IF(dashboard[[#This Row],[Column6]]=1,($AC$30/$AD$29)," ")</f>
        <v xml:space="preserve"> </v>
      </c>
      <c r="AD22" s="17" t="str">
        <f t="shared" si="11"/>
        <v xml:space="preserve"> </v>
      </c>
      <c r="AE22" s="49" t="str">
        <f>IF(ISERROR((100/(VLOOKUP($A22,'Raw Data'!$A$3:$X$32,'A1. PICKS'!$I$2,0))))," ",100/(VLOOKUP($A22,'Raw Data'!$A$3:$X$32,'A1. PICKS'!$I$2,0)))</f>
        <v xml:space="preserve"> </v>
      </c>
      <c r="AF22" s="7">
        <f t="shared" si="54"/>
        <v>0</v>
      </c>
      <c r="AG22" s="8" t="str">
        <f>IF(dashboard[[#This Row],[Column7]]=1,($AG$30/$AH$29)," ")</f>
        <v xml:space="preserve"> </v>
      </c>
      <c r="AH22" s="17" t="str">
        <f t="shared" si="13"/>
        <v xml:space="preserve"> </v>
      </c>
      <c r="AI22" s="49" t="str">
        <f>IFERROR(VLOOKUP($A22,'Raw Data'!$A$3:$EA$29,120,0)," ")</f>
        <v xml:space="preserve"> </v>
      </c>
      <c r="AJ22" s="7">
        <f t="shared" si="55"/>
        <v>0</v>
      </c>
      <c r="AK22" s="8">
        <f>IF(dashboard[[#This Row],[Column8]]=1,($AK$30/$AL$29)," ")</f>
        <v>0</v>
      </c>
      <c r="AL22" s="17">
        <f t="shared" si="14"/>
        <v>1</v>
      </c>
      <c r="AM22" s="49" t="str">
        <f>IF(ISERROR(VLOOKUP($A22,'Raw Data'!$A$3:$EA$30,31,0))," ",VLOOKUP($A22,'Raw Data'!$A$3:$EA$30,31,0))</f>
        <v xml:space="preserve"> </v>
      </c>
      <c r="AN22" s="7">
        <f t="shared" si="56"/>
        <v>0</v>
      </c>
      <c r="AO22" s="8" t="str">
        <f>IF(dashboard[[#This Row],[Column9]]=1,($AO$30/$AP$29)," ")</f>
        <v xml:space="preserve"> </v>
      </c>
      <c r="AP22" s="17" t="str">
        <f t="shared" si="16"/>
        <v xml:space="preserve"> </v>
      </c>
      <c r="AQ22" s="49" t="str">
        <f>IF(ISERROR(VLOOKUP($A22,'Raw Data'!$A$3:$EA$30,39,0))," ",VLOOKUP($A22,'Raw Data'!$A$3:$EA$30,39,0))</f>
        <v xml:space="preserve"> </v>
      </c>
      <c r="AR22" s="7">
        <f t="shared" si="57"/>
        <v>0</v>
      </c>
      <c r="AS22" s="8" t="str">
        <f>IF(dashboard[[#This Row],[Column10]]=1,($AS$30/$AT$29)," ")</f>
        <v xml:space="preserve"> </v>
      </c>
      <c r="AT22" s="17" t="str">
        <f t="shared" si="18"/>
        <v xml:space="preserve"> </v>
      </c>
      <c r="AU22" s="49" t="str">
        <f>IFERROR(VLOOKUP($A22,'Raw Data'!$A$3:$EA$30,20,0)," ")</f>
        <v xml:space="preserve"> </v>
      </c>
      <c r="AV22" s="7">
        <f t="shared" si="58"/>
        <v>0</v>
      </c>
      <c r="AW22" s="8" t="str">
        <f>IF(dashboard[[#This Row],[Column11]]=1,($AW$30/$AX$29)," ")</f>
        <v xml:space="preserve"> </v>
      </c>
      <c r="AX22" s="17" t="str">
        <f t="shared" si="20"/>
        <v xml:space="preserve"> </v>
      </c>
      <c r="AY22" s="49" t="str">
        <f>IF(ISERROR(VLOOKUP($A22,'Raw Data'!$A$3:$EA$30,75,0))," ",VLOOKUP($A22,'Raw Data'!$A$3:$EA$30,75,0))</f>
        <v xml:space="preserve"> </v>
      </c>
      <c r="AZ22" s="7">
        <f t="shared" si="59"/>
        <v>0</v>
      </c>
      <c r="BA22" s="8" t="str">
        <f t="shared" si="22"/>
        <v xml:space="preserve"> </v>
      </c>
      <c r="BB22" s="17" t="str">
        <f t="shared" si="60"/>
        <v xml:space="preserve"> </v>
      </c>
      <c r="BC22" s="49" t="str">
        <f>IF(ISERROR(VLOOKUP($A22,'Raw Data'!$A$3:$EA$30,108,0))," ",VLOOKUP($A22,'Raw Data'!$A$3:$EA$30,108,0))</f>
        <v xml:space="preserve"> </v>
      </c>
      <c r="BD22" s="7">
        <f t="shared" si="61"/>
        <v>0</v>
      </c>
      <c r="BE22" s="8" t="str">
        <f t="shared" si="25"/>
        <v xml:space="preserve"> </v>
      </c>
      <c r="BF22" s="17" t="str">
        <f t="shared" si="62"/>
        <v xml:space="preserve"> </v>
      </c>
      <c r="BG22" s="49" t="str">
        <f>IF(ISERROR(VLOOKUP($A22,'Raw Data'!$A$3:$EA$30,48,0))," ",VLOOKUP($A22,'Raw Data'!$A$3:$EA$30,48,0))</f>
        <v xml:space="preserve"> </v>
      </c>
      <c r="BH22" s="7">
        <f t="shared" si="63"/>
        <v>0</v>
      </c>
      <c r="BI22" s="8" t="str">
        <f t="shared" si="28"/>
        <v xml:space="preserve"> </v>
      </c>
      <c r="BJ22" s="17" t="str">
        <f t="shared" si="64"/>
        <v xml:space="preserve"> </v>
      </c>
      <c r="BK22" s="49" t="str">
        <f>IF(ISERROR(VLOOKUP($A22,'Raw Data'!$A$3:$EA$30,39,0))," ",VLOOKUP($A22,'Raw Data'!$A$3:$EA$30,39,0))</f>
        <v xml:space="preserve"> </v>
      </c>
      <c r="BL22" s="7">
        <f t="shared" si="65"/>
        <v>0</v>
      </c>
      <c r="BM22" s="8" t="str">
        <f t="shared" si="30"/>
        <v xml:space="preserve"> </v>
      </c>
      <c r="BN22" s="17" t="str">
        <f t="shared" si="31"/>
        <v xml:space="preserve"> </v>
      </c>
      <c r="BP22" s="8">
        <f t="shared" si="32"/>
        <v>7505.5279320964964</v>
      </c>
      <c r="BR22" s="9">
        <f t="shared" si="33"/>
        <v>7.505527932096496E-3</v>
      </c>
      <c r="BS22" s="10">
        <f t="shared" si="34"/>
        <v>-0.64975969985772108</v>
      </c>
      <c r="BT22" s="61">
        <f t="shared" si="35"/>
        <v>2.1060205177837771E-37</v>
      </c>
      <c r="BU22" s="32" t="str">
        <f t="shared" si="36"/>
        <v xml:space="preserve"> </v>
      </c>
      <c r="BV22" s="29" t="str">
        <f t="shared" si="37"/>
        <v>|||</v>
      </c>
      <c r="BW22" s="34" t="str">
        <f t="shared" si="38"/>
        <v>|||</v>
      </c>
      <c r="BX22" s="46" t="str">
        <f t="shared" si="39"/>
        <v>|||</v>
      </c>
      <c r="BY22" s="220" t="str">
        <f t="shared" si="40"/>
        <v xml:space="preserve"> </v>
      </c>
      <c r="BZ22" s="46" t="str">
        <f t="shared" si="41"/>
        <v>||||||</v>
      </c>
      <c r="CA22" s="229" t="str">
        <f t="shared" si="42"/>
        <v xml:space="preserve"> </v>
      </c>
      <c r="CB22" s="221" t="str">
        <f t="shared" si="43"/>
        <v xml:space="preserve"> </v>
      </c>
      <c r="CC22" s="57">
        <f t="shared" si="66"/>
        <v>0.61906915348118741</v>
      </c>
      <c r="CD22" s="57">
        <f t="shared" si="67"/>
        <v>1.812758291352139</v>
      </c>
      <c r="CE22" s="58">
        <f t="shared" si="68"/>
        <v>1</v>
      </c>
      <c r="CF22" s="58">
        <f t="shared" si="69"/>
        <v>1</v>
      </c>
      <c r="CG22" s="57">
        <f t="shared" si="70"/>
        <v>2</v>
      </c>
      <c r="CH22" s="57">
        <f t="shared" si="71"/>
        <v>9</v>
      </c>
      <c r="CI22" s="57">
        <f t="shared" si="72"/>
        <v>9</v>
      </c>
      <c r="CJ22" s="196">
        <f t="shared" si="73"/>
        <v>9</v>
      </c>
      <c r="CK22" s="57">
        <f t="shared" si="74"/>
        <v>7</v>
      </c>
      <c r="CL22" s="57">
        <f t="shared" si="75"/>
        <v>7</v>
      </c>
      <c r="CM22" s="57">
        <f t="shared" si="76"/>
        <v>9</v>
      </c>
      <c r="CN22" s="57">
        <f t="shared" si="77"/>
        <v>9</v>
      </c>
      <c r="CO22" s="57">
        <f t="shared" si="78"/>
        <v>1</v>
      </c>
      <c r="CP22" s="57">
        <f t="shared" si="79"/>
        <v>1</v>
      </c>
      <c r="CQ22" s="57">
        <f t="shared" si="80"/>
        <v>7</v>
      </c>
      <c r="CR22" s="57">
        <f t="shared" si="81"/>
        <v>6</v>
      </c>
      <c r="CS22" s="57">
        <f t="shared" si="82"/>
        <v>9</v>
      </c>
      <c r="CT22" s="57">
        <f t="shared" si="83"/>
        <v>9</v>
      </c>
      <c r="CU22" s="57" t="str">
        <f>IF(dashboard[[#This Row],[COHENSION]]=" "," ",_xlfn.RANK.AVG(F22,$F$3:$F$26,0))</f>
        <v xml:space="preserve"> </v>
      </c>
      <c r="CV22" s="57">
        <f t="shared" si="84"/>
        <v>3</v>
      </c>
      <c r="CW22" s="57">
        <f t="shared" si="85"/>
        <v>9</v>
      </c>
      <c r="CX22" s="58">
        <f t="shared" si="86"/>
        <v>1</v>
      </c>
      <c r="CY22" s="58">
        <f t="shared" si="87"/>
        <v>1</v>
      </c>
      <c r="CZ22" s="58" t="str">
        <f>IFERROR(VLOOKUP($A22,'cluster'!$A$20:$CI$45,86,0),CU22)</f>
        <v xml:space="preserve"> </v>
      </c>
      <c r="DA22" s="58" t="str">
        <f>IF(ISERROR(VLOOKUP(A22,'Raw Data'!$A$3:$DY$29,129,FALSE))," ",VLOOKUP(A22,'Raw Data'!$A$3:$DY$29,129,FALSE))</f>
        <v xml:space="preserve"> </v>
      </c>
      <c r="DB22" s="58" t="str">
        <f t="shared" si="44"/>
        <v xml:space="preserve"> </v>
      </c>
      <c r="DC22" s="58">
        <f t="shared" si="88"/>
        <v>11.390625</v>
      </c>
      <c r="DD22" s="58">
        <f t="shared" si="89"/>
        <v>1</v>
      </c>
      <c r="DE22" s="58">
        <f t="shared" si="45"/>
        <v>0</v>
      </c>
      <c r="DF22" s="58">
        <f t="shared" si="46"/>
        <v>1</v>
      </c>
      <c r="DG22" s="58" t="str">
        <f t="shared" si="47"/>
        <v xml:space="preserve"> </v>
      </c>
    </row>
    <row r="23" spans="1:111" ht="30" customHeight="1" x14ac:dyDescent="0.55000000000000004">
      <c r="A23" s="21">
        <f>RawData[[#This Row],[Num]]</f>
        <v>0</v>
      </c>
      <c r="B23" s="22" t="str">
        <f>IFERROR(VLOOKUP($A23,'Raw Data'!$A$3:$EA$30,2,0)," ")</f>
        <v xml:space="preserve"> </v>
      </c>
      <c r="C23" s="8" t="str">
        <f>IFERROR(VLOOKUP($A23,'Raw Data'!$A$3:$EA$30,6,0)," ")</f>
        <v xml:space="preserve"> </v>
      </c>
      <c r="D23" s="8" t="str">
        <f>IFERROR(VLOOKUP($A23,'Raw Data'!$A$3:$EA$30,7,0)," ")</f>
        <v xml:space="preserve"> </v>
      </c>
      <c r="E23" s="149" t="str">
        <f>IFERROR(VLOOKUP($A23,'Raw Data'!$A$3:$EA$29,10,0)," ")</f>
        <v xml:space="preserve"> </v>
      </c>
      <c r="F23" s="273" t="str">
        <f>IFERROR(VLOOKUP(dashboard[[#This Row],[BOX]],'Raw Data'!$A$3:$EA$32,130)," ")</f>
        <v xml:space="preserve"> </v>
      </c>
      <c r="G23" s="49" t="str">
        <f>IF(ISERROR(D23/dashboard[[#This Row],[RUNS]])," ",(D23/dashboard[[#This Row],[RUNS]]))</f>
        <v xml:space="preserve"> </v>
      </c>
      <c r="H23" s="7">
        <f>IF(ISERROR(dashboard[[#This Row],[Wins Data]]/$G$29),0,dashboard[[#This Row],[Wins Data]]/$G$29)</f>
        <v>0</v>
      </c>
      <c r="I23" s="8" t="str">
        <f>IF(dashboard[[#This Row],[Column2]]=1,($I$30/J$29)," ")</f>
        <v xml:space="preserve"> </v>
      </c>
      <c r="J23" s="17" t="str">
        <f t="shared" si="0"/>
        <v xml:space="preserve"> </v>
      </c>
      <c r="K23" s="49" t="str">
        <f t="shared" si="48"/>
        <v xml:space="preserve"> </v>
      </c>
      <c r="L23" s="7">
        <f t="shared" si="49"/>
        <v>0</v>
      </c>
      <c r="M23" s="8" t="str">
        <f>IF(dashboard[[#This Row],[Column1]]=1,($M$30/N$29)," ")</f>
        <v xml:space="preserve"> </v>
      </c>
      <c r="N23" s="17" t="str">
        <f t="shared" si="1"/>
        <v xml:space="preserve"> </v>
      </c>
      <c r="O23" s="49" t="str">
        <f t="shared" si="2"/>
        <v xml:space="preserve"> </v>
      </c>
      <c r="P23" s="7">
        <f t="shared" si="50"/>
        <v>0</v>
      </c>
      <c r="Q23" s="8" t="str">
        <f>IF(dashboard[[#This Row],[Column3]]=1,($Q$30/$R$29)," ")</f>
        <v xml:space="preserve"> </v>
      </c>
      <c r="R23" s="17" t="str">
        <f t="shared" si="4"/>
        <v xml:space="preserve"> </v>
      </c>
      <c r="S23" s="49" t="str">
        <f>IF(ISERROR(VLOOKUP($A23,'Raw Data'!$A$3:$EA$30,121,0))," ",VLOOKUP($A23,'Raw Data'!$A$3:$EA$30,121,0))</f>
        <v xml:space="preserve"> </v>
      </c>
      <c r="T23" s="7">
        <f t="shared" si="51"/>
        <v>0</v>
      </c>
      <c r="U23" s="8">
        <f t="shared" si="6"/>
        <v>0</v>
      </c>
      <c r="V23" s="17">
        <f t="shared" si="7"/>
        <v>1</v>
      </c>
      <c r="W23" s="49" t="str">
        <f>IFERROR(VLOOKUP($A23,'Raw Data'!$A$3:$EA$30,123,0)^2," ")</f>
        <v xml:space="preserve"> </v>
      </c>
      <c r="X23" s="7">
        <f t="shared" si="52"/>
        <v>0</v>
      </c>
      <c r="Y23" s="8">
        <f t="shared" si="8"/>
        <v>7505.5279320964964</v>
      </c>
      <c r="Z23" s="17">
        <f t="shared" si="9"/>
        <v>1</v>
      </c>
      <c r="AA23" s="219" t="str">
        <f>IF(ISERROR(VLOOKUP($A23,'Raw Data'!$A$3:$EA$30,36,0))," ",VLOOKUP($A23,'Raw Data'!$A$3:$EA$30,36,0))</f>
        <v xml:space="preserve"> </v>
      </c>
      <c r="AB23" s="7">
        <f t="shared" si="53"/>
        <v>0</v>
      </c>
      <c r="AC23" s="8" t="str">
        <f>IF(dashboard[[#This Row],[Column6]]=1,($AC$30/$AD$29)," ")</f>
        <v xml:space="preserve"> </v>
      </c>
      <c r="AD23" s="17" t="str">
        <f t="shared" si="11"/>
        <v xml:space="preserve"> </v>
      </c>
      <c r="AE23" s="49" t="str">
        <f>IF(ISERROR((100/(VLOOKUP($A23,'Raw Data'!$A$3:$X$32,'A1. PICKS'!$I$2,0))))," ",100/(VLOOKUP($A23,'Raw Data'!$A$3:$X$32,'A1. PICKS'!$I$2,0)))</f>
        <v xml:space="preserve"> </v>
      </c>
      <c r="AF23" s="7">
        <f t="shared" si="54"/>
        <v>0</v>
      </c>
      <c r="AG23" s="8" t="str">
        <f>IF(dashboard[[#This Row],[Column7]]=1,($AG$30/$AH$29)," ")</f>
        <v xml:space="preserve"> </v>
      </c>
      <c r="AH23" s="17" t="str">
        <f t="shared" si="13"/>
        <v xml:space="preserve"> </v>
      </c>
      <c r="AI23" s="49" t="str">
        <f>IFERROR(VLOOKUP($A23,'Raw Data'!$A$3:$EA$29,120,0)," ")</f>
        <v xml:space="preserve"> </v>
      </c>
      <c r="AJ23" s="7">
        <f t="shared" si="55"/>
        <v>0</v>
      </c>
      <c r="AK23" s="8">
        <f>IF(dashboard[[#This Row],[Column8]]=1,($AK$30/$AL$29)," ")</f>
        <v>0</v>
      </c>
      <c r="AL23" s="17">
        <f t="shared" si="14"/>
        <v>1</v>
      </c>
      <c r="AM23" s="49" t="str">
        <f>IF(ISERROR(VLOOKUP($A23,'Raw Data'!$A$3:$EA$30,31,0))," ",VLOOKUP($A23,'Raw Data'!$A$3:$EA$30,31,0))</f>
        <v xml:space="preserve"> </v>
      </c>
      <c r="AN23" s="7">
        <f t="shared" si="56"/>
        <v>0</v>
      </c>
      <c r="AO23" s="8" t="str">
        <f>IF(dashboard[[#This Row],[Column9]]=1,($AO$30/$AP$29)," ")</f>
        <v xml:space="preserve"> </v>
      </c>
      <c r="AP23" s="17" t="str">
        <f t="shared" si="16"/>
        <v xml:space="preserve"> </v>
      </c>
      <c r="AQ23" s="49" t="str">
        <f>IF(ISERROR(VLOOKUP($A23,'Raw Data'!$A$3:$EA$30,39,0))," ",VLOOKUP($A23,'Raw Data'!$A$3:$EA$30,39,0))</f>
        <v xml:space="preserve"> </v>
      </c>
      <c r="AR23" s="7">
        <f t="shared" si="57"/>
        <v>0</v>
      </c>
      <c r="AS23" s="8" t="str">
        <f>IF(dashboard[[#This Row],[Column10]]=1,($AS$30/$AT$29)," ")</f>
        <v xml:space="preserve"> </v>
      </c>
      <c r="AT23" s="17" t="str">
        <f t="shared" si="18"/>
        <v xml:space="preserve"> </v>
      </c>
      <c r="AU23" s="49" t="str">
        <f>IFERROR(VLOOKUP($A23,'Raw Data'!$A$3:$EA$30,20,0)," ")</f>
        <v xml:space="preserve"> </v>
      </c>
      <c r="AV23" s="7">
        <f t="shared" si="58"/>
        <v>0</v>
      </c>
      <c r="AW23" s="8" t="str">
        <f>IF(dashboard[[#This Row],[Column11]]=1,($AW$30/$AX$29)," ")</f>
        <v xml:space="preserve"> </v>
      </c>
      <c r="AX23" s="17" t="str">
        <f t="shared" si="20"/>
        <v xml:space="preserve"> </v>
      </c>
      <c r="AY23" s="49" t="str">
        <f>IF(ISERROR(VLOOKUP($A23,'Raw Data'!$A$3:$EA$30,75,0))," ",VLOOKUP($A23,'Raw Data'!$A$3:$EA$30,75,0))</f>
        <v xml:space="preserve"> </v>
      </c>
      <c r="AZ23" s="7">
        <f t="shared" si="59"/>
        <v>0</v>
      </c>
      <c r="BA23" s="8" t="str">
        <f t="shared" si="22"/>
        <v xml:space="preserve"> </v>
      </c>
      <c r="BB23" s="17" t="str">
        <f t="shared" si="60"/>
        <v xml:space="preserve"> </v>
      </c>
      <c r="BC23" s="49" t="str">
        <f>IF(ISERROR(VLOOKUP($A23,'Raw Data'!$A$3:$EA$30,108,0))," ",VLOOKUP($A23,'Raw Data'!$A$3:$EA$30,108,0))</f>
        <v xml:space="preserve"> </v>
      </c>
      <c r="BD23" s="7">
        <f t="shared" si="61"/>
        <v>0</v>
      </c>
      <c r="BE23" s="8" t="str">
        <f t="shared" si="25"/>
        <v xml:space="preserve"> </v>
      </c>
      <c r="BF23" s="17" t="str">
        <f t="shared" si="62"/>
        <v xml:space="preserve"> </v>
      </c>
      <c r="BG23" s="49" t="str">
        <f>IF(ISERROR(VLOOKUP($A23,'Raw Data'!$A$3:$EA$30,48,0))," ",VLOOKUP($A23,'Raw Data'!$A$3:$EA$30,48,0))</f>
        <v xml:space="preserve"> </v>
      </c>
      <c r="BH23" s="7">
        <f t="shared" si="63"/>
        <v>0</v>
      </c>
      <c r="BI23" s="8" t="str">
        <f t="shared" si="28"/>
        <v xml:space="preserve"> </v>
      </c>
      <c r="BJ23" s="17" t="str">
        <f t="shared" si="64"/>
        <v xml:space="preserve"> </v>
      </c>
      <c r="BK23" s="49" t="str">
        <f>IF(ISERROR(VLOOKUP($A23,'Raw Data'!$A$3:$EA$30,39,0))," ",VLOOKUP($A23,'Raw Data'!$A$3:$EA$30,39,0))</f>
        <v xml:space="preserve"> </v>
      </c>
      <c r="BL23" s="7">
        <f t="shared" si="65"/>
        <v>0</v>
      </c>
      <c r="BM23" s="8" t="str">
        <f t="shared" si="30"/>
        <v xml:space="preserve"> </v>
      </c>
      <c r="BN23" s="17" t="str">
        <f t="shared" si="31"/>
        <v xml:space="preserve"> </v>
      </c>
      <c r="BP23" s="8">
        <f t="shared" si="32"/>
        <v>7505.5279320964964</v>
      </c>
      <c r="BR23" s="9">
        <f t="shared" si="33"/>
        <v>7.505527932096496E-3</v>
      </c>
      <c r="BS23" s="10">
        <f t="shared" si="34"/>
        <v>-0.64975969985772108</v>
      </c>
      <c r="BT23" s="61">
        <f t="shared" si="35"/>
        <v>2.1060205177837771E-37</v>
      </c>
      <c r="BU23" s="32" t="str">
        <f t="shared" si="36"/>
        <v xml:space="preserve"> </v>
      </c>
      <c r="BV23" s="29" t="str">
        <f t="shared" si="37"/>
        <v>|||</v>
      </c>
      <c r="BW23" s="34" t="str">
        <f t="shared" si="38"/>
        <v>|||</v>
      </c>
      <c r="BX23" s="46" t="str">
        <f t="shared" si="39"/>
        <v>|||</v>
      </c>
      <c r="BY23" s="220" t="str">
        <f t="shared" si="40"/>
        <v xml:space="preserve"> </v>
      </c>
      <c r="BZ23" s="46" t="str">
        <f t="shared" si="41"/>
        <v>||||||</v>
      </c>
      <c r="CA23" s="229" t="str">
        <f t="shared" si="42"/>
        <v xml:space="preserve"> </v>
      </c>
      <c r="CB23" s="221" t="str">
        <f t="shared" si="43"/>
        <v xml:space="preserve"> </v>
      </c>
      <c r="CC23" s="57">
        <f t="shared" si="66"/>
        <v>0.61906915348118741</v>
      </c>
      <c r="CD23" s="57">
        <f t="shared" si="67"/>
        <v>1.812758291352139</v>
      </c>
      <c r="CE23" s="58">
        <f t="shared" si="68"/>
        <v>1</v>
      </c>
      <c r="CF23" s="58">
        <f t="shared" si="69"/>
        <v>1</v>
      </c>
      <c r="CG23" s="57">
        <f t="shared" si="70"/>
        <v>2</v>
      </c>
      <c r="CH23" s="57">
        <f t="shared" si="71"/>
        <v>9</v>
      </c>
      <c r="CI23" s="57">
        <f t="shared" si="72"/>
        <v>9</v>
      </c>
      <c r="CJ23" s="196">
        <f t="shared" si="73"/>
        <v>9</v>
      </c>
      <c r="CK23" s="57">
        <f t="shared" si="74"/>
        <v>7</v>
      </c>
      <c r="CL23" s="57">
        <f t="shared" si="75"/>
        <v>7</v>
      </c>
      <c r="CM23" s="57">
        <f t="shared" si="76"/>
        <v>9</v>
      </c>
      <c r="CN23" s="57">
        <f t="shared" si="77"/>
        <v>9</v>
      </c>
      <c r="CO23" s="57">
        <f t="shared" si="78"/>
        <v>1</v>
      </c>
      <c r="CP23" s="57">
        <f t="shared" si="79"/>
        <v>1</v>
      </c>
      <c r="CQ23" s="57">
        <f t="shared" si="80"/>
        <v>7</v>
      </c>
      <c r="CR23" s="57">
        <f t="shared" si="81"/>
        <v>6</v>
      </c>
      <c r="CS23" s="57">
        <f t="shared" si="82"/>
        <v>9</v>
      </c>
      <c r="CT23" s="57">
        <f t="shared" si="83"/>
        <v>9</v>
      </c>
      <c r="CU23" s="57" t="str">
        <f>IF(dashboard[[#This Row],[COHENSION]]=" "," ",_xlfn.RANK.AVG(F23,$F$3:$F$26,0))</f>
        <v xml:space="preserve"> </v>
      </c>
      <c r="CV23" s="57">
        <f t="shared" si="84"/>
        <v>3</v>
      </c>
      <c r="CW23" s="57">
        <f t="shared" si="85"/>
        <v>9</v>
      </c>
      <c r="CX23" s="58">
        <f t="shared" si="86"/>
        <v>1</v>
      </c>
      <c r="CY23" s="58">
        <f t="shared" si="87"/>
        <v>1</v>
      </c>
      <c r="CZ23" s="58" t="str">
        <f>IFERROR(VLOOKUP($A23,'cluster'!$A$20:$CI$45,86,0),CU23)</f>
        <v xml:space="preserve"> </v>
      </c>
      <c r="DA23" s="58" t="str">
        <f>IF(ISERROR(VLOOKUP(A23,'Raw Data'!$A$3:$DY$29,129,FALSE))," ",VLOOKUP(A23,'Raw Data'!$A$3:$DY$29,129,FALSE))</f>
        <v xml:space="preserve"> </v>
      </c>
      <c r="DB23" s="58" t="str">
        <f t="shared" si="44"/>
        <v xml:space="preserve"> </v>
      </c>
      <c r="DC23" s="58">
        <f t="shared" si="88"/>
        <v>11.390625</v>
      </c>
      <c r="DD23" s="58">
        <f t="shared" si="89"/>
        <v>1</v>
      </c>
      <c r="DE23" s="58">
        <f t="shared" si="45"/>
        <v>0</v>
      </c>
      <c r="DF23" s="58">
        <f t="shared" si="46"/>
        <v>1</v>
      </c>
      <c r="DG23" s="58" t="str">
        <f t="shared" si="47"/>
        <v xml:space="preserve"> </v>
      </c>
    </row>
    <row r="24" spans="1:111" ht="30" customHeight="1" x14ac:dyDescent="0.55000000000000004">
      <c r="A24" s="21">
        <f>RawData[[#This Row],[Num]]</f>
        <v>0</v>
      </c>
      <c r="B24" s="22" t="str">
        <f>IFERROR(VLOOKUP($A24,'Raw Data'!$A$3:$EA$30,2,0)," ")</f>
        <v xml:space="preserve"> </v>
      </c>
      <c r="C24" s="8" t="str">
        <f>IFERROR(VLOOKUP($A24,'Raw Data'!$A$3:$EA$30,6,0)," ")</f>
        <v xml:space="preserve"> </v>
      </c>
      <c r="D24" s="8" t="str">
        <f>IFERROR(VLOOKUP($A24,'Raw Data'!$A$3:$EA$30,7,0)," ")</f>
        <v xml:space="preserve"> </v>
      </c>
      <c r="E24" s="149" t="str">
        <f>IFERROR(VLOOKUP($A24,'Raw Data'!$A$3:$EA$29,10,0)," ")</f>
        <v xml:space="preserve"> </v>
      </c>
      <c r="F24" s="273" t="str">
        <f>IFERROR(VLOOKUP(dashboard[[#This Row],[BOX]],'Raw Data'!$A$3:$EA$32,130)," ")</f>
        <v xml:space="preserve"> </v>
      </c>
      <c r="G24" s="49" t="str">
        <f>IF(ISERROR(D24/dashboard[[#This Row],[RUNS]])," ",(D24/dashboard[[#This Row],[RUNS]]))</f>
        <v xml:space="preserve"> </v>
      </c>
      <c r="H24" s="7">
        <f>IF(ISERROR(dashboard[[#This Row],[Wins Data]]/$G$29),0,dashboard[[#This Row],[Wins Data]]/$G$29)</f>
        <v>0</v>
      </c>
      <c r="I24" s="8" t="str">
        <f>IF(dashboard[[#This Row],[Column2]]=1,($I$30/J$29)," ")</f>
        <v xml:space="preserve"> </v>
      </c>
      <c r="J24" s="17" t="str">
        <f t="shared" si="0"/>
        <v xml:space="preserve"> </v>
      </c>
      <c r="K24" s="49" t="str">
        <f t="shared" si="48"/>
        <v xml:space="preserve"> </v>
      </c>
      <c r="L24" s="7">
        <f t="shared" si="49"/>
        <v>0</v>
      </c>
      <c r="M24" s="8" t="str">
        <f>IF(dashboard[[#This Row],[Column1]]=1,($M$30/N$29)," ")</f>
        <v xml:space="preserve"> </v>
      </c>
      <c r="N24" s="17" t="str">
        <f t="shared" si="1"/>
        <v xml:space="preserve"> </v>
      </c>
      <c r="O24" s="49" t="str">
        <f t="shared" si="2"/>
        <v xml:space="preserve"> </v>
      </c>
      <c r="P24" s="7">
        <f t="shared" si="50"/>
        <v>0</v>
      </c>
      <c r="Q24" s="8" t="str">
        <f>IF(dashboard[[#This Row],[Column3]]=1,($Q$30/$R$29)," ")</f>
        <v xml:space="preserve"> </v>
      </c>
      <c r="R24" s="17" t="str">
        <f t="shared" si="4"/>
        <v xml:space="preserve"> </v>
      </c>
      <c r="S24" s="49" t="str">
        <f>IF(ISERROR(VLOOKUP($A24,'Raw Data'!$A$3:$EA$30,121,0))," ",VLOOKUP($A24,'Raw Data'!$A$3:$EA$30,121,0))</f>
        <v xml:space="preserve"> </v>
      </c>
      <c r="T24" s="7">
        <f t="shared" si="51"/>
        <v>0</v>
      </c>
      <c r="U24" s="8">
        <f t="shared" si="6"/>
        <v>0</v>
      </c>
      <c r="V24" s="17">
        <f t="shared" si="7"/>
        <v>1</v>
      </c>
      <c r="W24" s="49" t="str">
        <f>IFERROR(VLOOKUP($A24,'Raw Data'!$A$3:$EA$30,123,0)^2," ")</f>
        <v xml:space="preserve"> </v>
      </c>
      <c r="X24" s="7">
        <f t="shared" si="52"/>
        <v>0</v>
      </c>
      <c r="Y24" s="8">
        <f t="shared" si="8"/>
        <v>7505.5279320964964</v>
      </c>
      <c r="Z24" s="17">
        <f t="shared" si="9"/>
        <v>1</v>
      </c>
      <c r="AA24" s="219" t="str">
        <f>IF(ISERROR(VLOOKUP($A24,'Raw Data'!$A$3:$EA$30,36,0))," ",VLOOKUP($A24,'Raw Data'!$A$3:$EA$30,36,0))</f>
        <v xml:space="preserve"> </v>
      </c>
      <c r="AB24" s="7">
        <f t="shared" si="53"/>
        <v>0</v>
      </c>
      <c r="AC24" s="8" t="str">
        <f>IF(dashboard[[#This Row],[Column6]]=1,($AC$30/$AD$29)," ")</f>
        <v xml:space="preserve"> </v>
      </c>
      <c r="AD24" s="17" t="str">
        <f t="shared" si="11"/>
        <v xml:space="preserve"> </v>
      </c>
      <c r="AE24" s="49" t="str">
        <f>IF(ISERROR((100/(VLOOKUP($A24,'Raw Data'!$A$3:$X$32,'A1. PICKS'!$I$2,0))))," ",100/(VLOOKUP($A24,'Raw Data'!$A$3:$X$32,'A1. PICKS'!$I$2,0)))</f>
        <v xml:space="preserve"> </v>
      </c>
      <c r="AF24" s="7">
        <f t="shared" si="54"/>
        <v>0</v>
      </c>
      <c r="AG24" s="8" t="str">
        <f>IF(dashboard[[#This Row],[Column7]]=1,($AG$30/$AH$29)," ")</f>
        <v xml:space="preserve"> </v>
      </c>
      <c r="AH24" s="17" t="str">
        <f t="shared" si="13"/>
        <v xml:space="preserve"> </v>
      </c>
      <c r="AI24" s="49" t="str">
        <f>IFERROR(VLOOKUP($A24,'Raw Data'!$A$3:$EA$29,120,0)," ")</f>
        <v xml:space="preserve"> </v>
      </c>
      <c r="AJ24" s="7">
        <f t="shared" si="55"/>
        <v>0</v>
      </c>
      <c r="AK24" s="8">
        <f>IF(dashboard[[#This Row],[Column8]]=1,($AK$30/$AL$29)," ")</f>
        <v>0</v>
      </c>
      <c r="AL24" s="17">
        <f t="shared" si="14"/>
        <v>1</v>
      </c>
      <c r="AM24" s="49" t="str">
        <f>IF(ISERROR(VLOOKUP($A24,'Raw Data'!$A$3:$EA$30,31,0))," ",VLOOKUP($A24,'Raw Data'!$A$3:$EA$30,31,0))</f>
        <v xml:space="preserve"> </v>
      </c>
      <c r="AN24" s="7">
        <f t="shared" si="56"/>
        <v>0</v>
      </c>
      <c r="AO24" s="8" t="str">
        <f>IF(dashboard[[#This Row],[Column9]]=1,($AO$30/$AP$29)," ")</f>
        <v xml:space="preserve"> </v>
      </c>
      <c r="AP24" s="17" t="str">
        <f t="shared" si="16"/>
        <v xml:space="preserve"> </v>
      </c>
      <c r="AQ24" s="49" t="str">
        <f>IF(ISERROR(VLOOKUP($A24,'Raw Data'!$A$3:$EA$30,39,0))," ",VLOOKUP($A24,'Raw Data'!$A$3:$EA$30,39,0))</f>
        <v xml:space="preserve"> </v>
      </c>
      <c r="AR24" s="7">
        <f t="shared" si="57"/>
        <v>0</v>
      </c>
      <c r="AS24" s="8" t="str">
        <f>IF(dashboard[[#This Row],[Column10]]=1,($AS$30/$AT$29)," ")</f>
        <v xml:space="preserve"> </v>
      </c>
      <c r="AT24" s="17" t="str">
        <f t="shared" si="18"/>
        <v xml:space="preserve"> </v>
      </c>
      <c r="AU24" s="49" t="str">
        <f>IFERROR(VLOOKUP($A24,'Raw Data'!$A$3:$EA$30,20,0)," ")</f>
        <v xml:space="preserve"> </v>
      </c>
      <c r="AV24" s="7">
        <f t="shared" si="58"/>
        <v>0</v>
      </c>
      <c r="AW24" s="8" t="str">
        <f>IF(dashboard[[#This Row],[Column11]]=1,($AW$30/$AX$29)," ")</f>
        <v xml:space="preserve"> </v>
      </c>
      <c r="AX24" s="17" t="str">
        <f t="shared" si="20"/>
        <v xml:space="preserve"> </v>
      </c>
      <c r="AY24" s="49" t="str">
        <f>IF(ISERROR(VLOOKUP($A24,'Raw Data'!$A$3:$EA$30,75,0))," ",VLOOKUP($A24,'Raw Data'!$A$3:$EA$30,75,0))</f>
        <v xml:space="preserve"> </v>
      </c>
      <c r="AZ24" s="7">
        <f t="shared" si="59"/>
        <v>0</v>
      </c>
      <c r="BA24" s="8" t="str">
        <f t="shared" si="22"/>
        <v xml:space="preserve"> </v>
      </c>
      <c r="BB24" s="17" t="str">
        <f t="shared" si="60"/>
        <v xml:space="preserve"> </v>
      </c>
      <c r="BC24" s="49" t="str">
        <f>IF(ISERROR(VLOOKUP($A24,'Raw Data'!$A$3:$EA$30,108,0))," ",VLOOKUP($A24,'Raw Data'!$A$3:$EA$30,108,0))</f>
        <v xml:space="preserve"> </v>
      </c>
      <c r="BD24" s="7">
        <f t="shared" si="61"/>
        <v>0</v>
      </c>
      <c r="BE24" s="8" t="str">
        <f t="shared" si="25"/>
        <v xml:space="preserve"> </v>
      </c>
      <c r="BF24" s="17" t="str">
        <f t="shared" si="62"/>
        <v xml:space="preserve"> </v>
      </c>
      <c r="BG24" s="49" t="str">
        <f>IF(ISERROR(VLOOKUP($A24,'Raw Data'!$A$3:$EA$30,48,0))," ",VLOOKUP($A24,'Raw Data'!$A$3:$EA$30,48,0))</f>
        <v xml:space="preserve"> </v>
      </c>
      <c r="BH24" s="7">
        <f t="shared" si="63"/>
        <v>0</v>
      </c>
      <c r="BI24" s="8" t="str">
        <f t="shared" si="28"/>
        <v xml:space="preserve"> </v>
      </c>
      <c r="BJ24" s="17" t="str">
        <f t="shared" si="64"/>
        <v xml:space="preserve"> </v>
      </c>
      <c r="BK24" s="49" t="str">
        <f>IF(ISERROR(VLOOKUP($A24,'Raw Data'!$A$3:$EA$30,39,0))," ",VLOOKUP($A24,'Raw Data'!$A$3:$EA$30,39,0))</f>
        <v xml:space="preserve"> </v>
      </c>
      <c r="BL24" s="7">
        <f t="shared" si="65"/>
        <v>0</v>
      </c>
      <c r="BM24" s="8" t="str">
        <f t="shared" si="30"/>
        <v xml:space="preserve"> </v>
      </c>
      <c r="BN24" s="17" t="str">
        <f t="shared" si="31"/>
        <v xml:space="preserve"> </v>
      </c>
      <c r="BP24" s="8">
        <f t="shared" si="32"/>
        <v>7505.5279320964964</v>
      </c>
      <c r="BR24" s="9">
        <f t="shared" si="33"/>
        <v>7.505527932096496E-3</v>
      </c>
      <c r="BS24" s="10">
        <f t="shared" si="34"/>
        <v>-0.64975969985772108</v>
      </c>
      <c r="BT24" s="61">
        <f t="shared" si="35"/>
        <v>2.1060205177837771E-37</v>
      </c>
      <c r="BU24" s="32" t="str">
        <f t="shared" si="36"/>
        <v xml:space="preserve"> </v>
      </c>
      <c r="BV24" s="29" t="str">
        <f t="shared" si="37"/>
        <v>|||</v>
      </c>
      <c r="BW24" s="34" t="str">
        <f t="shared" si="38"/>
        <v>|||</v>
      </c>
      <c r="BX24" s="46" t="str">
        <f t="shared" si="39"/>
        <v>|||</v>
      </c>
      <c r="BY24" s="220" t="str">
        <f t="shared" si="40"/>
        <v xml:space="preserve"> </v>
      </c>
      <c r="BZ24" s="46" t="str">
        <f t="shared" si="41"/>
        <v>||||||</v>
      </c>
      <c r="CA24" s="229" t="str">
        <f t="shared" si="42"/>
        <v xml:space="preserve"> </v>
      </c>
      <c r="CB24" s="221" t="str">
        <f t="shared" si="43"/>
        <v xml:space="preserve"> </v>
      </c>
      <c r="CC24" s="57">
        <f t="shared" si="66"/>
        <v>0.61906915348118741</v>
      </c>
      <c r="CD24" s="57">
        <f t="shared" si="67"/>
        <v>1.812758291352139</v>
      </c>
      <c r="CE24" s="58">
        <f t="shared" si="68"/>
        <v>1</v>
      </c>
      <c r="CF24" s="58">
        <f t="shared" si="69"/>
        <v>1</v>
      </c>
      <c r="CG24" s="57">
        <f t="shared" si="70"/>
        <v>2</v>
      </c>
      <c r="CH24" s="57">
        <f t="shared" si="71"/>
        <v>9</v>
      </c>
      <c r="CI24" s="57">
        <f t="shared" si="72"/>
        <v>9</v>
      </c>
      <c r="CJ24" s="196">
        <f t="shared" si="73"/>
        <v>9</v>
      </c>
      <c r="CK24" s="57">
        <f t="shared" si="74"/>
        <v>7</v>
      </c>
      <c r="CL24" s="57">
        <f t="shared" si="75"/>
        <v>7</v>
      </c>
      <c r="CM24" s="57">
        <f t="shared" si="76"/>
        <v>9</v>
      </c>
      <c r="CN24" s="57">
        <f t="shared" si="77"/>
        <v>9</v>
      </c>
      <c r="CO24" s="57">
        <f t="shared" si="78"/>
        <v>1</v>
      </c>
      <c r="CP24" s="57">
        <f t="shared" si="79"/>
        <v>1</v>
      </c>
      <c r="CQ24" s="57">
        <f t="shared" si="80"/>
        <v>7</v>
      </c>
      <c r="CR24" s="57">
        <f t="shared" si="81"/>
        <v>6</v>
      </c>
      <c r="CS24" s="57">
        <f t="shared" si="82"/>
        <v>9</v>
      </c>
      <c r="CT24" s="57">
        <f t="shared" si="83"/>
        <v>9</v>
      </c>
      <c r="CU24" s="57" t="str">
        <f>IF(dashboard[[#This Row],[COHENSION]]=" "," ",_xlfn.RANK.AVG(F24,$F$3:$F$26,0))</f>
        <v xml:space="preserve"> </v>
      </c>
      <c r="CV24" s="57">
        <f t="shared" si="84"/>
        <v>3</v>
      </c>
      <c r="CW24" s="57">
        <f t="shared" si="85"/>
        <v>9</v>
      </c>
      <c r="CX24" s="58">
        <f t="shared" si="86"/>
        <v>1</v>
      </c>
      <c r="CY24" s="58">
        <f t="shared" si="87"/>
        <v>1</v>
      </c>
      <c r="CZ24" s="58" t="str">
        <f>IFERROR(VLOOKUP($A24,'cluster'!$A$20:$CI$45,86,0),CU24)</f>
        <v xml:space="preserve"> </v>
      </c>
      <c r="DA24" s="58" t="str">
        <f>IF(ISERROR(VLOOKUP(A24,'Raw Data'!$A$3:$DY$29,129,FALSE))," ",VLOOKUP(A24,'Raw Data'!$A$3:$DY$29,129,FALSE))</f>
        <v xml:space="preserve"> </v>
      </c>
      <c r="DB24" s="58" t="str">
        <f t="shared" si="44"/>
        <v xml:space="preserve"> </v>
      </c>
      <c r="DC24" s="58">
        <f t="shared" si="88"/>
        <v>11.390625</v>
      </c>
      <c r="DD24" s="58">
        <f t="shared" si="89"/>
        <v>1</v>
      </c>
      <c r="DE24" s="58">
        <f t="shared" si="45"/>
        <v>0</v>
      </c>
      <c r="DF24" s="58">
        <f t="shared" si="46"/>
        <v>1</v>
      </c>
      <c r="DG24" s="58" t="str">
        <f t="shared" si="47"/>
        <v xml:space="preserve"> </v>
      </c>
    </row>
    <row r="25" spans="1:111" ht="30" customHeight="1" x14ac:dyDescent="0.55000000000000004">
      <c r="A25" s="21">
        <f>RawData[[#This Row],[Num]]</f>
        <v>0</v>
      </c>
      <c r="B25" s="22" t="str">
        <f>IFERROR(VLOOKUP($A25,'Raw Data'!$A$3:$EA$30,2,0)," ")</f>
        <v xml:space="preserve"> </v>
      </c>
      <c r="C25" s="8" t="str">
        <f>IFERROR(VLOOKUP($A25,'Raw Data'!$A$3:$EA$30,6,0)," ")</f>
        <v xml:space="preserve"> </v>
      </c>
      <c r="D25" s="8" t="str">
        <f>IFERROR(VLOOKUP($A25,'Raw Data'!$A$3:$EA$30,7,0)," ")</f>
        <v xml:space="preserve"> </v>
      </c>
      <c r="E25" s="149" t="str">
        <f>IFERROR(VLOOKUP($A25,'Raw Data'!$A$3:$EA$29,10,0)," ")</f>
        <v xml:space="preserve"> </v>
      </c>
      <c r="F25" s="273" t="str">
        <f>IFERROR(VLOOKUP(dashboard[[#This Row],[BOX]],'Raw Data'!$A$3:$EA$32,130)," ")</f>
        <v xml:space="preserve"> </v>
      </c>
      <c r="G25" s="49" t="str">
        <f>IF(ISERROR(D25/dashboard[[#This Row],[RUNS]])," ",(D25/dashboard[[#This Row],[RUNS]]))</f>
        <v xml:space="preserve"> </v>
      </c>
      <c r="H25" s="7">
        <f>IF(ISERROR(dashboard[[#This Row],[Wins Data]]/$G$29),0,dashboard[[#This Row],[Wins Data]]/$G$29)</f>
        <v>0</v>
      </c>
      <c r="I25" s="8" t="str">
        <f>IF(dashboard[[#This Row],[Column2]]=1,($I$30/J$29)," ")</f>
        <v xml:space="preserve"> </v>
      </c>
      <c r="J25" s="17" t="str">
        <f t="shared" si="0"/>
        <v xml:space="preserve"> </v>
      </c>
      <c r="K25" s="49" t="str">
        <f t="shared" si="48"/>
        <v xml:space="preserve"> </v>
      </c>
      <c r="L25" s="7">
        <f t="shared" si="49"/>
        <v>0</v>
      </c>
      <c r="M25" s="8" t="str">
        <f>IF(dashboard[[#This Row],[Column1]]=1,($M$30/N$29)," ")</f>
        <v xml:space="preserve"> </v>
      </c>
      <c r="N25" s="17" t="str">
        <f t="shared" si="1"/>
        <v xml:space="preserve"> </v>
      </c>
      <c r="O25" s="49" t="str">
        <f t="shared" si="2"/>
        <v xml:space="preserve"> </v>
      </c>
      <c r="P25" s="7">
        <f t="shared" si="50"/>
        <v>0</v>
      </c>
      <c r="Q25" s="8" t="str">
        <f>IF(dashboard[[#This Row],[Column3]]=1,($Q$30/$R$29)," ")</f>
        <v xml:space="preserve"> </v>
      </c>
      <c r="R25" s="17" t="str">
        <f t="shared" si="4"/>
        <v xml:space="preserve"> </v>
      </c>
      <c r="S25" s="49" t="str">
        <f>IF(ISERROR(VLOOKUP($A25,'Raw Data'!$A$3:$EA$30,121,0))," ",VLOOKUP($A25,'Raw Data'!$A$3:$EA$30,121,0))</f>
        <v xml:space="preserve"> </v>
      </c>
      <c r="T25" s="7">
        <f t="shared" si="51"/>
        <v>0</v>
      </c>
      <c r="U25" s="8">
        <f t="shared" si="6"/>
        <v>0</v>
      </c>
      <c r="V25" s="17">
        <f t="shared" si="7"/>
        <v>1</v>
      </c>
      <c r="W25" s="49" t="str">
        <f>IFERROR(VLOOKUP($A25,'Raw Data'!$A$3:$EA$30,123,0)^2," ")</f>
        <v xml:space="preserve"> </v>
      </c>
      <c r="X25" s="7">
        <f t="shared" si="52"/>
        <v>0</v>
      </c>
      <c r="Y25" s="8">
        <f t="shared" si="8"/>
        <v>7505.5279320964964</v>
      </c>
      <c r="Z25" s="17">
        <f t="shared" si="9"/>
        <v>1</v>
      </c>
      <c r="AA25" s="219" t="str">
        <f>IF(ISERROR(VLOOKUP($A25,'Raw Data'!$A$3:$EA$30,36,0))," ",VLOOKUP($A25,'Raw Data'!$A$3:$EA$30,36,0))</f>
        <v xml:space="preserve"> </v>
      </c>
      <c r="AB25" s="7">
        <f t="shared" si="53"/>
        <v>0</v>
      </c>
      <c r="AC25" s="8" t="str">
        <f>IF(dashboard[[#This Row],[Column6]]=1,($AC$30/$AD$29)," ")</f>
        <v xml:space="preserve"> </v>
      </c>
      <c r="AD25" s="17" t="str">
        <f t="shared" si="11"/>
        <v xml:space="preserve"> </v>
      </c>
      <c r="AE25" s="49" t="str">
        <f>IF(ISERROR((100/(VLOOKUP($A25,'Raw Data'!$A$3:$X$32,'A1. PICKS'!$I$2,0))))," ",100/(VLOOKUP($A25,'Raw Data'!$A$3:$X$32,'A1. PICKS'!$I$2,0)))</f>
        <v xml:space="preserve"> </v>
      </c>
      <c r="AF25" s="7">
        <f t="shared" si="54"/>
        <v>0</v>
      </c>
      <c r="AG25" s="8" t="str">
        <f>IF(dashboard[[#This Row],[Column7]]=1,($AG$30/$AH$29)," ")</f>
        <v xml:space="preserve"> </v>
      </c>
      <c r="AH25" s="17" t="str">
        <f t="shared" si="13"/>
        <v xml:space="preserve"> </v>
      </c>
      <c r="AI25" s="49" t="str">
        <f>IFERROR(VLOOKUP($A25,'Raw Data'!$A$3:$EA$29,120,0)," ")</f>
        <v xml:space="preserve"> </v>
      </c>
      <c r="AJ25" s="7">
        <f t="shared" si="55"/>
        <v>0</v>
      </c>
      <c r="AK25" s="8">
        <f>IF(dashboard[[#This Row],[Column8]]=1,($AK$30/$AL$29)," ")</f>
        <v>0</v>
      </c>
      <c r="AL25" s="17">
        <f t="shared" si="14"/>
        <v>1</v>
      </c>
      <c r="AM25" s="49" t="str">
        <f>IF(ISERROR(VLOOKUP($A25,'Raw Data'!$A$3:$EA$30,31,0))," ",VLOOKUP($A25,'Raw Data'!$A$3:$EA$30,31,0))</f>
        <v xml:space="preserve"> </v>
      </c>
      <c r="AN25" s="7">
        <f t="shared" si="56"/>
        <v>0</v>
      </c>
      <c r="AO25" s="8" t="str">
        <f>IF(dashboard[[#This Row],[Column9]]=1,($AO$30/$AP$29)," ")</f>
        <v xml:space="preserve"> </v>
      </c>
      <c r="AP25" s="17" t="str">
        <f t="shared" si="16"/>
        <v xml:space="preserve"> </v>
      </c>
      <c r="AQ25" s="49" t="str">
        <f>IF(ISERROR(VLOOKUP($A25,'Raw Data'!$A$3:$EA$30,39,0))," ",VLOOKUP($A25,'Raw Data'!$A$3:$EA$30,39,0))</f>
        <v xml:space="preserve"> </v>
      </c>
      <c r="AR25" s="7">
        <f t="shared" si="57"/>
        <v>0</v>
      </c>
      <c r="AS25" s="8" t="str">
        <f>IF(dashboard[[#This Row],[Column10]]=1,($AS$30/$AT$29)," ")</f>
        <v xml:space="preserve"> </v>
      </c>
      <c r="AT25" s="17" t="str">
        <f t="shared" si="18"/>
        <v xml:space="preserve"> </v>
      </c>
      <c r="AU25" s="49" t="str">
        <f>IFERROR(VLOOKUP($A25,'Raw Data'!$A$3:$EA$30,20,0)," ")</f>
        <v xml:space="preserve"> </v>
      </c>
      <c r="AV25" s="7">
        <f t="shared" si="58"/>
        <v>0</v>
      </c>
      <c r="AW25" s="8" t="str">
        <f>IF(dashboard[[#This Row],[Column11]]=1,($AW$30/$AX$29)," ")</f>
        <v xml:space="preserve"> </v>
      </c>
      <c r="AX25" s="17" t="str">
        <f t="shared" si="20"/>
        <v xml:space="preserve"> </v>
      </c>
      <c r="AY25" s="49" t="str">
        <f>IF(ISERROR(VLOOKUP($A25,'Raw Data'!$A$3:$EA$30,75,0))," ",VLOOKUP($A25,'Raw Data'!$A$3:$EA$30,75,0))</f>
        <v xml:space="preserve"> </v>
      </c>
      <c r="AZ25" s="7">
        <f t="shared" si="59"/>
        <v>0</v>
      </c>
      <c r="BA25" s="8" t="str">
        <f t="shared" si="22"/>
        <v xml:space="preserve"> </v>
      </c>
      <c r="BB25" s="17" t="str">
        <f t="shared" si="60"/>
        <v xml:space="preserve"> </v>
      </c>
      <c r="BC25" s="49" t="str">
        <f>IF(ISERROR(VLOOKUP($A25,'Raw Data'!$A$3:$EA$30,108,0))," ",VLOOKUP($A25,'Raw Data'!$A$3:$EA$30,108,0))</f>
        <v xml:space="preserve"> </v>
      </c>
      <c r="BD25" s="7">
        <f t="shared" si="61"/>
        <v>0</v>
      </c>
      <c r="BE25" s="8" t="str">
        <f t="shared" si="25"/>
        <v xml:space="preserve"> </v>
      </c>
      <c r="BF25" s="17" t="str">
        <f t="shared" si="62"/>
        <v xml:space="preserve"> </v>
      </c>
      <c r="BG25" s="49" t="str">
        <f>IF(ISERROR(VLOOKUP($A25,'Raw Data'!$A$3:$EA$30,48,0))," ",VLOOKUP($A25,'Raw Data'!$A$3:$EA$30,48,0))</f>
        <v xml:space="preserve"> </v>
      </c>
      <c r="BH25" s="7">
        <f t="shared" si="63"/>
        <v>0</v>
      </c>
      <c r="BI25" s="8" t="str">
        <f t="shared" si="28"/>
        <v xml:space="preserve"> </v>
      </c>
      <c r="BJ25" s="17" t="str">
        <f t="shared" si="64"/>
        <v xml:space="preserve"> </v>
      </c>
      <c r="BK25" s="49" t="str">
        <f>IF(ISERROR(VLOOKUP($A25,'Raw Data'!$A$3:$EA$30,39,0))," ",VLOOKUP($A25,'Raw Data'!$A$3:$EA$30,39,0))</f>
        <v xml:space="preserve"> </v>
      </c>
      <c r="BL25" s="7">
        <f t="shared" si="65"/>
        <v>0</v>
      </c>
      <c r="BM25" s="8" t="str">
        <f t="shared" si="30"/>
        <v xml:space="preserve"> </v>
      </c>
      <c r="BN25" s="17" t="str">
        <f t="shared" si="31"/>
        <v xml:space="preserve"> </v>
      </c>
      <c r="BP25" s="8">
        <f t="shared" si="32"/>
        <v>7505.5279320964964</v>
      </c>
      <c r="BR25" s="9">
        <f t="shared" si="33"/>
        <v>7.505527932096496E-3</v>
      </c>
      <c r="BS25" s="10">
        <f t="shared" si="34"/>
        <v>-0.64975969985772108</v>
      </c>
      <c r="BT25" s="61">
        <f t="shared" si="35"/>
        <v>2.1060205177837771E-37</v>
      </c>
      <c r="BU25" s="32" t="str">
        <f t="shared" si="36"/>
        <v xml:space="preserve"> </v>
      </c>
      <c r="BV25" s="29" t="str">
        <f t="shared" si="37"/>
        <v>|||</v>
      </c>
      <c r="BW25" s="34" t="str">
        <f t="shared" si="38"/>
        <v>|||</v>
      </c>
      <c r="BX25" s="46" t="str">
        <f t="shared" si="39"/>
        <v>|||</v>
      </c>
      <c r="BY25" s="220" t="str">
        <f t="shared" si="40"/>
        <v xml:space="preserve"> </v>
      </c>
      <c r="BZ25" s="46" t="str">
        <f t="shared" si="41"/>
        <v>||||||</v>
      </c>
      <c r="CA25" s="229" t="str">
        <f t="shared" si="42"/>
        <v xml:space="preserve"> </v>
      </c>
      <c r="CB25" s="221" t="str">
        <f t="shared" si="43"/>
        <v xml:space="preserve"> </v>
      </c>
      <c r="CC25" s="57">
        <f t="shared" si="66"/>
        <v>0.61906915348118741</v>
      </c>
      <c r="CD25" s="57">
        <f t="shared" si="67"/>
        <v>1.812758291352139</v>
      </c>
      <c r="CE25" s="58">
        <f t="shared" si="68"/>
        <v>1</v>
      </c>
      <c r="CF25" s="58">
        <f t="shared" si="69"/>
        <v>1</v>
      </c>
      <c r="CG25" s="57">
        <f t="shared" si="70"/>
        <v>2</v>
      </c>
      <c r="CH25" s="57">
        <f t="shared" si="71"/>
        <v>9</v>
      </c>
      <c r="CI25" s="57">
        <f t="shared" si="72"/>
        <v>9</v>
      </c>
      <c r="CJ25" s="196">
        <f t="shared" si="73"/>
        <v>9</v>
      </c>
      <c r="CK25" s="57">
        <f t="shared" si="74"/>
        <v>7</v>
      </c>
      <c r="CL25" s="57">
        <f t="shared" si="75"/>
        <v>7</v>
      </c>
      <c r="CM25" s="57">
        <f t="shared" si="76"/>
        <v>9</v>
      </c>
      <c r="CN25" s="57">
        <f t="shared" si="77"/>
        <v>9</v>
      </c>
      <c r="CO25" s="57">
        <f t="shared" si="78"/>
        <v>1</v>
      </c>
      <c r="CP25" s="57">
        <f t="shared" si="79"/>
        <v>1</v>
      </c>
      <c r="CQ25" s="57">
        <f t="shared" si="80"/>
        <v>7</v>
      </c>
      <c r="CR25" s="57">
        <f t="shared" si="81"/>
        <v>6</v>
      </c>
      <c r="CS25" s="57">
        <f t="shared" si="82"/>
        <v>9</v>
      </c>
      <c r="CT25" s="57">
        <f t="shared" si="83"/>
        <v>9</v>
      </c>
      <c r="CU25" s="57" t="str">
        <f>IF(dashboard[[#This Row],[COHENSION]]=" "," ",_xlfn.RANK.AVG(F25,$F$3:$F$26,0))</f>
        <v xml:space="preserve"> </v>
      </c>
      <c r="CV25" s="57">
        <f t="shared" si="84"/>
        <v>3</v>
      </c>
      <c r="CW25" s="57">
        <f t="shared" si="85"/>
        <v>9</v>
      </c>
      <c r="CX25" s="58">
        <f t="shared" si="86"/>
        <v>1</v>
      </c>
      <c r="CY25" s="58">
        <f t="shared" si="87"/>
        <v>1</v>
      </c>
      <c r="CZ25" s="58" t="str">
        <f>IFERROR(VLOOKUP($A25,'cluster'!$A$20:$CI$45,86,0),CU25)</f>
        <v xml:space="preserve"> </v>
      </c>
      <c r="DA25" s="58" t="str">
        <f>IF(ISERROR(VLOOKUP(A25,'Raw Data'!$A$3:$DY$29,129,FALSE))," ",VLOOKUP(A25,'Raw Data'!$A$3:$DY$29,129,FALSE))</f>
        <v xml:space="preserve"> </v>
      </c>
      <c r="DB25" s="58" t="str">
        <f t="shared" si="44"/>
        <v xml:space="preserve"> </v>
      </c>
      <c r="DC25" s="58">
        <f t="shared" si="88"/>
        <v>11.390625</v>
      </c>
      <c r="DD25" s="58">
        <f t="shared" si="89"/>
        <v>1</v>
      </c>
      <c r="DE25" s="58">
        <f t="shared" si="45"/>
        <v>0</v>
      </c>
      <c r="DF25" s="58">
        <f t="shared" si="46"/>
        <v>1</v>
      </c>
      <c r="DG25" s="58" t="str">
        <f t="shared" si="47"/>
        <v xml:space="preserve"> </v>
      </c>
    </row>
    <row r="26" spans="1:111" ht="30" customHeight="1" x14ac:dyDescent="0.55000000000000004">
      <c r="A26" s="21">
        <f>RawData[[#This Row],[Num]]</f>
        <v>0</v>
      </c>
      <c r="B26" s="22" t="str">
        <f>IFERROR(VLOOKUP($A26,'Raw Data'!$A$3:$EA$30,2,0)," ")</f>
        <v xml:space="preserve"> </v>
      </c>
      <c r="C26" s="8" t="str">
        <f>IFERROR(VLOOKUP($A26,'Raw Data'!$A$3:$EA$30,6,0)," ")</f>
        <v xml:space="preserve"> </v>
      </c>
      <c r="D26" s="8" t="str">
        <f>IFERROR(VLOOKUP($A26,'Raw Data'!$A$3:$EA$30,7,0)," ")</f>
        <v xml:space="preserve"> </v>
      </c>
      <c r="E26" s="149" t="str">
        <f>IFERROR(VLOOKUP($A26,'Raw Data'!$A$3:$EA$29,10,0)," ")</f>
        <v xml:space="preserve"> </v>
      </c>
      <c r="F26" s="273" t="str">
        <f>IFERROR(VLOOKUP(dashboard[[#This Row],[BOX]],'Raw Data'!$A$3:$EA$32,130)," ")</f>
        <v xml:space="preserve"> </v>
      </c>
      <c r="G26" s="49" t="str">
        <f>IF(ISERROR(D26/dashboard[[#This Row],[RUNS]])," ",(D26/dashboard[[#This Row],[RUNS]]))</f>
        <v xml:space="preserve"> </v>
      </c>
      <c r="H26" s="7">
        <f>IF(ISERROR(dashboard[[#This Row],[Wins Data]]/$G$29),0,dashboard[[#This Row],[Wins Data]]/$G$29)</f>
        <v>0</v>
      </c>
      <c r="I26" s="8" t="str">
        <f>IF(dashboard[[#This Row],[Column2]]=1,($I$30/J$29)," ")</f>
        <v xml:space="preserve"> </v>
      </c>
      <c r="J26" s="17" t="str">
        <f t="shared" si="0"/>
        <v xml:space="preserve"> </v>
      </c>
      <c r="K26" s="49" t="str">
        <f t="shared" si="48"/>
        <v xml:space="preserve"> </v>
      </c>
      <c r="L26" s="7">
        <f t="shared" si="49"/>
        <v>0</v>
      </c>
      <c r="M26" s="8" t="str">
        <f>IF(dashboard[[#This Row],[Column1]]=1,($M$30/N$29)," ")</f>
        <v xml:space="preserve"> </v>
      </c>
      <c r="N26" s="17" t="str">
        <f t="shared" si="1"/>
        <v xml:space="preserve"> </v>
      </c>
      <c r="O26" s="49" t="str">
        <f t="shared" si="2"/>
        <v xml:space="preserve"> </v>
      </c>
      <c r="P26" s="7">
        <f t="shared" si="50"/>
        <v>0</v>
      </c>
      <c r="Q26" s="8" t="str">
        <f>IF(dashboard[[#This Row],[Column3]]=1,($Q$30/$R$29)," ")</f>
        <v xml:space="preserve"> </v>
      </c>
      <c r="R26" s="17" t="str">
        <f t="shared" si="4"/>
        <v xml:space="preserve"> </v>
      </c>
      <c r="S26" s="49" t="str">
        <f>IF(ISERROR(VLOOKUP($A26,'Raw Data'!$A$3:$EA$30,121,0))," ",VLOOKUP($A26,'Raw Data'!$A$3:$EA$30,121,0))</f>
        <v xml:space="preserve"> </v>
      </c>
      <c r="T26" s="7">
        <f t="shared" si="51"/>
        <v>0</v>
      </c>
      <c r="U26" s="8">
        <f t="shared" si="6"/>
        <v>0</v>
      </c>
      <c r="V26" s="17">
        <f t="shared" si="7"/>
        <v>1</v>
      </c>
      <c r="W26" s="49" t="str">
        <f>IFERROR(VLOOKUP($A26,'Raw Data'!$A$3:$EA$30,123,0)^2," ")</f>
        <v xml:space="preserve"> </v>
      </c>
      <c r="X26" s="7">
        <f t="shared" si="52"/>
        <v>0</v>
      </c>
      <c r="Y26" s="8">
        <f t="shared" si="8"/>
        <v>7505.5279320964964</v>
      </c>
      <c r="Z26" s="17">
        <f t="shared" si="9"/>
        <v>1</v>
      </c>
      <c r="AA26" s="219" t="str">
        <f>IF(ISERROR(VLOOKUP($A26,'Raw Data'!$A$3:$EA$30,36,0))," ",VLOOKUP($A26,'Raw Data'!$A$3:$EA$30,36,0))</f>
        <v xml:space="preserve"> </v>
      </c>
      <c r="AB26" s="7">
        <f t="shared" si="53"/>
        <v>0</v>
      </c>
      <c r="AC26" s="8" t="str">
        <f>IF(dashboard[[#This Row],[Column6]]=1,($AC$30/$AD$29)," ")</f>
        <v xml:space="preserve"> </v>
      </c>
      <c r="AD26" s="17" t="str">
        <f t="shared" si="11"/>
        <v xml:space="preserve"> </v>
      </c>
      <c r="AE26" s="49" t="str">
        <f>IF(ISERROR((100/(VLOOKUP($A26,'Raw Data'!$A$3:$X$32,'A1. PICKS'!$I$2,0))))," ",100/(VLOOKUP($A26,'Raw Data'!$A$3:$X$32,'A1. PICKS'!$I$2,0)))</f>
        <v xml:space="preserve"> </v>
      </c>
      <c r="AF26" s="7">
        <f t="shared" si="54"/>
        <v>0</v>
      </c>
      <c r="AG26" s="8" t="str">
        <f>IF(dashboard[[#This Row],[Column7]]=1,($AG$30/$AH$29)," ")</f>
        <v xml:space="preserve"> </v>
      </c>
      <c r="AH26" s="17" t="str">
        <f t="shared" si="13"/>
        <v xml:space="preserve"> </v>
      </c>
      <c r="AI26" s="49" t="str">
        <f>IFERROR(VLOOKUP($A26,'Raw Data'!$A$3:$EA$29,120,0)," ")</f>
        <v xml:space="preserve"> </v>
      </c>
      <c r="AJ26" s="7">
        <f t="shared" si="55"/>
        <v>0</v>
      </c>
      <c r="AK26" s="8">
        <f>IF(dashboard[[#This Row],[Column8]]=1,($AK$30/$AL$29)," ")</f>
        <v>0</v>
      </c>
      <c r="AL26" s="17">
        <f t="shared" si="14"/>
        <v>1</v>
      </c>
      <c r="AM26" s="49" t="str">
        <f>IF(ISERROR(VLOOKUP($A26,'Raw Data'!$A$3:$EA$30,31,0))," ",VLOOKUP($A26,'Raw Data'!$A$3:$EA$30,31,0))</f>
        <v xml:space="preserve"> </v>
      </c>
      <c r="AN26" s="7">
        <f t="shared" si="56"/>
        <v>0</v>
      </c>
      <c r="AO26" s="8" t="str">
        <f>IF(dashboard[[#This Row],[Column9]]=1,($AO$30/$AP$29)," ")</f>
        <v xml:space="preserve"> </v>
      </c>
      <c r="AP26" s="17" t="str">
        <f t="shared" si="16"/>
        <v xml:space="preserve"> </v>
      </c>
      <c r="AQ26" s="49" t="str">
        <f>IF(ISERROR(VLOOKUP($A26,'Raw Data'!$A$3:$EA$30,39,0))," ",VLOOKUP($A26,'Raw Data'!$A$3:$EA$30,39,0))</f>
        <v xml:space="preserve"> </v>
      </c>
      <c r="AR26" s="7">
        <f t="shared" si="57"/>
        <v>0</v>
      </c>
      <c r="AS26" s="8" t="str">
        <f>IF(dashboard[[#This Row],[Column10]]=1,($AS$30/$AT$29)," ")</f>
        <v xml:space="preserve"> </v>
      </c>
      <c r="AT26" s="17" t="str">
        <f t="shared" si="18"/>
        <v xml:space="preserve"> </v>
      </c>
      <c r="AU26" s="49" t="str">
        <f>IFERROR(VLOOKUP($A26,'Raw Data'!$A$3:$EA$30,20,0)," ")</f>
        <v xml:space="preserve"> </v>
      </c>
      <c r="AV26" s="7">
        <f t="shared" si="58"/>
        <v>0</v>
      </c>
      <c r="AW26" s="8" t="str">
        <f>IF(dashboard[[#This Row],[Column11]]=1,($AW$30/$AX$29)," ")</f>
        <v xml:space="preserve"> </v>
      </c>
      <c r="AX26" s="17" t="str">
        <f t="shared" si="20"/>
        <v xml:space="preserve"> </v>
      </c>
      <c r="AY26" s="49" t="str">
        <f>IF(ISERROR(VLOOKUP($A26,'Raw Data'!$A$3:$EA$30,75,0))," ",VLOOKUP($A26,'Raw Data'!$A$3:$EA$30,75,0))</f>
        <v xml:space="preserve"> </v>
      </c>
      <c r="AZ26" s="7">
        <f t="shared" si="59"/>
        <v>0</v>
      </c>
      <c r="BA26" s="8" t="str">
        <f t="shared" si="22"/>
        <v xml:space="preserve"> </v>
      </c>
      <c r="BB26" s="17" t="str">
        <f t="shared" si="60"/>
        <v xml:space="preserve"> </v>
      </c>
      <c r="BC26" s="49" t="str">
        <f>IF(ISERROR(VLOOKUP($A26,'Raw Data'!$A$3:$EA$30,108,0))," ",VLOOKUP($A26,'Raw Data'!$A$3:$EA$30,108,0))</f>
        <v xml:space="preserve"> </v>
      </c>
      <c r="BD26" s="7">
        <f t="shared" si="61"/>
        <v>0</v>
      </c>
      <c r="BE26" s="8" t="str">
        <f t="shared" si="25"/>
        <v xml:space="preserve"> </v>
      </c>
      <c r="BF26" s="17" t="str">
        <f t="shared" si="62"/>
        <v xml:space="preserve"> </v>
      </c>
      <c r="BG26" s="49" t="str">
        <f>IF(ISERROR(VLOOKUP($A26,'Raw Data'!$A$3:$EA$30,48,0))," ",VLOOKUP($A26,'Raw Data'!$A$3:$EA$30,48,0))</f>
        <v xml:space="preserve"> </v>
      </c>
      <c r="BH26" s="7">
        <f t="shared" si="63"/>
        <v>0</v>
      </c>
      <c r="BI26" s="8" t="str">
        <f t="shared" si="28"/>
        <v xml:space="preserve"> </v>
      </c>
      <c r="BJ26" s="17" t="str">
        <f t="shared" si="64"/>
        <v xml:space="preserve"> </v>
      </c>
      <c r="BK26" s="49" t="str">
        <f>IF(ISERROR(VLOOKUP($A26,'Raw Data'!$A$3:$EA$30,39,0))," ",VLOOKUP($A26,'Raw Data'!$A$3:$EA$30,39,0))</f>
        <v xml:space="preserve"> </v>
      </c>
      <c r="BL26" s="7">
        <f t="shared" si="65"/>
        <v>0</v>
      </c>
      <c r="BM26" s="8" t="str">
        <f t="shared" si="30"/>
        <v xml:space="preserve"> </v>
      </c>
      <c r="BN26" s="17" t="str">
        <f t="shared" si="31"/>
        <v xml:space="preserve"> </v>
      </c>
      <c r="BP26" s="8">
        <f t="shared" si="32"/>
        <v>7505.5279320964964</v>
      </c>
      <c r="BR26" s="9">
        <f t="shared" si="33"/>
        <v>7.505527932096496E-3</v>
      </c>
      <c r="BS26" s="10">
        <f t="shared" si="34"/>
        <v>-0.64975969985772108</v>
      </c>
      <c r="BT26" s="61">
        <f t="shared" si="35"/>
        <v>2.1060205177837771E-37</v>
      </c>
      <c r="BU26" s="32" t="str">
        <f t="shared" si="36"/>
        <v xml:space="preserve"> </v>
      </c>
      <c r="BV26" s="29" t="str">
        <f t="shared" si="37"/>
        <v>|||</v>
      </c>
      <c r="BW26" s="34" t="str">
        <f t="shared" si="38"/>
        <v>|||</v>
      </c>
      <c r="BX26" s="46" t="str">
        <f t="shared" si="39"/>
        <v>|||</v>
      </c>
      <c r="BY26" s="220" t="str">
        <f t="shared" si="40"/>
        <v xml:space="preserve"> </v>
      </c>
      <c r="BZ26" s="46" t="str">
        <f t="shared" si="41"/>
        <v>||||||</v>
      </c>
      <c r="CA26" s="229" t="str">
        <f t="shared" si="42"/>
        <v xml:space="preserve"> </v>
      </c>
      <c r="CB26" s="221" t="str">
        <f t="shared" si="43"/>
        <v xml:space="preserve"> </v>
      </c>
      <c r="CC26" s="57">
        <f t="shared" si="66"/>
        <v>0.61906915348118741</v>
      </c>
      <c r="CD26" s="57">
        <f t="shared" si="67"/>
        <v>1.812758291352139</v>
      </c>
      <c r="CE26" s="58">
        <f t="shared" si="68"/>
        <v>1</v>
      </c>
      <c r="CF26" s="58">
        <f t="shared" si="69"/>
        <v>1</v>
      </c>
      <c r="CG26" s="57">
        <f t="shared" si="70"/>
        <v>2</v>
      </c>
      <c r="CH26" s="57">
        <f t="shared" si="71"/>
        <v>9</v>
      </c>
      <c r="CI26" s="57">
        <f t="shared" si="72"/>
        <v>9</v>
      </c>
      <c r="CJ26" s="196">
        <f t="shared" si="73"/>
        <v>9</v>
      </c>
      <c r="CK26" s="57">
        <f t="shared" si="74"/>
        <v>7</v>
      </c>
      <c r="CL26" s="57">
        <f t="shared" si="75"/>
        <v>7</v>
      </c>
      <c r="CM26" s="57">
        <f t="shared" si="76"/>
        <v>9</v>
      </c>
      <c r="CN26" s="57">
        <f t="shared" si="77"/>
        <v>9</v>
      </c>
      <c r="CO26" s="57">
        <f t="shared" si="78"/>
        <v>1</v>
      </c>
      <c r="CP26" s="57">
        <f t="shared" si="79"/>
        <v>1</v>
      </c>
      <c r="CQ26" s="57">
        <f t="shared" si="80"/>
        <v>7</v>
      </c>
      <c r="CR26" s="57">
        <f t="shared" si="81"/>
        <v>6</v>
      </c>
      <c r="CS26" s="57">
        <f t="shared" si="82"/>
        <v>9</v>
      </c>
      <c r="CT26" s="57">
        <f t="shared" si="83"/>
        <v>9</v>
      </c>
      <c r="CU26" s="57" t="str">
        <f>IF(dashboard[[#This Row],[COHENSION]]=" "," ",_xlfn.RANK.AVG(F26,$F$3:$F$26,0))</f>
        <v xml:space="preserve"> </v>
      </c>
      <c r="CV26" s="57">
        <f t="shared" si="84"/>
        <v>3</v>
      </c>
      <c r="CW26" s="57">
        <f t="shared" si="85"/>
        <v>9</v>
      </c>
      <c r="CX26" s="58">
        <f t="shared" si="86"/>
        <v>1</v>
      </c>
      <c r="CY26" s="58">
        <f t="shared" si="87"/>
        <v>1</v>
      </c>
      <c r="CZ26" s="58" t="str">
        <f>IFERROR(VLOOKUP($A26,'cluster'!$A$20:$CI$45,86,0),CU26)</f>
        <v xml:space="preserve"> </v>
      </c>
      <c r="DA26" s="58" t="str">
        <f>IF(ISERROR(VLOOKUP(A26,'Raw Data'!$A$3:$DY$29,129,FALSE))," ",VLOOKUP(A26,'Raw Data'!$A$3:$DY$29,129,FALSE))</f>
        <v xml:space="preserve"> </v>
      </c>
      <c r="DB26" s="58" t="str">
        <f t="shared" si="44"/>
        <v xml:space="preserve"> </v>
      </c>
      <c r="DC26" s="58">
        <f t="shared" si="88"/>
        <v>11.390625</v>
      </c>
      <c r="DD26" s="58">
        <f t="shared" si="89"/>
        <v>1</v>
      </c>
      <c r="DE26" s="58">
        <f t="shared" si="45"/>
        <v>0</v>
      </c>
      <c r="DF26" s="58">
        <f t="shared" si="46"/>
        <v>1</v>
      </c>
      <c r="DG26" s="58" t="str">
        <f t="shared" si="47"/>
        <v xml:space="preserve"> </v>
      </c>
    </row>
    <row r="27" spans="1:111" ht="39.9" customHeight="1" x14ac:dyDescent="0.55000000000000004">
      <c r="A27" s="4"/>
      <c r="B27" s="6"/>
      <c r="C27" s="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11"/>
      <c r="T27" s="4"/>
      <c r="U27" s="4"/>
      <c r="V27" s="4"/>
      <c r="W27" s="11"/>
      <c r="X27" s="4"/>
      <c r="Y27" s="4"/>
      <c r="Z27" s="4"/>
      <c r="AA27" s="11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P27" s="4"/>
      <c r="BR27" s="4"/>
      <c r="BS27" s="10"/>
      <c r="BT27" s="12"/>
      <c r="BU27" s="13"/>
      <c r="BW27" s="10"/>
      <c r="BX27" s="12"/>
      <c r="BY27" s="47"/>
      <c r="BZ27" s="14"/>
      <c r="CA27" s="2"/>
      <c r="CB27" s="2"/>
      <c r="CE27" s="1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2"/>
      <c r="CZ27" s="10"/>
      <c r="DA27" s="2"/>
      <c r="DB27" s="10"/>
      <c r="DC27" s="2"/>
      <c r="DD27" s="2"/>
      <c r="DE27" s="10"/>
      <c r="DF27" s="2"/>
      <c r="DG27" s="2"/>
    </row>
    <row r="28" spans="1:111" ht="39.9" customHeight="1" x14ac:dyDescent="0.55000000000000004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P28" s="54"/>
      <c r="BQ28" s="54"/>
      <c r="BR28" s="54"/>
      <c r="BS28" s="54"/>
      <c r="BT28" s="54"/>
      <c r="BU28" s="54"/>
      <c r="BV28" s="54"/>
      <c r="BW28" s="54"/>
      <c r="BX28" s="54"/>
      <c r="BY28" s="55"/>
      <c r="BZ28" s="56"/>
      <c r="CA28" s="54"/>
      <c r="CB28" s="54"/>
      <c r="CD28" s="54"/>
      <c r="CE28" s="54"/>
      <c r="CF28" s="54"/>
      <c r="CG28" s="54"/>
      <c r="CH28" s="54"/>
      <c r="CI28" s="54"/>
      <c r="CJ28" s="54"/>
      <c r="CK28" s="54"/>
      <c r="CL28" s="54"/>
      <c r="CM28" s="54"/>
      <c r="CN28" s="54"/>
      <c r="CO28" s="54"/>
      <c r="CP28" s="54"/>
      <c r="CQ28" s="54"/>
      <c r="CR28" s="54"/>
      <c r="CS28" s="54"/>
      <c r="CT28" s="54"/>
      <c r="CU28" s="54"/>
      <c r="CV28" s="54"/>
      <c r="CW28" s="54"/>
      <c r="CX28" s="54"/>
      <c r="CY28" s="54"/>
      <c r="CZ28" s="54"/>
      <c r="DA28" s="54"/>
      <c r="DB28" s="54"/>
      <c r="DC28" s="54"/>
      <c r="DD28" s="54"/>
      <c r="DE28" s="54"/>
      <c r="DF28" s="54"/>
      <c r="DG28" s="54"/>
    </row>
    <row r="29" spans="1:111" ht="39.9" customHeight="1" x14ac:dyDescent="0.55000000000000004">
      <c r="A29" s="36"/>
      <c r="B29" s="36"/>
      <c r="C29" s="36"/>
      <c r="D29" s="36"/>
      <c r="E29" s="36"/>
      <c r="F29" s="36"/>
      <c r="G29" s="15">
        <f>SUM(G3:G26)</f>
        <v>1.1660136681320294</v>
      </c>
      <c r="H29" s="37">
        <f>STDEV(H3:H26)</f>
        <v>6.1638618110778198E-2</v>
      </c>
      <c r="I29" s="38">
        <f>SUM(I3:I26)</f>
        <v>0</v>
      </c>
      <c r="J29" s="38">
        <f>SUM(J3:J26)</f>
        <v>8</v>
      </c>
      <c r="K29" s="15">
        <f>SUM(K3:K26)</f>
        <v>3.137233363594766</v>
      </c>
      <c r="L29" s="37">
        <f>STDEV(L3:L26)</f>
        <v>6.1256545304195914E-2</v>
      </c>
      <c r="M29" s="38">
        <f>SUM(M3:M26)</f>
        <v>0</v>
      </c>
      <c r="N29" s="38">
        <f>SUM(N3:N26)</f>
        <v>8</v>
      </c>
      <c r="O29" s="15">
        <f>SUM(O3:O26)</f>
        <v>683679648.39792252</v>
      </c>
      <c r="P29" s="37">
        <f>STDEV(P3:P26)</f>
        <v>0.14401835761369616</v>
      </c>
      <c r="Q29" s="38">
        <f>SUM(Q3:Q26)</f>
        <v>174856.87817513637</v>
      </c>
      <c r="R29" s="38">
        <f>SUM(R3:R26)</f>
        <v>8</v>
      </c>
      <c r="S29" s="15">
        <f>SUM(S3:S26)</f>
        <v>31.2</v>
      </c>
      <c r="T29" s="37">
        <f>STDEV(T3:T26)</f>
        <v>7.3655819390966312E-2</v>
      </c>
      <c r="U29" s="38">
        <f>SUM(U3:U26)</f>
        <v>0</v>
      </c>
      <c r="V29" s="38">
        <f>SUM(V3:V26)</f>
        <v>16</v>
      </c>
      <c r="W29" s="15">
        <f>SUM(W3:W26)</f>
        <v>433600</v>
      </c>
      <c r="X29" s="37">
        <f>STDEV(X3:X26)</f>
        <v>9.8909125413674318E-2</v>
      </c>
      <c r="Y29" s="38">
        <f>SUM(Y3:Y26)</f>
        <v>120088.44691354391</v>
      </c>
      <c r="Z29" s="38">
        <f>SUM(Z3:Z26)</f>
        <v>16</v>
      </c>
      <c r="AA29" s="15">
        <f>SUM(AA3:AA26)</f>
        <v>33.340000000000003</v>
      </c>
      <c r="AB29" s="37">
        <f>STDEV(AB3:AB26)</f>
        <v>0.14116492564331998</v>
      </c>
      <c r="AC29" s="38">
        <f>SUM(AC3:AC26)</f>
        <v>171392.4433996515</v>
      </c>
      <c r="AD29" s="38">
        <f>SUM(AD3:AD26)</f>
        <v>2</v>
      </c>
      <c r="AE29" s="15">
        <f>SUM(AE3:AE26)</f>
        <v>111.42321339222396</v>
      </c>
      <c r="AF29" s="37">
        <f>STDEV(AF3:AF26)</f>
        <v>8.3689766146554628E-2</v>
      </c>
      <c r="AG29" s="38">
        <f>SUM(AG3:AG26)</f>
        <v>101610.18002195357</v>
      </c>
      <c r="AH29" s="38">
        <f>SUM(AH3:AH26)</f>
        <v>8</v>
      </c>
      <c r="AI29" s="15">
        <f>SUM(AI3:AI26)</f>
        <v>42</v>
      </c>
      <c r="AJ29" s="37">
        <f>STDEV(AJ3:AJ26)</f>
        <v>6.9946670577196599E-2</v>
      </c>
      <c r="AK29" s="38">
        <f>SUM(AK3:AK26)</f>
        <v>0</v>
      </c>
      <c r="AL29" s="38">
        <f>SUM(AL3:AL26)</f>
        <v>16</v>
      </c>
      <c r="AM29" s="15">
        <f>SUM(AM3:AM26)</f>
        <v>-203</v>
      </c>
      <c r="AN29" s="37">
        <f>IF(AO31="WET",0,STDEV(AN3:AN26))</f>
        <v>0.26612873114778923</v>
      </c>
      <c r="AO29" s="38">
        <f>SUM(AO3:AO26)</f>
        <v>323114.63546913263</v>
      </c>
      <c r="AP29" s="38">
        <f>SUM(AP3:AP26)</f>
        <v>6</v>
      </c>
      <c r="AQ29" s="15">
        <f>SUM(AQ3:AQ26)</f>
        <v>256.67</v>
      </c>
      <c r="AR29" s="37">
        <f>IF(AS31="DRY",0,STDEV(AR3:AR26))</f>
        <v>7.9963805967688178E-2</v>
      </c>
      <c r="AS29" s="38">
        <f>SUM(AS3:AS26)</f>
        <v>0</v>
      </c>
      <c r="AT29" s="38">
        <f>SUM(AT3:AT26)</f>
        <v>6</v>
      </c>
      <c r="AU29" s="15">
        <f>SUM(AU3:AU26)</f>
        <v>14291</v>
      </c>
      <c r="AV29" s="37">
        <f>STDEV(AV3:AV26)</f>
        <v>6.2750146222413955E-2</v>
      </c>
      <c r="AW29" s="38">
        <f>SUM(AW3:AW26)</f>
        <v>0</v>
      </c>
      <c r="AX29" s="38">
        <f>SUM(AX3:AX26)</f>
        <v>8</v>
      </c>
      <c r="AY29" s="15">
        <f>SUM(AY3:AY26)</f>
        <v>84.92</v>
      </c>
      <c r="AZ29" s="37">
        <f>STDEV(AZ3:AZ26)</f>
        <v>6.1777500079683093E-2</v>
      </c>
      <c r="BA29" s="38">
        <f>SUM(BA3:BA26)</f>
        <v>0</v>
      </c>
      <c r="BB29" s="38">
        <f>SUM(BB3:BB26)</f>
        <v>8</v>
      </c>
      <c r="BC29" s="15">
        <f>SUM(BC3:BC26)</f>
        <v>74.58</v>
      </c>
      <c r="BD29" s="37">
        <f>STDEV(BD3:BD26)</f>
        <v>6.9458884623512129E-2</v>
      </c>
      <c r="BE29" s="38">
        <f>SUM(BE3:BE26)</f>
        <v>0</v>
      </c>
      <c r="BF29" s="38">
        <f>SUM(BF3:BF26)</f>
        <v>8</v>
      </c>
      <c r="BG29" s="15">
        <f>SUM(BG3:BG26)</f>
        <v>61.070000000000007</v>
      </c>
      <c r="BH29" s="37">
        <f>STDEV(BH3:BH26)</f>
        <v>8.9724738893314074E-2</v>
      </c>
      <c r="BI29" s="38">
        <f>SUM(BI3:BI26)</f>
        <v>108937.41602058176</v>
      </c>
      <c r="BJ29" s="38">
        <f>SUM(BJ3:BJ26)</f>
        <v>5</v>
      </c>
      <c r="BK29" s="15">
        <f>SUM(BK3:BK26)</f>
        <v>256.67</v>
      </c>
      <c r="BL29" s="37">
        <f>STDEV(BL3:BL26)</f>
        <v>7.9963805967688178E-2</v>
      </c>
      <c r="BM29" s="38">
        <f>SUM(BM3:BM26)</f>
        <v>0</v>
      </c>
      <c r="BN29" s="16">
        <f>SUM(BN3:BN26)</f>
        <v>6</v>
      </c>
      <c r="BP29" s="51">
        <f>SUM(BP3:BP26)</f>
        <v>1000000</v>
      </c>
      <c r="BQ29" s="39"/>
      <c r="BR29" s="50">
        <f>MEDIAN($BP3:$BP26)</f>
        <v>7505.5279320964964</v>
      </c>
      <c r="BS29" s="15"/>
      <c r="BT29" s="15"/>
      <c r="BU29" s="15"/>
      <c r="BV29" s="15"/>
      <c r="BW29" s="15"/>
      <c r="BX29" s="225"/>
      <c r="BY29" s="224"/>
      <c r="BZ29" s="225"/>
      <c r="CA29" s="250" t="s">
        <v>381</v>
      </c>
      <c r="CB29" s="224" t="s">
        <v>383</v>
      </c>
      <c r="CC29" s="272">
        <v>1</v>
      </c>
      <c r="CD29" s="228" t="s">
        <v>23</v>
      </c>
      <c r="CE29" s="230">
        <f>MEDIAN(CF29:CZ29)</f>
        <v>7.25</v>
      </c>
      <c r="CF29" s="231">
        <f>IFERROR(AVERAGE(CF3:CF26)," ")</f>
        <v>7.25</v>
      </c>
      <c r="CG29" s="231">
        <f t="shared" ref="CG29:DD29" si="90">IFERROR(AVERAGE(CG3:CG26)," ")</f>
        <v>7.25</v>
      </c>
      <c r="CH29" s="231">
        <f>IFERROR(AVERAGE(CH3:CH26)," ")</f>
        <v>7.458333333333333</v>
      </c>
      <c r="CI29" s="231">
        <f t="shared" si="90"/>
        <v>7.25</v>
      </c>
      <c r="CJ29" s="231">
        <f t="shared" si="90"/>
        <v>7.458333333333333</v>
      </c>
      <c r="CK29" s="231">
        <f t="shared" si="90"/>
        <v>6.083333333333333</v>
      </c>
      <c r="CL29" s="231">
        <f t="shared" si="90"/>
        <v>7.25</v>
      </c>
      <c r="CM29" s="231">
        <f t="shared" si="90"/>
        <v>7.5</v>
      </c>
      <c r="CN29" s="231">
        <f t="shared" si="90"/>
        <v>7.5</v>
      </c>
      <c r="CO29" s="231">
        <f t="shared" si="90"/>
        <v>7.5</v>
      </c>
      <c r="CP29" s="231">
        <f t="shared" si="90"/>
        <v>7.375</v>
      </c>
      <c r="CQ29" s="231">
        <f t="shared" si="90"/>
        <v>6.083333333333333</v>
      </c>
      <c r="CR29" s="231">
        <f t="shared" si="90"/>
        <v>5.375</v>
      </c>
      <c r="CS29" s="231">
        <f t="shared" si="90"/>
        <v>7.5</v>
      </c>
      <c r="CT29" s="231">
        <f t="shared" si="90"/>
        <v>7.5</v>
      </c>
      <c r="CU29" s="231">
        <f t="shared" si="90"/>
        <v>4.5</v>
      </c>
      <c r="CV29" s="231">
        <f t="shared" si="90"/>
        <v>2.8333333333333335</v>
      </c>
      <c r="CW29" s="231">
        <f t="shared" si="90"/>
        <v>7.5</v>
      </c>
      <c r="CX29" s="231">
        <f t="shared" si="90"/>
        <v>7.25</v>
      </c>
      <c r="CY29" s="231">
        <f t="shared" si="90"/>
        <v>7.25</v>
      </c>
      <c r="CZ29" s="231">
        <f t="shared" si="90"/>
        <v>4.375</v>
      </c>
      <c r="DA29" s="231">
        <f t="shared" si="90"/>
        <v>4.5</v>
      </c>
      <c r="DB29" s="231">
        <f t="shared" si="90"/>
        <v>-15.25</v>
      </c>
      <c r="DC29" s="231">
        <f t="shared" si="90"/>
        <v>88.119791666666671</v>
      </c>
      <c r="DD29" s="231">
        <f t="shared" si="90"/>
        <v>7.25</v>
      </c>
      <c r="DE29" s="231"/>
      <c r="DF29" s="231">
        <f t="shared" ref="DF29:DG29" si="91">IF(ISERROR(ROUNDDOWN(AVERAGE(DF3:DF26),0))," ",ROUNDDOWN(AVERAGE(DF3:DF26),0))</f>
        <v>7</v>
      </c>
      <c r="DG29" s="231">
        <f t="shared" si="91"/>
        <v>4</v>
      </c>
    </row>
    <row r="30" spans="1:111" ht="39.9" customHeight="1" x14ac:dyDescent="0.55000000000000004">
      <c r="A30" s="6"/>
      <c r="B30" s="6"/>
      <c r="C30" s="6"/>
      <c r="D30" s="6"/>
      <c r="E30" s="6"/>
      <c r="F30" s="6"/>
      <c r="G30" s="51">
        <f>VLOOKUP(I$2,$BR$33:$BU$47,4,FALSE)</f>
        <v>0</v>
      </c>
      <c r="H30" s="40">
        <f>SUM(H3:H26)</f>
        <v>1</v>
      </c>
      <c r="I30" s="17">
        <f>H30*G30</f>
        <v>0</v>
      </c>
      <c r="J30" s="40" t="str">
        <f>IF(ISERROR(I29/I30)," ",(I29/I30))</f>
        <v xml:space="preserve"> </v>
      </c>
      <c r="K30" s="51">
        <f>VLOOKUP(M$2,$BR$33:$BU$47,4,FALSE)</f>
        <v>0</v>
      </c>
      <c r="L30" s="40">
        <f>SUM(L3:L26)</f>
        <v>0.99999999999999978</v>
      </c>
      <c r="M30" s="17">
        <f>L30*K30</f>
        <v>0</v>
      </c>
      <c r="N30" s="40" t="str">
        <f>IF(ISERROR(M29/M30)," ",(M29/M30))</f>
        <v xml:space="preserve"> </v>
      </c>
      <c r="O30" s="51">
        <f>VLOOKUP(Q$2,$BR$33:$BU$47,4,FALSE)</f>
        <v>174856.8781751364</v>
      </c>
      <c r="P30" s="40">
        <f>SUM(P3:P26)</f>
        <v>0.99999999999999978</v>
      </c>
      <c r="Q30" s="17">
        <f>P30*O30</f>
        <v>174856.87817513637</v>
      </c>
      <c r="R30" s="40">
        <f>IF(ISERROR(Q29/Q30)," ",(Q29/Q30))</f>
        <v>1</v>
      </c>
      <c r="S30" s="51">
        <f>VLOOKUP(U$2,$BR$33:$BU$47,4,FALSE)</f>
        <v>0</v>
      </c>
      <c r="T30" s="40">
        <f>SUM(T3:T26)</f>
        <v>1</v>
      </c>
      <c r="U30" s="17">
        <f>T30*S30</f>
        <v>0</v>
      </c>
      <c r="V30" s="40" t="str">
        <f>IF(ISERROR(U29/U30)," ",(U29/U30))</f>
        <v xml:space="preserve"> </v>
      </c>
      <c r="W30" s="51">
        <f>VLOOKUP(Y$2,$BR$33:$BU$47,4,FALSE)</f>
        <v>120088.44691354394</v>
      </c>
      <c r="X30" s="40">
        <f>SUM(X3:X26)</f>
        <v>1</v>
      </c>
      <c r="Y30" s="17">
        <f>X30*W30</f>
        <v>120088.44691354394</v>
      </c>
      <c r="Z30" s="40">
        <f>IF(ISERROR(Y29/Y30)," ",(Y29/Y30))</f>
        <v>0.99999999999999978</v>
      </c>
      <c r="AA30" s="51">
        <f>VLOOKUP(AC$2,$BR$33:$BU$47,4,FALSE)</f>
        <v>171392.4433996515</v>
      </c>
      <c r="AB30" s="40">
        <f>SUM(AB3:AB26)</f>
        <v>1</v>
      </c>
      <c r="AC30" s="17">
        <f>AB30*AA30</f>
        <v>171392.4433996515</v>
      </c>
      <c r="AD30" s="40">
        <f>IF(ISERROR(AC29/AC30)," ",(AC29/AC30))</f>
        <v>1</v>
      </c>
      <c r="AE30" s="51">
        <f>VLOOKUP(AG$2,$BR$33:$BU$47,4,FALSE)</f>
        <v>101610.18002195359</v>
      </c>
      <c r="AF30" s="40">
        <f>SUM(AF3:AF26)</f>
        <v>0.99999999999999989</v>
      </c>
      <c r="AG30" s="17">
        <f>AF30*AE30</f>
        <v>101610.18002195358</v>
      </c>
      <c r="AH30" s="40">
        <f>IF(ISERROR(AG29/AG30)," ",(AG29/AG30))</f>
        <v>0.99999999999999989</v>
      </c>
      <c r="AI30" s="51">
        <f>VLOOKUP(AK$2,$BR$33:$BU$47,4,FALSE)</f>
        <v>0</v>
      </c>
      <c r="AJ30" s="40">
        <f>SUM(AJ3:AJ26)</f>
        <v>1</v>
      </c>
      <c r="AK30" s="17">
        <f>AJ30*AI30</f>
        <v>0</v>
      </c>
      <c r="AL30" s="40" t="str">
        <f>IF(ISERROR(AK29/AK30)," ",(AK29/AK30))</f>
        <v xml:space="preserve"> </v>
      </c>
      <c r="AM30" s="51">
        <f>VLOOKUP(AO$2,$BR$33:$BU$47,4,FALSE)</f>
        <v>323114.63546913263</v>
      </c>
      <c r="AN30" s="40">
        <f>SUM(AN3:AN26)</f>
        <v>1</v>
      </c>
      <c r="AO30" s="17">
        <f>AN30*AM30</f>
        <v>323114.63546913263</v>
      </c>
      <c r="AP30" s="40">
        <f>IF(ISERROR(AO29/AO30)," ",(AO29/AO30))</f>
        <v>1</v>
      </c>
      <c r="AQ30" s="51">
        <f>VLOOKUP(AS$2,$BR$33:$BU$47,4,FALSE)</f>
        <v>0</v>
      </c>
      <c r="AR30" s="40">
        <f>SUM(AR3:AR26)</f>
        <v>1</v>
      </c>
      <c r="AS30" s="17">
        <f>AR30*AQ30</f>
        <v>0</v>
      </c>
      <c r="AT30" s="40" t="str">
        <f>IF(ISERROR(AS29/AS30)," ",(AS29/AS30))</f>
        <v xml:space="preserve"> </v>
      </c>
      <c r="AU30" s="51">
        <f>VLOOKUP(AW$2,$BR$33:$BU$47,4,FALSE)</f>
        <v>0</v>
      </c>
      <c r="AV30" s="40">
        <f>SUM(AV3:AV26)</f>
        <v>0.99999999999999989</v>
      </c>
      <c r="AW30" s="17">
        <f>AV30*AU30</f>
        <v>0</v>
      </c>
      <c r="AX30" s="40" t="str">
        <f>IF(ISERROR(AW29/AW30)," ",(AW29/AW30))</f>
        <v xml:space="preserve"> </v>
      </c>
      <c r="AY30" s="51">
        <f>VLOOKUP(BA$2,$BR$33:$BU$47,4,FALSE)</f>
        <v>0</v>
      </c>
      <c r="AZ30" s="40">
        <f>SUM(AZ3:AZ26)</f>
        <v>1</v>
      </c>
      <c r="BA30" s="17">
        <f>AZ30*AY30</f>
        <v>0</v>
      </c>
      <c r="BB30" s="40" t="str">
        <f>IF(ISERROR(BA29/BA30)," ",(BA29/BA30))</f>
        <v xml:space="preserve"> </v>
      </c>
      <c r="BC30" s="51">
        <f>VLOOKUP(BE$2,$BR$33:$BU$47,4,FALSE)</f>
        <v>0</v>
      </c>
      <c r="BD30" s="40">
        <f>SUM(BD3:BD26)</f>
        <v>0.99999999999999989</v>
      </c>
      <c r="BE30" s="17">
        <f>BD30*BC30</f>
        <v>0</v>
      </c>
      <c r="BF30" s="40" t="str">
        <f>IF(ISERROR(BE29/BE30)," ",(BE29/BE30))</f>
        <v xml:space="preserve"> </v>
      </c>
      <c r="BG30" s="51">
        <f>VLOOKUP(BI$2,$BR$33:$BU$47,4,FALSE)</f>
        <v>108937.41602058179</v>
      </c>
      <c r="BH30" s="40">
        <f>SUM(BH3:BH26)</f>
        <v>0.99999999999999989</v>
      </c>
      <c r="BI30" s="17">
        <f>BH30*BG30</f>
        <v>108937.41602058178</v>
      </c>
      <c r="BJ30" s="40">
        <f>IF(ISERROR(BI29/BI30)," ",(BI29/BI30))</f>
        <v>0.99999999999999989</v>
      </c>
      <c r="BK30" s="51">
        <f>VLOOKUP(BM$2,$BR$33:$BU$47,4,FALSE)</f>
        <v>0</v>
      </c>
      <c r="BL30" s="40">
        <f>SUM(BL3:BL26)</f>
        <v>1</v>
      </c>
      <c r="BM30" s="17">
        <f>BL30*BK30</f>
        <v>0</v>
      </c>
      <c r="BN30" s="40" t="str">
        <f>IF(ISERROR(BM29/BM30)," ",(BM29/BM30))</f>
        <v xml:space="preserve"> </v>
      </c>
      <c r="BP30" s="40">
        <f>SUM(BR3:BR26)</f>
        <v>0.99999999999999933</v>
      </c>
      <c r="BR30" s="64">
        <f>SUM(BR3:BR26)</f>
        <v>0.99999999999999933</v>
      </c>
      <c r="BS30" s="65"/>
      <c r="BT30" s="66" t="str">
        <f>IF($BP65=1,IF(AND($BU31&lt;0.5,$BV31&lt;0.6),"Quinella","AMANDA"),IF(AND($BU31&lt;0.5,$BY34="OVERS"),"Quinella","AMANDA"))</f>
        <v>AMANDA</v>
      </c>
      <c r="BU30" s="23" t="s">
        <v>214</v>
      </c>
      <c r="BV30" s="23" t="s">
        <v>30</v>
      </c>
      <c r="BW30" s="42" t="s">
        <v>29</v>
      </c>
      <c r="BX30" s="232" t="s">
        <v>384</v>
      </c>
      <c r="BY30" s="224"/>
      <c r="BZ30" s="225"/>
      <c r="CA30" s="251">
        <f>'SPORTSBET FIXED ODDS FOR PARLAY'!$D$32</f>
        <v>3</v>
      </c>
      <c r="CB30" s="433" t="s">
        <v>375</v>
      </c>
      <c r="CC30" s="433"/>
      <c r="CD30" s="228" t="s">
        <v>25</v>
      </c>
      <c r="CE30" s="230">
        <f t="shared" ref="CE30:CE31" si="92">MEDIAN(CF30:CZ30)</f>
        <v>2.5537695922762458</v>
      </c>
      <c r="CF30" s="245">
        <f>IF(ISERROR(STDEV(CF3:CF26))," ",STDEV(CF3:CF26))</f>
        <v>9.128312382720134</v>
      </c>
      <c r="CG30" s="245">
        <f t="shared" ref="CG30:DD30" si="93">IF(ISERROR(STDEV(CG3:CG26))," ",STDEV(CG3:CG26))</f>
        <v>8.5376404438126876</v>
      </c>
      <c r="CH30" s="245">
        <f t="shared" si="93"/>
        <v>2.5534148774204088</v>
      </c>
      <c r="CI30" s="245">
        <f t="shared" si="93"/>
        <v>2.8628049486322054</v>
      </c>
      <c r="CJ30" s="245">
        <f t="shared" si="93"/>
        <v>2.5703859745125848</v>
      </c>
      <c r="CK30" s="245">
        <f t="shared" si="93"/>
        <v>1.8630658852422866</v>
      </c>
      <c r="CL30" s="245">
        <f t="shared" si="93"/>
        <v>5.4871391136159389</v>
      </c>
      <c r="CM30" s="245">
        <f t="shared" si="93"/>
        <v>2.5537695922762458</v>
      </c>
      <c r="CN30" s="245">
        <f t="shared" si="93"/>
        <v>2.5537695922762458</v>
      </c>
      <c r="CO30" s="245">
        <f t="shared" si="93"/>
        <v>9.4868329805051381</v>
      </c>
      <c r="CP30" s="245">
        <f t="shared" si="93"/>
        <v>9.3008297900030783</v>
      </c>
      <c r="CQ30" s="245">
        <f t="shared" si="93"/>
        <v>1.8630658852422866</v>
      </c>
      <c r="CR30" s="245">
        <f t="shared" si="93"/>
        <v>1.4084373085707127</v>
      </c>
      <c r="CS30" s="245">
        <f t="shared" si="93"/>
        <v>2.5537695922762458</v>
      </c>
      <c r="CT30" s="245">
        <f t="shared" si="93"/>
        <v>2.5537695922762458</v>
      </c>
      <c r="CU30" s="245">
        <f t="shared" si="93"/>
        <v>2.4494897427831779</v>
      </c>
      <c r="CV30" s="245">
        <f t="shared" si="93"/>
        <v>0.56465970257328024</v>
      </c>
      <c r="CW30" s="245">
        <f t="shared" si="93"/>
        <v>2.5537695922762458</v>
      </c>
      <c r="CX30" s="245">
        <f t="shared" si="93"/>
        <v>9.128312382720134</v>
      </c>
      <c r="CY30" s="245">
        <f t="shared" si="93"/>
        <v>9.128312382720134</v>
      </c>
      <c r="CZ30" s="245">
        <f t="shared" si="93"/>
        <v>2.3260942125619688</v>
      </c>
      <c r="DA30" s="245">
        <f t="shared" si="93"/>
        <v>2.4494897427831779</v>
      </c>
      <c r="DB30" s="245">
        <f t="shared" si="93"/>
        <v>4.2003401222826158</v>
      </c>
      <c r="DC30" s="245">
        <f t="shared" si="93"/>
        <v>119.28129241844462</v>
      </c>
      <c r="DD30" s="245">
        <f t="shared" si="93"/>
        <v>9.128312382720134</v>
      </c>
      <c r="DE30" s="245"/>
      <c r="DF30" s="245">
        <f t="shared" ref="DF30" si="94">IF(ISERROR(STDEV(DF3:DF26))," ",STDEV(DF3:DF26))</f>
        <v>9.128312382720134</v>
      </c>
      <c r="DG30" s="246"/>
    </row>
    <row r="31" spans="1:111" ht="30" customHeight="1" x14ac:dyDescent="0.65">
      <c r="H31" s="24">
        <f>IF(H32="MEDIAN",MEDIAN(H3:H26),AVERAGE(H3:H26))</f>
        <v>0</v>
      </c>
      <c r="L31" s="24">
        <f>IF(L32="MEDIAN",MEDIAN(L3:L26),AVERAGE(L3:L26))</f>
        <v>0</v>
      </c>
      <c r="P31" s="24">
        <f>IF(P32="MEDIAN",MEDIAN(P3:P26),AVERAGE(P3:P26))</f>
        <v>0</v>
      </c>
      <c r="T31" s="24">
        <f>IF(T32="MEDIAN",MEDIAN(T3:T26),AVERAGE(T3:T26))</f>
        <v>0</v>
      </c>
      <c r="X31" s="24">
        <f>IF(X32="MEDIAN",MEDIAN(X3:X26),AVERAGE(X3:X26))</f>
        <v>0</v>
      </c>
      <c r="AB31" s="24">
        <f>IF(AB32="MEDIAN",MEDIAN(AB3:AB26),AVERAGE(AB3:AB26))</f>
        <v>0</v>
      </c>
      <c r="AF31" s="24">
        <f>IF(AF32="MEDIAN",MEDIAN(AF3:AF26),AVERAGE(AF3:AF26))</f>
        <v>0</v>
      </c>
      <c r="AJ31" s="24">
        <f>IF(AJ32="MEDIAN",MEDIAN(AJ3:AJ26),AVERAGE(AJ3:AJ26))</f>
        <v>0</v>
      </c>
      <c r="AN31" s="24">
        <f>IF(AN32="MEDIAN",MEDIAN(AN3:AN26),AVERAGE(AN3:AN26))</f>
        <v>0</v>
      </c>
      <c r="AO31" s="35" t="str">
        <f>$BV$61</f>
        <v>TT</v>
      </c>
      <c r="AR31" s="24">
        <f>IF(AR32="MEDIAN",MEDIAN(AR3:AR26),AVERAGE(AR3:AR26))</f>
        <v>0</v>
      </c>
      <c r="AS31" s="35" t="str">
        <f>$BV$61</f>
        <v>TT</v>
      </c>
      <c r="AV31" s="24">
        <f>IF(AV32="MEDIAN",MEDIAN(AV3:AV26),AVERAGE(AV3:AV26))</f>
        <v>0</v>
      </c>
      <c r="AZ31" s="24">
        <f>IF(AZ32="MEDIAN",MEDIAN(AZ3:AZ26),AVERAGE(AZ3:AZ26))</f>
        <v>0</v>
      </c>
      <c r="BD31" s="24">
        <f>IF(BD32="MEDIAN",MEDIAN(BD3:BD26),AVERAGE(BD3:BD26))</f>
        <v>0</v>
      </c>
      <c r="BH31" s="24">
        <f>IF(BH32="MEDIAN",MEDIAN(BH3:BH26),AVERAGE(BH3:BH26))</f>
        <v>0</v>
      </c>
      <c r="BL31" s="24">
        <f>IF(BL32="MEDIAN",MEDIAN(BL3:BL26),AVERAGE(BL3:BL26))</f>
        <v>0</v>
      </c>
      <c r="BR31" s="67">
        <f>AVERAGE(H30,P30,T30,X30,AB30,AF30,AJ30,BL30)</f>
        <v>1</v>
      </c>
      <c r="BS31" s="68">
        <f>MEDIAN(AZ29,AV29,H29,L29,P29,T29,X29,AB29,AF29,AJ29,AN29,AR29,BD29,BH29,BL29)</f>
        <v>7.9963805967688178E-2</v>
      </c>
      <c r="BT31" s="69">
        <f>STDEV(AV29,AZ29,H29,L29,P29,T29,X29,AB29,AF29,AJ29,AN29,AR29,BD29,BH29,BL29)*$BP65</f>
        <v>5.3817842700394664E-2</v>
      </c>
      <c r="BU31" s="72">
        <f>(MAX($BT$33:$BT$47)-1)/(COUNT($BT$33:$BT$47))</f>
        <v>0.4</v>
      </c>
      <c r="BV31" s="71">
        <f>BT31/BS31</f>
        <v>0.67302752850635206</v>
      </c>
      <c r="BW31" s="226">
        <f>COUNTA(B3:B26)</f>
        <v>24</v>
      </c>
      <c r="BX31" s="236" t="s">
        <v>322</v>
      </c>
      <c r="BY31" s="235" t="s">
        <v>373</v>
      </c>
      <c r="BZ31" s="235" t="s">
        <v>372</v>
      </c>
      <c r="CA31" s="235" t="s">
        <v>26</v>
      </c>
      <c r="CB31" s="235" t="s">
        <v>368</v>
      </c>
      <c r="CC31" s="235" t="s">
        <v>369</v>
      </c>
      <c r="CD31" s="234" t="s">
        <v>382</v>
      </c>
      <c r="CE31" s="230">
        <f t="shared" si="92"/>
        <v>3.9665626914292873</v>
      </c>
      <c r="CF31" s="247">
        <f>IF(ISERROR(CF29-CF30)," ",(CF29-CF30))</f>
        <v>-1.878312382720134</v>
      </c>
      <c r="CG31" s="247">
        <f t="shared" ref="CG31:DF31" si="95">IF(ISERROR(CG29-CG30)," ",(CG29-CG30))</f>
        <v>-1.2876404438126876</v>
      </c>
      <c r="CH31" s="247">
        <f t="shared" si="95"/>
        <v>4.9049184559129237</v>
      </c>
      <c r="CI31" s="247">
        <f t="shared" si="95"/>
        <v>4.3871950513677946</v>
      </c>
      <c r="CJ31" s="247">
        <f t="shared" si="95"/>
        <v>4.8879473588207478</v>
      </c>
      <c r="CK31" s="247">
        <f t="shared" si="95"/>
        <v>4.2202674480910467</v>
      </c>
      <c r="CL31" s="247">
        <f t="shared" si="95"/>
        <v>1.7628608863840611</v>
      </c>
      <c r="CM31" s="247">
        <f t="shared" si="95"/>
        <v>4.9462304077237542</v>
      </c>
      <c r="CN31" s="247">
        <f t="shared" si="95"/>
        <v>4.9462304077237542</v>
      </c>
      <c r="CO31" s="247">
        <f t="shared" si="95"/>
        <v>-1.9868329805051381</v>
      </c>
      <c r="CP31" s="247">
        <f t="shared" si="95"/>
        <v>-1.9258297900030783</v>
      </c>
      <c r="CQ31" s="247">
        <f t="shared" si="95"/>
        <v>4.2202674480910467</v>
      </c>
      <c r="CR31" s="247">
        <f t="shared" si="95"/>
        <v>3.9665626914292873</v>
      </c>
      <c r="CS31" s="247">
        <f t="shared" si="95"/>
        <v>4.9462304077237542</v>
      </c>
      <c r="CT31" s="247">
        <f t="shared" si="95"/>
        <v>4.9462304077237542</v>
      </c>
      <c r="CU31" s="247">
        <f t="shared" si="95"/>
        <v>2.0505102572168221</v>
      </c>
      <c r="CV31" s="247">
        <f t="shared" si="95"/>
        <v>2.2686736307600532</v>
      </c>
      <c r="CW31" s="247">
        <f t="shared" si="95"/>
        <v>4.9462304077237542</v>
      </c>
      <c r="CX31" s="247">
        <f t="shared" si="95"/>
        <v>-1.878312382720134</v>
      </c>
      <c r="CY31" s="247">
        <f t="shared" si="95"/>
        <v>-1.878312382720134</v>
      </c>
      <c r="CZ31" s="247">
        <f t="shared" si="95"/>
        <v>2.0489057874380312</v>
      </c>
      <c r="DA31" s="247">
        <f t="shared" si="95"/>
        <v>2.0505102572168221</v>
      </c>
      <c r="DB31" s="247">
        <f t="shared" si="95"/>
        <v>-19.450340122282615</v>
      </c>
      <c r="DC31" s="247">
        <f t="shared" si="95"/>
        <v>-31.16150075177795</v>
      </c>
      <c r="DD31" s="247">
        <f t="shared" si="95"/>
        <v>-1.878312382720134</v>
      </c>
      <c r="DE31" s="247"/>
      <c r="DF31" s="247">
        <f t="shared" si="95"/>
        <v>-2.128312382720134</v>
      </c>
      <c r="DG31" s="246"/>
    </row>
    <row r="32" spans="1:111" ht="30" customHeight="1" x14ac:dyDescent="0.65">
      <c r="H32" s="60" t="str">
        <f>$BT61</f>
        <v>MEDIAN</v>
      </c>
      <c r="I32" s="60"/>
      <c r="J32" s="60"/>
      <c r="K32" s="60"/>
      <c r="L32" s="60" t="str">
        <f>$BT61</f>
        <v>MEDIAN</v>
      </c>
      <c r="M32" s="60"/>
      <c r="N32" s="60"/>
      <c r="O32" s="60"/>
      <c r="P32" s="60" t="str">
        <f>$BT61</f>
        <v>MEDIAN</v>
      </c>
      <c r="Q32" s="60"/>
      <c r="R32" s="60"/>
      <c r="S32" s="60"/>
      <c r="T32" s="60" t="str">
        <f>$BT61</f>
        <v>MEDIAN</v>
      </c>
      <c r="U32" s="60"/>
      <c r="V32" s="60" t="s">
        <v>212</v>
      </c>
      <c r="W32" s="60"/>
      <c r="X32" s="60" t="str">
        <f>$BT61</f>
        <v>MEDIAN</v>
      </c>
      <c r="Y32" s="60"/>
      <c r="Z32" s="60" t="s">
        <v>213</v>
      </c>
      <c r="AA32" s="60"/>
      <c r="AB32" s="60" t="str">
        <f>$BT61</f>
        <v>MEDIAN</v>
      </c>
      <c r="AC32" s="60"/>
      <c r="AD32" s="60"/>
      <c r="AE32" s="60"/>
      <c r="AF32" s="60" t="str">
        <f>$BT61</f>
        <v>MEDIAN</v>
      </c>
      <c r="AG32" s="60"/>
      <c r="AH32" s="60"/>
      <c r="AI32" s="60"/>
      <c r="AJ32" s="60" t="str">
        <f>$BT61</f>
        <v>MEDIAN</v>
      </c>
      <c r="AK32" s="60"/>
      <c r="AL32" s="60"/>
      <c r="AM32" s="60"/>
      <c r="AN32" s="60" t="str">
        <f>$BT61</f>
        <v>MEDIAN</v>
      </c>
      <c r="AO32" s="60"/>
      <c r="AP32" s="60"/>
      <c r="AQ32" s="60"/>
      <c r="AR32" s="60" t="str">
        <f>$BT61</f>
        <v>MEDIAN</v>
      </c>
      <c r="AS32" s="60"/>
      <c r="AT32" s="60"/>
      <c r="AU32" s="60"/>
      <c r="AV32" s="60" t="str">
        <f>$BT61</f>
        <v>MEDIAN</v>
      </c>
      <c r="AW32" s="60"/>
      <c r="AX32" s="60"/>
      <c r="AY32" s="60"/>
      <c r="AZ32" s="60" t="str">
        <f>$BT61</f>
        <v>MEDIAN</v>
      </c>
      <c r="BA32" s="60"/>
      <c r="BB32" s="60"/>
      <c r="BC32" s="60"/>
      <c r="BD32" s="60" t="str">
        <f>$BT61</f>
        <v>MEDIAN</v>
      </c>
      <c r="BE32" s="60"/>
      <c r="BF32" s="60"/>
      <c r="BG32" s="60"/>
      <c r="BH32" s="60" t="str">
        <f>$BT61</f>
        <v>MEDIAN</v>
      </c>
      <c r="BI32" s="60"/>
      <c r="BJ32" s="60"/>
      <c r="BK32" s="60"/>
      <c r="BL32" s="60" t="str">
        <f>$BT61</f>
        <v>MEDIAN</v>
      </c>
      <c r="BN32" s="23" t="s">
        <v>216</v>
      </c>
      <c r="BP32" s="253" t="s">
        <v>385</v>
      </c>
      <c r="BQ32" s="54"/>
      <c r="BR32" s="23" t="s">
        <v>24</v>
      </c>
      <c r="BS32" s="23" t="s">
        <v>25</v>
      </c>
      <c r="BT32" s="23" t="s">
        <v>26</v>
      </c>
      <c r="BU32" s="23" t="s">
        <v>27</v>
      </c>
      <c r="BV32" s="63" t="s">
        <v>23</v>
      </c>
      <c r="BW32" s="19">
        <f>AVERAGE(BR3:BR26)</f>
        <v>4.1666666666666637E-2</v>
      </c>
      <c r="BX32" s="237" t="s">
        <v>370</v>
      </c>
      <c r="BY32" s="237" t="str">
        <f>IF(ISERROR(INDEX($BR$33:$BR$47,MATCH($CA$32,$BT$33:$BT$47,)))," ",INDEX($BR$33:$BR$47,MATCH($CA$32,$BT$33:$BT$47,)))</f>
        <v>Distance</v>
      </c>
      <c r="BZ32" s="237"/>
      <c r="CA32" s="238">
        <f>$BT$49</f>
        <v>3</v>
      </c>
      <c r="CB32" s="238">
        <f>MAX($CF$30:$DF$30)</f>
        <v>119.28129241844462</v>
      </c>
      <c r="CC32" s="238">
        <f t="array" ref="CC32">MIN(IF($CF$31:$DF$31&gt;$CF$31,$CF$31:$DF$31))</f>
        <v>-1.2876404438126876</v>
      </c>
      <c r="CD32" s="237" t="str">
        <f>COUNTIF($CF$41:$CZ$41,"=YES")&amp;" "&amp;"occurances"</f>
        <v>0 occurances</v>
      </c>
      <c r="CE32" s="241">
        <f>AVERAGE($CF$32:$CZ$32)</f>
        <v>1.2980163728253107</v>
      </c>
      <c r="CF32" s="243">
        <f>IF(ISERROR(CF31/CF30)," ",(CF31/CF30))</f>
        <v>-0.20576775903022046</v>
      </c>
      <c r="CG32" s="243">
        <f t="shared" ref="CG32:DF32" si="96">IF(ISERROR(CG31/CG30)," ",(CG31/CG30))</f>
        <v>-0.15081924008006842</v>
      </c>
      <c r="CH32" s="243">
        <f t="shared" si="96"/>
        <v>1.9209249931480483</v>
      </c>
      <c r="CI32" s="243">
        <f t="shared" si="96"/>
        <v>1.5324813007131046</v>
      </c>
      <c r="CJ32" s="243">
        <f t="shared" si="96"/>
        <v>1.9016394453162373</v>
      </c>
      <c r="CK32" s="243">
        <f t="shared" si="96"/>
        <v>2.2652271621313127</v>
      </c>
      <c r="CL32" s="243">
        <f t="shared" si="96"/>
        <v>0.32127140389235792</v>
      </c>
      <c r="CM32" s="243">
        <f t="shared" si="96"/>
        <v>1.9368350311176827</v>
      </c>
      <c r="CN32" s="243">
        <f t="shared" si="96"/>
        <v>1.9368350311176827</v>
      </c>
      <c r="CO32" s="243">
        <f t="shared" si="96"/>
        <v>-0.20943058495790517</v>
      </c>
      <c r="CP32" s="243">
        <f t="shared" si="96"/>
        <v>-0.20705999717068696</v>
      </c>
      <c r="CQ32" s="243">
        <f t="shared" si="96"/>
        <v>2.2652271621313127</v>
      </c>
      <c r="CR32" s="243">
        <f t="shared" si="96"/>
        <v>2.8162862963737942</v>
      </c>
      <c r="CS32" s="243">
        <f t="shared" si="96"/>
        <v>1.9368350311176827</v>
      </c>
      <c r="CT32" s="243">
        <f t="shared" si="96"/>
        <v>1.9368350311176827</v>
      </c>
      <c r="CU32" s="243">
        <f t="shared" si="96"/>
        <v>0.83711730708738374</v>
      </c>
      <c r="CV32" s="243">
        <f t="shared" si="96"/>
        <v>4.0177714478670987</v>
      </c>
      <c r="CW32" s="243">
        <f t="shared" si="96"/>
        <v>1.9368350311176827</v>
      </c>
      <c r="CX32" s="243">
        <f t="shared" si="96"/>
        <v>-0.20576775903022046</v>
      </c>
      <c r="CY32" s="243">
        <f t="shared" si="96"/>
        <v>-0.20576775903022046</v>
      </c>
      <c r="CZ32" s="243">
        <f t="shared" si="96"/>
        <v>0.88083525438179</v>
      </c>
      <c r="DA32" s="243">
        <f t="shared" si="96"/>
        <v>0.83711730708738374</v>
      </c>
      <c r="DB32" s="243">
        <f t="shared" si="96"/>
        <v>-4.6306583648070392</v>
      </c>
      <c r="DC32" s="243">
        <f t="shared" si="96"/>
        <v>-0.26124382222873538</v>
      </c>
      <c r="DD32" s="243">
        <f t="shared" si="96"/>
        <v>-0.20576775903022046</v>
      </c>
      <c r="DE32" s="243"/>
      <c r="DF32" s="243">
        <f t="shared" si="96"/>
        <v>-0.23315507768435079</v>
      </c>
      <c r="DG32" s="249"/>
    </row>
    <row r="33" spans="3:111" ht="30" customHeight="1" x14ac:dyDescent="0.65">
      <c r="BN33" s="31">
        <f t="shared" ref="BN33:BN47" si="97">BS33/$BS$48</f>
        <v>0</v>
      </c>
      <c r="BP33" s="254">
        <f t="shared" ref="BP33:BP47" si="98">INDEX($CH$1:$DF$1,MATCH($BR33&amp;" "&amp;"rank",$CH$2:$DF$2,))</f>
        <v>97</v>
      </c>
      <c r="BQ33" s="54"/>
      <c r="BR33" s="70" t="str">
        <f>$I$2</f>
        <v>Wins2</v>
      </c>
      <c r="BS33" s="62">
        <f>IF($H$29&gt;$BS$31,$H$29,0)</f>
        <v>0</v>
      </c>
      <c r="BT33" s="28">
        <f>RANK(BS33,$BS$33:$BS$47,0)</f>
        <v>7</v>
      </c>
      <c r="BU33" s="28">
        <f t="shared" ref="BU33:BU47" si="99">IF(BN33=0,0,IF(ISERROR(BN33*$BT$48)," ",(BN33*$BT$48)))</f>
        <v>0</v>
      </c>
      <c r="BV33" s="63" t="s">
        <v>28</v>
      </c>
      <c r="BW33" s="19">
        <f>MEDIAN(BR3:BR26)</f>
        <v>7.505527932096496E-3</v>
      </c>
      <c r="BX33" s="237" t="s">
        <v>371</v>
      </c>
      <c r="BY33" s="237" t="str">
        <f>IF(ISERROR(INDEX($CH$2:$DF$2,MATCH($CC$33,$CF$31:$DF$31,)))," ",INDEX($CH$2:$DF$2,MATCH($CC$33,$CF$31:$DF$31,)))</f>
        <v>RANK COVER</v>
      </c>
      <c r="BZ33" s="238">
        <f>IF(ISERROR(INDEX($CH$1:$DF$1,MATCH($BY$33,$CH$2:$DF$2,)))," ",INDEX($CH$1:$DF$1,MATCH($BY$33,$CH$2:$DF$2,)))</f>
        <v>87</v>
      </c>
      <c r="CA33" s="237"/>
      <c r="CB33" s="237"/>
      <c r="CC33" s="238">
        <f t="array" ref="CC33">MIN(IF($CF$31:$DF$31&gt;$CF$31,$CF$31:$DF$31))</f>
        <v>-1.2876404438126876</v>
      </c>
      <c r="CD33" s="237"/>
      <c r="CE33" s="241">
        <f>AVERAGE($CF$33:$CZ$33)</f>
        <v>0.3727643138830391</v>
      </c>
      <c r="CF33" s="243">
        <f>IF(ISERROR(CF31/CF29)," ",(CF31/CF29))</f>
        <v>-0.2590775700303633</v>
      </c>
      <c r="CG33" s="243">
        <f t="shared" ref="CG33:DF33" si="100">IF(ISERROR(CG31/CG29)," ",(CG31/CG29))</f>
        <v>-0.17760557845692243</v>
      </c>
      <c r="CH33" s="243">
        <f t="shared" si="100"/>
        <v>0.65764269799949815</v>
      </c>
      <c r="CI33" s="243">
        <f t="shared" si="100"/>
        <v>0.60513035191279929</v>
      </c>
      <c r="CJ33" s="243">
        <f t="shared" si="100"/>
        <v>0.6553672436407707</v>
      </c>
      <c r="CK33" s="243">
        <f t="shared" si="100"/>
        <v>0.69374259420674744</v>
      </c>
      <c r="CL33" s="243">
        <f t="shared" si="100"/>
        <v>0.24315322570814638</v>
      </c>
      <c r="CM33" s="243">
        <f t="shared" si="100"/>
        <v>0.65949738769650057</v>
      </c>
      <c r="CN33" s="243">
        <f t="shared" si="100"/>
        <v>0.65949738769650057</v>
      </c>
      <c r="CO33" s="243">
        <f t="shared" si="100"/>
        <v>-0.26491106406735176</v>
      </c>
      <c r="CP33" s="243">
        <f t="shared" si="100"/>
        <v>-0.26112946305126483</v>
      </c>
      <c r="CQ33" s="243">
        <f t="shared" si="100"/>
        <v>0.69374259420674744</v>
      </c>
      <c r="CR33" s="243">
        <f t="shared" si="100"/>
        <v>0.73796515189382095</v>
      </c>
      <c r="CS33" s="243">
        <f t="shared" si="100"/>
        <v>0.65949738769650057</v>
      </c>
      <c r="CT33" s="243">
        <f t="shared" si="100"/>
        <v>0.65949738769650057</v>
      </c>
      <c r="CU33" s="243">
        <f t="shared" si="100"/>
        <v>0.4556689460481827</v>
      </c>
      <c r="CV33" s="243">
        <f t="shared" si="100"/>
        <v>0.80070834026825399</v>
      </c>
      <c r="CW33" s="243">
        <f t="shared" si="100"/>
        <v>0.65949738769650057</v>
      </c>
      <c r="CX33" s="243">
        <f t="shared" si="100"/>
        <v>-0.2590775700303633</v>
      </c>
      <c r="CY33" s="243">
        <f t="shared" si="100"/>
        <v>-0.2590775700303633</v>
      </c>
      <c r="CZ33" s="243">
        <f t="shared" si="100"/>
        <v>0.46832132284297856</v>
      </c>
      <c r="DA33" s="243">
        <f t="shared" si="100"/>
        <v>0.4556689460481827</v>
      </c>
      <c r="DB33" s="243">
        <f t="shared" si="100"/>
        <v>1.275432139166073</v>
      </c>
      <c r="DC33" s="243">
        <f t="shared" si="100"/>
        <v>-0.35362658220588489</v>
      </c>
      <c r="DD33" s="243">
        <f t="shared" si="100"/>
        <v>-0.2590775700303633</v>
      </c>
      <c r="DE33" s="243"/>
      <c r="DF33" s="243">
        <f t="shared" si="100"/>
        <v>-0.3040446261028763</v>
      </c>
      <c r="DG33" s="249"/>
    </row>
    <row r="34" spans="3:111" ht="30" customHeight="1" x14ac:dyDescent="0.65">
      <c r="BG34" s="129"/>
      <c r="BH34" s="129"/>
      <c r="BI34" s="129"/>
      <c r="BJ34" s="129"/>
      <c r="BL34" s="2"/>
      <c r="BN34" s="31">
        <f t="shared" si="97"/>
        <v>0</v>
      </c>
      <c r="BP34" s="254">
        <f t="shared" si="98"/>
        <v>98</v>
      </c>
      <c r="BQ34" s="54"/>
      <c r="BR34" s="70" t="str">
        <f>$M$2</f>
        <v>2Nd</v>
      </c>
      <c r="BS34" s="62">
        <f>IF($L$29&gt;$BS$31,$L$29,0)</f>
        <v>0</v>
      </c>
      <c r="BT34" s="28">
        <f t="shared" ref="BT34:BT47" si="101">RANK(BS34,$BS$33:$BS$47,0)</f>
        <v>7</v>
      </c>
      <c r="BU34" s="28">
        <f t="shared" si="99"/>
        <v>0</v>
      </c>
      <c r="BV34" s="63" t="s">
        <v>25</v>
      </c>
      <c r="BW34" s="20">
        <f>STDEV(BR3:BR26)</f>
        <v>5.2575034650579992E-2</v>
      </c>
      <c r="BX34" s="237" t="s">
        <v>374</v>
      </c>
      <c r="BY34" s="237" t="str">
        <f>IF(ISERROR(INDEX($CH$2:$DF$2,MATCH($CB$34,$CF$30:$DF$30,)))," ",INDEX($CH$2:$DF$2,MATCH($CB$34,$CF$30:$DF$30,)))</f>
        <v>THIS TRACK PLACE STRIKE RATE RANK</v>
      </c>
      <c r="BZ34" s="238">
        <f>IF(ISERROR(INDEX($CH$1:$DF$1,MATCH($CB$34,$CF$30:$DF$30,)))," ",INDEX($CH$1:$DF$1,MATCH($CB$34,$CF$30:$DF$30,)))</f>
        <v>95</v>
      </c>
      <c r="CA34" s="239"/>
      <c r="CB34" s="238">
        <f t="array" ref="CB34">MAX(IF($CF$30:$DF$30&lt;$DC$30,$CF$30:$DF$30))</f>
        <v>9.4868329805051381</v>
      </c>
      <c r="CC34" s="240"/>
      <c r="CD34" s="240"/>
      <c r="CE34" s="241">
        <f>AVERAGE(CF34:$CZ$34)</f>
        <v>0.62723568611696101</v>
      </c>
      <c r="CF34" s="243">
        <f>IF(ISERROR(CF30/CF29)," ",(CF30/CF29))</f>
        <v>1.2590775700303634</v>
      </c>
      <c r="CG34" s="243">
        <f t="shared" ref="CG34:DF34" si="102">IF(ISERROR(CG30/CG29)," ",(CG30/CG29))</f>
        <v>1.1776055784569224</v>
      </c>
      <c r="CH34" s="243">
        <f t="shared" si="102"/>
        <v>0.34235730200050174</v>
      </c>
      <c r="CI34" s="243">
        <f t="shared" si="102"/>
        <v>0.39486964808720076</v>
      </c>
      <c r="CJ34" s="243">
        <f t="shared" si="102"/>
        <v>0.34463275635922924</v>
      </c>
      <c r="CK34" s="243">
        <f t="shared" si="102"/>
        <v>0.30625740579325261</v>
      </c>
      <c r="CL34" s="243">
        <f t="shared" si="102"/>
        <v>0.75684677429185365</v>
      </c>
      <c r="CM34" s="243">
        <f t="shared" si="102"/>
        <v>0.34050261230349943</v>
      </c>
      <c r="CN34" s="243">
        <f t="shared" si="102"/>
        <v>0.34050261230349943</v>
      </c>
      <c r="CO34" s="243">
        <f t="shared" si="102"/>
        <v>1.2649110640673518</v>
      </c>
      <c r="CP34" s="243">
        <f t="shared" si="102"/>
        <v>1.2611294630512648</v>
      </c>
      <c r="CQ34" s="243">
        <f t="shared" si="102"/>
        <v>0.30625740579325261</v>
      </c>
      <c r="CR34" s="243">
        <f t="shared" si="102"/>
        <v>0.26203484810617911</v>
      </c>
      <c r="CS34" s="243">
        <f t="shared" si="102"/>
        <v>0.34050261230349943</v>
      </c>
      <c r="CT34" s="243">
        <f t="shared" si="102"/>
        <v>0.34050261230349943</v>
      </c>
      <c r="CU34" s="243">
        <f t="shared" si="102"/>
        <v>0.54433105395181736</v>
      </c>
      <c r="CV34" s="243">
        <f t="shared" si="102"/>
        <v>0.19929165973174595</v>
      </c>
      <c r="CW34" s="243">
        <f t="shared" si="102"/>
        <v>0.34050261230349943</v>
      </c>
      <c r="CX34" s="243">
        <f t="shared" si="102"/>
        <v>1.2590775700303634</v>
      </c>
      <c r="CY34" s="243">
        <f t="shared" si="102"/>
        <v>1.2590775700303634</v>
      </c>
      <c r="CZ34" s="243">
        <f t="shared" si="102"/>
        <v>0.53167867715702144</v>
      </c>
      <c r="DA34" s="243">
        <f t="shared" si="102"/>
        <v>0.54433105395181736</v>
      </c>
      <c r="DB34" s="243">
        <f t="shared" si="102"/>
        <v>-0.27543213916607318</v>
      </c>
      <c r="DC34" s="243">
        <f t="shared" si="102"/>
        <v>1.3536265822058848</v>
      </c>
      <c r="DD34" s="243">
        <f t="shared" si="102"/>
        <v>1.2590775700303634</v>
      </c>
      <c r="DE34" s="243"/>
      <c r="DF34" s="243">
        <f t="shared" si="102"/>
        <v>1.3040446261028762</v>
      </c>
      <c r="DG34" s="249"/>
    </row>
    <row r="35" spans="3:111" ht="30" customHeight="1" x14ac:dyDescent="0.65">
      <c r="AJ35" s="2"/>
      <c r="AN35" s="2"/>
      <c r="AR35" s="2"/>
      <c r="AV35" s="2"/>
      <c r="AZ35" s="2"/>
      <c r="BD35" s="2"/>
      <c r="BG35" s="129"/>
      <c r="BH35" s="130"/>
      <c r="BI35" s="129"/>
      <c r="BJ35" s="129"/>
      <c r="BL35" s="2"/>
      <c r="BN35" s="31">
        <f t="shared" si="97"/>
        <v>0.1748568781751364</v>
      </c>
      <c r="BP35" s="254">
        <f t="shared" si="98"/>
        <v>99</v>
      </c>
      <c r="BQ35" s="54"/>
      <c r="BR35" s="70" t="str">
        <f>$Q$2</f>
        <v>Cohesion</v>
      </c>
      <c r="BS35" s="62">
        <f>IF($P$29&gt;$BS$31,$P$29,0)</f>
        <v>0.14401835761369616</v>
      </c>
      <c r="BT35" s="28">
        <f t="shared" si="101"/>
        <v>2</v>
      </c>
      <c r="BU35" s="28">
        <f t="shared" si="99"/>
        <v>174856.8781751364</v>
      </c>
      <c r="BV35" s="63" t="s">
        <v>21</v>
      </c>
      <c r="BW35" s="41">
        <f>SKEW(BR3:BR26)</f>
        <v>1.1629985914944179</v>
      </c>
      <c r="BX35" s="237" t="s">
        <v>376</v>
      </c>
      <c r="BY35" s="237" t="str">
        <f>IF(ISERROR(INDEX($CH$2:$DF$2,MATCH($CD$35,$CF$35:$DF$35,))),BY36,INDEX($CH$2:$DF$2,MATCH($CD$35,$CF$35:$DF$35,)))</f>
        <v>THIS TRACK ROI RANK</v>
      </c>
      <c r="BZ35" s="238">
        <f>IF(ISERROR(INDEX($CH$1:$DF$1,MATCH($CD$35,$CF$35:$DF$35,))),BZ36,INDEX($CH$1:$DF$1,MATCH($CD$35,$CF$35:$DF$35,)))</f>
        <v>90</v>
      </c>
      <c r="CA35" s="239"/>
      <c r="CB35" s="238"/>
      <c r="CC35" s="240"/>
      <c r="CD35" s="238">
        <f>CE35</f>
        <v>11</v>
      </c>
      <c r="CE35" s="242">
        <f>ROUNDUP(MEDIAN($CF$35:$CZ$35),0)</f>
        <v>11</v>
      </c>
      <c r="CF35" s="244">
        <f>IF(ISERROR(RANK(CF$34,$CF$34:$CZ$34,1))," ",RANK(CF$34,$CF$34:$CZ$34,1))</f>
        <v>17</v>
      </c>
      <c r="CG35" s="244">
        <f t="shared" ref="CG35:DF35" si="103">IF(ISERROR(RANK(CG$34,$CF$34:$CZ$34,1))," ",RANK(CG$34,$CF$34:$CZ$34,1))</f>
        <v>16</v>
      </c>
      <c r="CH35" s="244">
        <f t="shared" si="103"/>
        <v>10</v>
      </c>
      <c r="CI35" s="244">
        <f t="shared" si="103"/>
        <v>12</v>
      </c>
      <c r="CJ35" s="244">
        <f t="shared" si="103"/>
        <v>11</v>
      </c>
      <c r="CK35" s="244">
        <f t="shared" si="103"/>
        <v>3</v>
      </c>
      <c r="CL35" s="244">
        <f t="shared" si="103"/>
        <v>15</v>
      </c>
      <c r="CM35" s="244">
        <f t="shared" si="103"/>
        <v>5</v>
      </c>
      <c r="CN35" s="244">
        <f t="shared" si="103"/>
        <v>5</v>
      </c>
      <c r="CO35" s="244">
        <f t="shared" si="103"/>
        <v>21</v>
      </c>
      <c r="CP35" s="244">
        <f t="shared" si="103"/>
        <v>20</v>
      </c>
      <c r="CQ35" s="244">
        <f t="shared" si="103"/>
        <v>3</v>
      </c>
      <c r="CR35" s="244">
        <f t="shared" si="103"/>
        <v>2</v>
      </c>
      <c r="CS35" s="244">
        <f t="shared" si="103"/>
        <v>5</v>
      </c>
      <c r="CT35" s="244">
        <f t="shared" si="103"/>
        <v>5</v>
      </c>
      <c r="CU35" s="244">
        <f t="shared" si="103"/>
        <v>14</v>
      </c>
      <c r="CV35" s="244">
        <f t="shared" si="103"/>
        <v>1</v>
      </c>
      <c r="CW35" s="244">
        <f t="shared" si="103"/>
        <v>5</v>
      </c>
      <c r="CX35" s="244">
        <f t="shared" si="103"/>
        <v>17</v>
      </c>
      <c r="CY35" s="244">
        <f t="shared" si="103"/>
        <v>17</v>
      </c>
      <c r="CZ35" s="244">
        <f t="shared" si="103"/>
        <v>13</v>
      </c>
      <c r="DA35" s="244">
        <f t="shared" si="103"/>
        <v>14</v>
      </c>
      <c r="DB35" s="244" t="str">
        <f t="shared" si="103"/>
        <v xml:space="preserve"> </v>
      </c>
      <c r="DC35" s="244" t="str">
        <f t="shared" si="103"/>
        <v xml:space="preserve"> </v>
      </c>
      <c r="DD35" s="244">
        <f t="shared" si="103"/>
        <v>17</v>
      </c>
      <c r="DE35" s="244"/>
      <c r="DF35" s="244" t="str">
        <f t="shared" si="103"/>
        <v xml:space="preserve"> </v>
      </c>
      <c r="DG35" s="249"/>
    </row>
    <row r="36" spans="3:111" ht="30" customHeight="1" x14ac:dyDescent="0.65">
      <c r="AJ36" s="2"/>
      <c r="AN36" s="2"/>
      <c r="AR36" s="2"/>
      <c r="AV36" s="2"/>
      <c r="AZ36" s="2"/>
      <c r="BD36" s="2"/>
      <c r="BG36" s="129"/>
      <c r="BH36" s="130"/>
      <c r="BI36" s="129"/>
      <c r="BJ36" s="129"/>
      <c r="BL36" s="2"/>
      <c r="BN36" s="31">
        <f t="shared" si="97"/>
        <v>0</v>
      </c>
      <c r="BP36" s="254">
        <f t="shared" si="98"/>
        <v>93</v>
      </c>
      <c r="BQ36" s="54"/>
      <c r="BR36" s="70" t="str">
        <f>$U$2</f>
        <v>Last Start Margin</v>
      </c>
      <c r="BS36" s="62">
        <f>IF($T$29&gt;$BS$31,$T$29,0)</f>
        <v>0</v>
      </c>
      <c r="BT36" s="28">
        <f t="shared" si="101"/>
        <v>7</v>
      </c>
      <c r="BU36" s="28">
        <f t="shared" si="99"/>
        <v>0</v>
      </c>
      <c r="BV36" s="63" t="s">
        <v>22</v>
      </c>
      <c r="BW36" s="41">
        <f>KURT(BR3:BR26)</f>
        <v>-3.0690546376533678E-2</v>
      </c>
      <c r="BX36" s="237" t="s">
        <v>380</v>
      </c>
      <c r="BY36" s="237" t="str">
        <f>IF(ISERROR(INDEX($CH$2:$DF$2,MATCH($CD$36,$CF$38:$DF$38,)))," ",INDEX($CH$2:$DF$2,MATCH($CD$36,$CF$38:$DF$38,)))</f>
        <v>THIS DISTANCE PLACE STRIKE RATE RANK</v>
      </c>
      <c r="BZ36" s="238">
        <f>INDEX($CH$1:$DF$1,MATCH($CD$36,$CF$38:$DF$38,))</f>
        <v>89</v>
      </c>
      <c r="CA36" s="239"/>
      <c r="CB36" s="238"/>
      <c r="CC36" s="240"/>
      <c r="CD36" s="238">
        <f>$CE$38</f>
        <v>3.5615051619070899</v>
      </c>
      <c r="CE36" s="242">
        <f>MAX(CF36:CZ36)</f>
        <v>180</v>
      </c>
      <c r="CF36" s="244">
        <f>IF(ISERROR(SUM(CF3:CF26))," ",SUM(CF3:CF26))</f>
        <v>174</v>
      </c>
      <c r="CG36" s="244">
        <f t="shared" ref="CG36:DF36" si="104">IF(ISERROR(SUM(CG3:CG26))," ",SUM(CG3:CG26))</f>
        <v>174</v>
      </c>
      <c r="CH36" s="244">
        <f t="shared" si="104"/>
        <v>179</v>
      </c>
      <c r="CI36" s="244">
        <f t="shared" si="104"/>
        <v>174</v>
      </c>
      <c r="CJ36" s="244">
        <f t="shared" si="104"/>
        <v>179</v>
      </c>
      <c r="CK36" s="244">
        <f t="shared" si="104"/>
        <v>146</v>
      </c>
      <c r="CL36" s="244">
        <f t="shared" si="104"/>
        <v>174</v>
      </c>
      <c r="CM36" s="244">
        <f t="shared" si="104"/>
        <v>180</v>
      </c>
      <c r="CN36" s="244">
        <f t="shared" si="104"/>
        <v>180</v>
      </c>
      <c r="CO36" s="244">
        <f t="shared" si="104"/>
        <v>180</v>
      </c>
      <c r="CP36" s="244">
        <f t="shared" si="104"/>
        <v>177</v>
      </c>
      <c r="CQ36" s="244">
        <f t="shared" si="104"/>
        <v>146</v>
      </c>
      <c r="CR36" s="244">
        <f t="shared" si="104"/>
        <v>129</v>
      </c>
      <c r="CS36" s="244">
        <f t="shared" si="104"/>
        <v>180</v>
      </c>
      <c r="CT36" s="244">
        <f t="shared" si="104"/>
        <v>180</v>
      </c>
      <c r="CU36" s="244">
        <f t="shared" si="104"/>
        <v>36</v>
      </c>
      <c r="CV36" s="244">
        <f t="shared" si="104"/>
        <v>68</v>
      </c>
      <c r="CW36" s="244">
        <f t="shared" si="104"/>
        <v>180</v>
      </c>
      <c r="CX36" s="244">
        <f t="shared" si="104"/>
        <v>174</v>
      </c>
      <c r="CY36" s="244">
        <f t="shared" si="104"/>
        <v>174</v>
      </c>
      <c r="CZ36" s="244">
        <f t="shared" si="104"/>
        <v>35</v>
      </c>
      <c r="DA36" s="244">
        <f t="shared" si="104"/>
        <v>36</v>
      </c>
      <c r="DB36" s="244">
        <f t="shared" si="104"/>
        <v>-122</v>
      </c>
      <c r="DC36" s="244">
        <f t="shared" si="104"/>
        <v>2114.875</v>
      </c>
      <c r="DD36" s="244">
        <f t="shared" si="104"/>
        <v>174</v>
      </c>
      <c r="DE36" s="244"/>
      <c r="DF36" s="244">
        <f t="shared" si="104"/>
        <v>174</v>
      </c>
      <c r="DG36" s="249"/>
    </row>
    <row r="37" spans="3:111" ht="30" customHeight="1" x14ac:dyDescent="0.65">
      <c r="AJ37" s="2"/>
      <c r="AN37" s="2"/>
      <c r="AR37" s="2"/>
      <c r="AV37" s="2"/>
      <c r="AZ37" s="2"/>
      <c r="BD37" s="2"/>
      <c r="BG37" s="129"/>
      <c r="BH37" s="130"/>
      <c r="BI37" s="129"/>
      <c r="BJ37" s="129"/>
      <c r="BL37" s="2"/>
      <c r="BN37" s="31">
        <f t="shared" si="97"/>
        <v>0.12008844691354395</v>
      </c>
      <c r="BP37" s="254">
        <f t="shared" si="98"/>
        <v>94</v>
      </c>
      <c r="BQ37" s="54"/>
      <c r="BR37" s="70" t="str">
        <f>$Y$2</f>
        <v>Last Start Distance Change</v>
      </c>
      <c r="BS37" s="62">
        <f>IF($X$29&gt;$BS$31,$X$29,0)</f>
        <v>9.8909125413674318E-2</v>
      </c>
      <c r="BT37" s="28">
        <f t="shared" si="101"/>
        <v>4</v>
      </c>
      <c r="BU37" s="28">
        <f t="shared" si="99"/>
        <v>120088.44691354394</v>
      </c>
      <c r="BW37" s="54"/>
      <c r="BX37" s="237" t="s">
        <v>384</v>
      </c>
      <c r="BY37" s="237" t="str">
        <f>IF(ISERROR(INDEX($CG$2:$DF$2,MATCH($BZ$37,$CG$1:$DF$1,)))," ",INDEX($CG$2:$DF$2,MATCH($BZ$37,$CG$1:$DF$1,)))</f>
        <v>CLUSTER RANK</v>
      </c>
      <c r="BZ37" s="252">
        <v>104</v>
      </c>
      <c r="CA37" s="239"/>
      <c r="CB37" s="238"/>
      <c r="CC37" s="240"/>
      <c r="CD37" s="238">
        <f>IF(ISERROR(INDEX($CF$36:$DF$36,MATCH($BZ$37,$CH$1:$DF$1,)))," ",INDEX($CF$36:$DF$36,MATCH($BZ$37,$CH$1:$DF$1,)))</f>
        <v>174</v>
      </c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  <c r="CT37" s="248"/>
      <c r="CU37" s="248"/>
      <c r="CV37" s="248"/>
      <c r="CW37" s="248"/>
      <c r="CX37" s="248"/>
      <c r="CY37" s="248"/>
      <c r="CZ37" s="248"/>
      <c r="DA37" s="248"/>
      <c r="DB37" s="248"/>
      <c r="DC37" s="248"/>
      <c r="DD37" s="248"/>
      <c r="DE37" s="248"/>
      <c r="DF37" s="248"/>
      <c r="DG37" s="248"/>
    </row>
    <row r="38" spans="3:111" ht="30" customHeight="1" x14ac:dyDescent="0.55000000000000004">
      <c r="BG38" s="129"/>
      <c r="BH38" s="129"/>
      <c r="BI38" s="129"/>
      <c r="BJ38" s="129"/>
      <c r="BN38" s="31">
        <f t="shared" si="97"/>
        <v>0</v>
      </c>
      <c r="BP38" s="254">
        <f t="shared" si="98"/>
        <v>101</v>
      </c>
      <c r="BQ38" s="54"/>
      <c r="BR38" s="70" t="str">
        <f>$AW$2</f>
        <v>Money</v>
      </c>
      <c r="BS38" s="62">
        <f>IF($AV$29&gt;$BS$31,$AV$29,0)</f>
        <v>0</v>
      </c>
      <c r="BT38" s="28">
        <f t="shared" si="101"/>
        <v>7</v>
      </c>
      <c r="BU38" s="28">
        <f t="shared" si="99"/>
        <v>0</v>
      </c>
      <c r="BW38" s="54"/>
      <c r="BX38" s="2"/>
      <c r="BY38" s="54"/>
      <c r="BZ38" s="54"/>
      <c r="CA38" s="54"/>
      <c r="CB38" s="54"/>
      <c r="CC38" s="239" t="str">
        <f>COUNTIF($CF$38:$CZ$38,CE38)&amp;" "&amp;"occurances"</f>
        <v>1 occurances</v>
      </c>
      <c r="CD38" s="239" t="s">
        <v>379</v>
      </c>
      <c r="CE38" s="230">
        <f t="array" ref="CE38">MIN(IF(CF38:DF38&gt;=1,(CF38:DF38)))</f>
        <v>3.5615051619070899</v>
      </c>
      <c r="CF38" s="244">
        <f>IF(ISERROR(CF35-CF39)^2," ",(CF35-CF39)^2)</f>
        <v>0.38649549347911932</v>
      </c>
      <c r="CG38" s="244">
        <f t="shared" ref="CG38:DF38" si="105">IF(ISERROR(CG35-CG39)^2," ",(CG35-CG39)^2)</f>
        <v>4.5096581104072289E-2</v>
      </c>
      <c r="CH38" s="244">
        <f t="shared" si="105"/>
        <v>1.3802045591434687E-4</v>
      </c>
      <c r="CI38" s="244">
        <f t="shared" si="105"/>
        <v>3.5615051619070899</v>
      </c>
      <c r="CJ38" s="244">
        <f t="shared" si="105"/>
        <v>0.94338618295131216</v>
      </c>
      <c r="CK38" s="244">
        <f t="shared" si="105"/>
        <v>24.466865229525499</v>
      </c>
      <c r="CL38" s="244">
        <f t="shared" si="105"/>
        <v>5.1205393911268589</v>
      </c>
      <c r="CM38" s="244">
        <f t="shared" si="105"/>
        <v>25.540587091816022</v>
      </c>
      <c r="CN38" s="244">
        <f t="shared" si="105"/>
        <v>25.540587091816022</v>
      </c>
      <c r="CO38" s="244">
        <f t="shared" si="105"/>
        <v>16.105509526361274</v>
      </c>
      <c r="CP38" s="244">
        <f t="shared" si="105"/>
        <v>11.050107585030979</v>
      </c>
      <c r="CQ38" s="244">
        <f t="shared" si="105"/>
        <v>24.466865229525499</v>
      </c>
      <c r="CR38" s="244">
        <f t="shared" si="105"/>
        <v>22.881272485026226</v>
      </c>
      <c r="CS38" s="244">
        <f t="shared" si="105"/>
        <v>25.540587091816022</v>
      </c>
      <c r="CT38" s="244">
        <f t="shared" si="105"/>
        <v>25.540587091816022</v>
      </c>
      <c r="CU38" s="244">
        <f t="shared" si="105"/>
        <v>49.709694887119618</v>
      </c>
      <c r="CV38" s="244">
        <f t="shared" si="105"/>
        <v>5.7503706002566179</v>
      </c>
      <c r="CW38" s="244">
        <f t="shared" si="105"/>
        <v>25.540587091816022</v>
      </c>
      <c r="CX38" s="244">
        <f t="shared" si="105"/>
        <v>0.38649549347911932</v>
      </c>
      <c r="CY38" s="244">
        <f t="shared" si="105"/>
        <v>0.38649549347911932</v>
      </c>
      <c r="CZ38" s="244">
        <f t="shared" si="105"/>
        <v>39.676214119020315</v>
      </c>
      <c r="DA38" s="244">
        <f t="shared" si="105"/>
        <v>49.709694887119618</v>
      </c>
      <c r="DB38" s="244" t="str">
        <f t="shared" si="105"/>
        <v xml:space="preserve"> </v>
      </c>
      <c r="DC38" s="244" t="str">
        <f t="shared" si="105"/>
        <v xml:space="preserve"> </v>
      </c>
      <c r="DD38" s="244">
        <f t="shared" si="105"/>
        <v>0.38649549347911932</v>
      </c>
      <c r="DE38" s="244">
        <f t="shared" si="105"/>
        <v>0</v>
      </c>
      <c r="DF38" s="244" t="str">
        <f t="shared" si="105"/>
        <v xml:space="preserve"> </v>
      </c>
      <c r="DG38" s="248"/>
    </row>
    <row r="39" spans="3:111" ht="30" customHeight="1" x14ac:dyDescent="0.55000000000000004">
      <c r="BG39" s="129"/>
      <c r="BH39" s="129"/>
      <c r="BI39" s="129"/>
      <c r="BJ39" s="129"/>
      <c r="BN39" s="31">
        <f t="shared" si="97"/>
        <v>0.17139244339965151</v>
      </c>
      <c r="BP39" s="254">
        <f t="shared" si="98"/>
        <v>100</v>
      </c>
      <c r="BQ39" s="54"/>
      <c r="BR39" s="70" t="str">
        <f>$AC$2</f>
        <v>Distance</v>
      </c>
      <c r="BS39" s="62">
        <f>IF($AB$29&gt;$BS$31,$AB$29,0)</f>
        <v>0.14116492564331998</v>
      </c>
      <c r="BT39" s="28">
        <f t="shared" si="101"/>
        <v>3</v>
      </c>
      <c r="BU39" s="28">
        <f t="shared" si="99"/>
        <v>171392.4433996515</v>
      </c>
      <c r="BW39" s="54"/>
      <c r="BX39" s="2"/>
      <c r="BY39" s="54"/>
      <c r="BZ39" s="54"/>
      <c r="CA39" s="54"/>
      <c r="CB39" s="54"/>
      <c r="CC39" s="239" t="str">
        <f>COUNTIF($CF$39:$CZ$39,CE39)&amp;" "&amp;"occurances"</f>
        <v>5 occurances</v>
      </c>
      <c r="CD39" s="239" t="s">
        <v>378</v>
      </c>
      <c r="CE39" s="230">
        <f t="array" ref="CE39">MEDIAN(IF(CF39:DF39&gt;=1,(CF39:DF39)))</f>
        <v>10.053769592276247</v>
      </c>
      <c r="CF39" s="244">
        <f>SUM(CF29,CF30)</f>
        <v>16.378312382720132</v>
      </c>
      <c r="CG39" s="244">
        <f t="shared" ref="CG39:DF39" si="106">SUM(CG29,CG30)</f>
        <v>15.787640443812688</v>
      </c>
      <c r="CH39" s="244">
        <f t="shared" si="106"/>
        <v>10.011748210753742</v>
      </c>
      <c r="CI39" s="244">
        <f t="shared" si="106"/>
        <v>10.112804948632206</v>
      </c>
      <c r="CJ39" s="244">
        <f t="shared" si="106"/>
        <v>10.028719307845918</v>
      </c>
      <c r="CK39" s="244">
        <f t="shared" si="106"/>
        <v>7.9463992185756194</v>
      </c>
      <c r="CL39" s="244">
        <f t="shared" si="106"/>
        <v>12.737139113615939</v>
      </c>
      <c r="CM39" s="244">
        <f t="shared" si="106"/>
        <v>10.053769592276247</v>
      </c>
      <c r="CN39" s="244">
        <f t="shared" si="106"/>
        <v>10.053769592276247</v>
      </c>
      <c r="CO39" s="244">
        <f t="shared" si="106"/>
        <v>16.986832980505138</v>
      </c>
      <c r="CP39" s="244">
        <f t="shared" si="106"/>
        <v>16.675829790003078</v>
      </c>
      <c r="CQ39" s="244">
        <f t="shared" si="106"/>
        <v>7.9463992185756194</v>
      </c>
      <c r="CR39" s="244">
        <f t="shared" si="106"/>
        <v>6.7834373085707131</v>
      </c>
      <c r="CS39" s="244">
        <f t="shared" si="106"/>
        <v>10.053769592276247</v>
      </c>
      <c r="CT39" s="244">
        <f t="shared" si="106"/>
        <v>10.053769592276247</v>
      </c>
      <c r="CU39" s="244">
        <f t="shared" si="106"/>
        <v>6.9494897427831779</v>
      </c>
      <c r="CV39" s="244">
        <f t="shared" si="106"/>
        <v>3.3979930359066137</v>
      </c>
      <c r="CW39" s="244">
        <f t="shared" si="106"/>
        <v>10.053769592276247</v>
      </c>
      <c r="CX39" s="244">
        <f t="shared" si="106"/>
        <v>16.378312382720132</v>
      </c>
      <c r="CY39" s="244">
        <f t="shared" si="106"/>
        <v>16.378312382720132</v>
      </c>
      <c r="CZ39" s="244">
        <f t="shared" si="106"/>
        <v>6.7010942125619692</v>
      </c>
      <c r="DA39" s="244">
        <f t="shared" si="106"/>
        <v>6.9494897427831779</v>
      </c>
      <c r="DB39" s="244">
        <f t="shared" si="106"/>
        <v>-11.049659877717385</v>
      </c>
      <c r="DC39" s="244">
        <f t="shared" si="106"/>
        <v>207.40108408511128</v>
      </c>
      <c r="DD39" s="244">
        <f t="shared" si="106"/>
        <v>16.378312382720132</v>
      </c>
      <c r="DE39" s="244">
        <f t="shared" si="106"/>
        <v>0</v>
      </c>
      <c r="DF39" s="244">
        <f t="shared" si="106"/>
        <v>16.128312382720132</v>
      </c>
      <c r="DG39" s="248"/>
    </row>
    <row r="40" spans="3:111" ht="30" customHeight="1" x14ac:dyDescent="0.55000000000000004">
      <c r="BG40" s="129"/>
      <c r="BH40" s="129"/>
      <c r="BI40" s="129"/>
      <c r="BJ40" s="129"/>
      <c r="BN40" s="31">
        <f t="shared" si="97"/>
        <v>0.1016101800219536</v>
      </c>
      <c r="BP40" s="254">
        <f t="shared" si="98"/>
        <v>88</v>
      </c>
      <c r="BQ40" s="54"/>
      <c r="BR40" s="70" t="str">
        <f>$AG$2</f>
        <v>Tote</v>
      </c>
      <c r="BS40" s="62">
        <f>IF($AF$29&gt;BS31,$AF$29,0)</f>
        <v>8.3689766146554628E-2</v>
      </c>
      <c r="BT40" s="28">
        <f t="shared" si="101"/>
        <v>6</v>
      </c>
      <c r="BU40" s="28">
        <f t="shared" si="99"/>
        <v>101610.18002195359</v>
      </c>
      <c r="BV40" s="54"/>
      <c r="BW40" s="54"/>
      <c r="BX40" s="2"/>
      <c r="BY40" s="54"/>
      <c r="BZ40" s="54"/>
      <c r="CA40" s="54"/>
      <c r="CB40" s="54"/>
      <c r="CC40" s="239" t="str">
        <f>COUNTIF($CF$40:$CZ$40,CE40)&amp;" "&amp;"occurances"</f>
        <v>0 occurances</v>
      </c>
      <c r="CD40" s="239" t="s">
        <v>377</v>
      </c>
      <c r="CE40" s="230">
        <f t="array" ref="CE40">MIN(IF(CF40:DF40&gt;=1,(CF40:DF40)))</f>
        <v>0</v>
      </c>
      <c r="CF40" s="244"/>
      <c r="CG40" s="244"/>
      <c r="CH40" s="244"/>
      <c r="CI40" s="244"/>
      <c r="CJ40" s="244"/>
      <c r="CK40" s="244"/>
      <c r="CL40" s="244"/>
      <c r="CM40" s="244"/>
      <c r="CN40" s="244"/>
      <c r="CO40" s="244"/>
      <c r="CP40" s="244"/>
      <c r="CQ40" s="244"/>
      <c r="CR40" s="244"/>
      <c r="CS40" s="244"/>
      <c r="CT40" s="244"/>
      <c r="CU40" s="244"/>
      <c r="CV40" s="244"/>
      <c r="CW40" s="244"/>
      <c r="CX40" s="244"/>
      <c r="CY40" s="244"/>
      <c r="CZ40" s="244"/>
      <c r="DA40" s="244"/>
      <c r="DB40" s="244"/>
      <c r="DC40" s="244"/>
      <c r="DD40" s="244"/>
      <c r="DE40" s="244"/>
      <c r="DF40" s="244"/>
      <c r="DG40" s="248"/>
    </row>
    <row r="41" spans="3:111" ht="30" customHeight="1" x14ac:dyDescent="0.55000000000000004">
      <c r="BG41" s="129"/>
      <c r="BH41" s="129"/>
      <c r="BI41" s="129"/>
      <c r="BJ41" s="129"/>
      <c r="BN41" s="31">
        <f t="shared" si="97"/>
        <v>0</v>
      </c>
      <c r="BP41" s="254">
        <f t="shared" si="98"/>
        <v>92</v>
      </c>
      <c r="BQ41" s="54"/>
      <c r="BR41" s="70" t="str">
        <f>$BE$2</f>
        <v>Trainer This Season Strike Rate</v>
      </c>
      <c r="BS41" s="62">
        <f>IF($BD$29&gt;$BS$31,$BD$29,0)</f>
        <v>0</v>
      </c>
      <c r="BT41" s="28">
        <f t="shared" si="101"/>
        <v>7</v>
      </c>
      <c r="BU41" s="28">
        <f t="shared" si="99"/>
        <v>0</v>
      </c>
      <c r="BV41" s="54"/>
      <c r="BW41" s="54"/>
      <c r="BX41" s="2"/>
      <c r="BY41" s="54"/>
      <c r="BZ41" s="54"/>
      <c r="CA41" s="54"/>
      <c r="CB41" s="54"/>
      <c r="CE41" s="230">
        <f>COUNTIF($CF$41:$CZ$41,"=YES")</f>
        <v>0</v>
      </c>
      <c r="CF41" s="244" t="b">
        <f>IF($BX$30="E",IF(AND(CF38=$CE$38,CF36=$CE$36),"YES","NO "),IF($BX$30="D",IF(AND(CF35=$CE$35,CF36&gt;=($CE$36-CF31)),"YES","NO ")))</f>
        <v>0</v>
      </c>
      <c r="CG41" s="244" t="b">
        <f t="shared" ref="CG41:DF41" si="107">IF($BX$30="E",IF(AND(CG38=$CE$38,CG36=$CE$36),"YES","NO "),IF($BX$30="D",IF(AND(CG35=$CE$35,CG36&gt;=($CE$36-CG31)),"YES","NO ")))</f>
        <v>0</v>
      </c>
      <c r="CH41" s="244" t="b">
        <f t="shared" si="107"/>
        <v>0</v>
      </c>
      <c r="CI41" s="244" t="b">
        <f t="shared" si="107"/>
        <v>0</v>
      </c>
      <c r="CJ41" s="244" t="b">
        <f t="shared" si="107"/>
        <v>0</v>
      </c>
      <c r="CK41" s="244" t="b">
        <f t="shared" si="107"/>
        <v>0</v>
      </c>
      <c r="CL41" s="244" t="b">
        <f t="shared" si="107"/>
        <v>0</v>
      </c>
      <c r="CM41" s="244" t="b">
        <f t="shared" si="107"/>
        <v>0</v>
      </c>
      <c r="CN41" s="244" t="b">
        <f t="shared" si="107"/>
        <v>0</v>
      </c>
      <c r="CO41" s="244" t="b">
        <f t="shared" si="107"/>
        <v>0</v>
      </c>
      <c r="CP41" s="244" t="b">
        <f t="shared" si="107"/>
        <v>0</v>
      </c>
      <c r="CQ41" s="244" t="b">
        <f t="shared" si="107"/>
        <v>0</v>
      </c>
      <c r="CR41" s="244" t="b">
        <f t="shared" si="107"/>
        <v>0</v>
      </c>
      <c r="CS41" s="244" t="b">
        <f t="shared" si="107"/>
        <v>0</v>
      </c>
      <c r="CT41" s="244" t="b">
        <f t="shared" si="107"/>
        <v>0</v>
      </c>
      <c r="CU41" s="244" t="b">
        <f t="shared" si="107"/>
        <v>0</v>
      </c>
      <c r="CV41" s="244" t="b">
        <f t="shared" si="107"/>
        <v>0</v>
      </c>
      <c r="CW41" s="244" t="b">
        <f t="shared" si="107"/>
        <v>0</v>
      </c>
      <c r="CX41" s="244" t="b">
        <f t="shared" si="107"/>
        <v>0</v>
      </c>
      <c r="CY41" s="244" t="b">
        <f t="shared" si="107"/>
        <v>0</v>
      </c>
      <c r="CZ41" s="244" t="b">
        <f t="shared" si="107"/>
        <v>0</v>
      </c>
      <c r="DA41" s="244" t="b">
        <f t="shared" si="107"/>
        <v>0</v>
      </c>
      <c r="DB41" s="244" t="b">
        <f t="shared" si="107"/>
        <v>0</v>
      </c>
      <c r="DC41" s="244" t="b">
        <f t="shared" si="107"/>
        <v>0</v>
      </c>
      <c r="DD41" s="244" t="b">
        <f t="shared" si="107"/>
        <v>0</v>
      </c>
      <c r="DE41" s="244" t="b">
        <f t="shared" si="107"/>
        <v>0</v>
      </c>
      <c r="DF41" s="244" t="b">
        <f t="shared" si="107"/>
        <v>0</v>
      </c>
      <c r="DG41" s="248"/>
    </row>
    <row r="42" spans="3:111" ht="30" customHeight="1" x14ac:dyDescent="0.55000000000000004">
      <c r="BG42" s="129"/>
      <c r="BH42" s="129"/>
      <c r="BI42" s="129"/>
      <c r="BJ42" s="129"/>
      <c r="BN42" s="31">
        <f t="shared" si="97"/>
        <v>0</v>
      </c>
      <c r="BP42" s="254">
        <f t="shared" si="98"/>
        <v>86</v>
      </c>
      <c r="BQ42" s="54"/>
      <c r="BR42" s="70" t="str">
        <f>$AK$2</f>
        <v>Last Start Finish Position</v>
      </c>
      <c r="BS42" s="62">
        <f>IF($AJ$29&gt;$BS$31,$AJ$29,0)</f>
        <v>0</v>
      </c>
      <c r="BT42" s="28">
        <f t="shared" si="101"/>
        <v>7</v>
      </c>
      <c r="BU42" s="28">
        <f t="shared" si="99"/>
        <v>0</v>
      </c>
      <c r="BV42" s="54"/>
      <c r="BW42" s="54"/>
      <c r="BX42" s="2"/>
      <c r="BY42" s="54"/>
      <c r="BZ42" s="54"/>
      <c r="CA42" s="54"/>
      <c r="CB42" s="54"/>
      <c r="CE42" s="248"/>
      <c r="CF42" s="248"/>
      <c r="CG42" s="248"/>
      <c r="CH42" s="248"/>
      <c r="CI42" s="248"/>
      <c r="CJ42" s="248"/>
      <c r="CK42" s="248"/>
      <c r="CL42" s="248"/>
      <c r="CM42" s="248"/>
      <c r="CN42" s="248"/>
      <c r="CO42" s="248"/>
      <c r="CP42" s="248"/>
      <c r="CQ42" s="248"/>
      <c r="CR42" s="248"/>
      <c r="CS42" s="248"/>
      <c r="CT42" s="248"/>
      <c r="CU42" s="248"/>
      <c r="CV42" s="248"/>
      <c r="CW42" s="248"/>
      <c r="CX42" s="248"/>
      <c r="CY42" s="248"/>
      <c r="CZ42" s="248"/>
      <c r="DA42" s="248"/>
      <c r="DB42" s="248"/>
      <c r="DC42" s="248"/>
      <c r="DD42" s="248"/>
      <c r="DE42" s="248"/>
      <c r="DF42" s="248"/>
      <c r="DG42" s="248"/>
    </row>
    <row r="43" spans="3:111" ht="30" customHeight="1" x14ac:dyDescent="0.55000000000000004">
      <c r="BG43" s="129"/>
      <c r="BH43" s="129"/>
      <c r="BI43" s="129"/>
      <c r="BJ43" s="129"/>
      <c r="BN43" s="31">
        <f t="shared" si="97"/>
        <v>0.32311463546913261</v>
      </c>
      <c r="BP43" s="254">
        <f t="shared" si="98"/>
        <v>90</v>
      </c>
      <c r="BQ43" s="54"/>
      <c r="BR43" s="70" t="str">
        <f>$AO$2</f>
        <v>This Track Roi</v>
      </c>
      <c r="BS43" s="62">
        <f>IF($AN$29&gt;$BS$31,$AN$29,0)</f>
        <v>0.26612873114778923</v>
      </c>
      <c r="BT43" s="28">
        <f t="shared" si="101"/>
        <v>1</v>
      </c>
      <c r="BU43" s="28">
        <f t="shared" si="99"/>
        <v>323114.63546913263</v>
      </c>
      <c r="BW43" s="54"/>
      <c r="BX43" s="2"/>
      <c r="BY43" s="54"/>
      <c r="BZ43" s="54"/>
      <c r="CA43" s="54"/>
      <c r="CB43" s="54"/>
      <c r="CE43" s="54"/>
      <c r="CF43" s="54"/>
      <c r="CG43" s="54"/>
      <c r="CH43" s="54"/>
      <c r="CI43" s="54"/>
      <c r="CJ43" s="54"/>
      <c r="CK43" s="54"/>
      <c r="CL43" s="54"/>
      <c r="CM43" s="54"/>
      <c r="CN43" s="54"/>
      <c r="CO43" s="54"/>
      <c r="CP43" s="54"/>
      <c r="CQ43" s="54"/>
      <c r="CR43" s="54"/>
      <c r="CS43" s="54"/>
      <c r="CT43" s="54"/>
      <c r="CU43" s="54"/>
      <c r="CV43" s="54"/>
      <c r="CW43" s="54"/>
      <c r="CX43" s="54"/>
    </row>
    <row r="44" spans="3:111" ht="30" customHeight="1" x14ac:dyDescent="0.55000000000000004">
      <c r="BG44" s="129"/>
      <c r="BH44" s="129"/>
      <c r="BI44" s="129"/>
      <c r="BJ44" s="129"/>
      <c r="BN44" s="31">
        <f t="shared" si="97"/>
        <v>0</v>
      </c>
      <c r="BP44" s="254">
        <f t="shared" si="98"/>
        <v>89</v>
      </c>
      <c r="BQ44" s="54"/>
      <c r="BR44" s="70" t="str">
        <f>$AS$2</f>
        <v>This Distance Place Strike Rate</v>
      </c>
      <c r="BS44" s="62">
        <f>IF($AR$29&gt;$BS$31,$AR$29,0)</f>
        <v>0</v>
      </c>
      <c r="BT44" s="28">
        <f t="shared" si="101"/>
        <v>7</v>
      </c>
      <c r="BU44" s="28">
        <f t="shared" si="99"/>
        <v>0</v>
      </c>
      <c r="BV44" s="2"/>
      <c r="BX44" s="2"/>
      <c r="BY44" s="54"/>
      <c r="BZ44" s="54"/>
      <c r="CA44" s="54"/>
      <c r="CB44" s="54"/>
      <c r="CH44" s="54"/>
    </row>
    <row r="45" spans="3:111" ht="30" customHeight="1" x14ac:dyDescent="0.55000000000000004">
      <c r="L45" s="54"/>
      <c r="P45" s="54"/>
      <c r="AC45" s="2"/>
      <c r="AF45" s="2"/>
      <c r="AG45" s="3"/>
      <c r="AH45" s="2"/>
      <c r="AI45" s="2"/>
      <c r="AJ45" s="2"/>
      <c r="AK45" s="2"/>
      <c r="AL45" s="2"/>
      <c r="AM45" s="2"/>
      <c r="AN45" s="2"/>
      <c r="AO45" s="2"/>
      <c r="AP45" s="14"/>
      <c r="AQ45" s="2"/>
      <c r="AR45" s="2"/>
      <c r="AS45" s="2"/>
      <c r="AT45" s="14"/>
      <c r="AU45" s="2"/>
      <c r="AV45" s="2"/>
      <c r="AW45" s="2"/>
      <c r="AX45" s="14"/>
      <c r="AY45" s="2"/>
      <c r="AZ45" s="2"/>
      <c r="BA45" s="2"/>
      <c r="BB45" s="14"/>
      <c r="BC45" s="2"/>
      <c r="BD45" s="2"/>
      <c r="BE45" s="2"/>
      <c r="BF45" s="14"/>
      <c r="BG45" s="130"/>
      <c r="BH45" s="130"/>
      <c r="BI45" s="130"/>
      <c r="BJ45" s="131"/>
      <c r="BK45" s="2"/>
      <c r="BL45" s="2"/>
      <c r="BN45" s="31">
        <f t="shared" si="97"/>
        <v>0</v>
      </c>
      <c r="BP45" s="254">
        <f t="shared" si="98"/>
        <v>91</v>
      </c>
      <c r="BQ45" s="54"/>
      <c r="BR45" s="70" t="str">
        <f>$BA$2</f>
        <v>Jockey This Season Strike Rate</v>
      </c>
      <c r="BS45" s="62">
        <f>IF($AZ$29&gt;$BS$31,$AZ$29,0)</f>
        <v>0</v>
      </c>
      <c r="BT45" s="28">
        <f t="shared" si="101"/>
        <v>7</v>
      </c>
      <c r="BU45" s="28">
        <f t="shared" si="99"/>
        <v>0</v>
      </c>
      <c r="BV45" s="2"/>
      <c r="BW45" s="2"/>
      <c r="BX45" s="2"/>
      <c r="BY45" s="2"/>
      <c r="BZ45" s="2"/>
      <c r="CA45" s="2"/>
      <c r="CB45" s="2"/>
      <c r="CH45" s="54"/>
    </row>
    <row r="46" spans="3:111" ht="30" customHeight="1" x14ac:dyDescent="0.55000000000000004">
      <c r="AC46" s="2"/>
      <c r="AF46" s="2"/>
      <c r="AG46" s="3"/>
      <c r="AH46" s="2"/>
      <c r="AI46" s="2"/>
      <c r="AJ46" s="2"/>
      <c r="AK46" s="2"/>
      <c r="AL46" s="2"/>
      <c r="AM46" s="2"/>
      <c r="AN46" s="2"/>
      <c r="AO46" s="2"/>
      <c r="AP46" s="14"/>
      <c r="AQ46" s="2"/>
      <c r="AR46" s="2"/>
      <c r="AS46" s="2"/>
      <c r="AT46" s="14"/>
      <c r="AU46" s="2"/>
      <c r="AV46" s="2"/>
      <c r="AW46" s="2"/>
      <c r="AX46" s="14"/>
      <c r="AY46" s="2"/>
      <c r="AZ46" s="2"/>
      <c r="BA46" s="2"/>
      <c r="BB46" s="14"/>
      <c r="BC46" s="2"/>
      <c r="BD46" s="2"/>
      <c r="BE46" s="2"/>
      <c r="BF46" s="14"/>
      <c r="BG46" s="130"/>
      <c r="BH46" s="130"/>
      <c r="BI46" s="130"/>
      <c r="BJ46" s="131"/>
      <c r="BK46" s="2"/>
      <c r="BL46" s="2"/>
      <c r="BN46" s="31">
        <f t="shared" si="97"/>
        <v>0.1089374160205818</v>
      </c>
      <c r="BP46" s="254">
        <f t="shared" si="98"/>
        <v>96</v>
      </c>
      <c r="BQ46" s="54"/>
      <c r="BR46" s="70" t="str">
        <f>$BI$2</f>
        <v>This Condition Strike Rate</v>
      </c>
      <c r="BS46" s="62">
        <f>IF($BH$29&gt;$BS$31,$BH$29,0)</f>
        <v>8.9724738893314074E-2</v>
      </c>
      <c r="BT46" s="28">
        <f t="shared" si="101"/>
        <v>5</v>
      </c>
      <c r="BU46" s="28">
        <f t="shared" si="99"/>
        <v>108937.41602058179</v>
      </c>
      <c r="BV46" s="2"/>
      <c r="BW46" s="2"/>
      <c r="BX46" s="3"/>
      <c r="BY46" s="2"/>
      <c r="BZ46" s="2"/>
      <c r="CA46" s="2"/>
      <c r="CB46" s="2"/>
      <c r="CH46" s="54"/>
    </row>
    <row r="47" spans="3:111" ht="30" customHeight="1" x14ac:dyDescent="0.5500000000000000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130"/>
      <c r="BH47" s="130"/>
      <c r="BI47" s="130"/>
      <c r="BJ47" s="130"/>
      <c r="BK47" s="2"/>
      <c r="BL47" s="2"/>
      <c r="BN47" s="31">
        <f t="shared" si="97"/>
        <v>0</v>
      </c>
      <c r="BP47" s="254">
        <f t="shared" si="98"/>
        <v>95</v>
      </c>
      <c r="BQ47" s="54"/>
      <c r="BR47" s="70" t="str">
        <f>$BM$2</f>
        <v>This Track Place Strike Rate</v>
      </c>
      <c r="BS47" s="62">
        <f>IF($BL$29&gt;$BS$31,$BL$29,0)</f>
        <v>0</v>
      </c>
      <c r="BT47" s="28">
        <f t="shared" si="101"/>
        <v>7</v>
      </c>
      <c r="BU47" s="28">
        <f t="shared" si="99"/>
        <v>0</v>
      </c>
      <c r="BV47" s="2"/>
      <c r="BW47" s="2"/>
      <c r="BX47" s="3"/>
      <c r="BY47" s="2"/>
      <c r="BZ47" s="2"/>
      <c r="CA47" s="2"/>
      <c r="CB47" s="2"/>
      <c r="CH47" s="54"/>
    </row>
    <row r="48" spans="3:111" ht="30" customHeight="1" x14ac:dyDescent="0.5500000000000000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130"/>
      <c r="BH48" s="130"/>
      <c r="BI48" s="130"/>
      <c r="BJ48" s="130"/>
      <c r="BK48" s="2"/>
      <c r="BL48" s="2"/>
      <c r="BM48" s="2"/>
      <c r="BN48" s="2"/>
      <c r="BP48"/>
      <c r="BR48" s="25"/>
      <c r="BS48" s="59">
        <f>SUM(BS33:BS47)</f>
        <v>0.8236356448583485</v>
      </c>
      <c r="BT48" s="26">
        <v>1000000</v>
      </c>
      <c r="BU48" s="26">
        <f>SUM(BU33:BU47)</f>
        <v>999999.99999999977</v>
      </c>
      <c r="BV48" s="2"/>
      <c r="BW48" s="2"/>
      <c r="BX48" s="2"/>
      <c r="BY48" s="2"/>
      <c r="BZ48" s="2"/>
      <c r="CA48" s="2"/>
      <c r="CB48" s="2"/>
    </row>
    <row r="49" spans="3:80" ht="30" customHeight="1" x14ac:dyDescent="0.5500000000000000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130"/>
      <c r="BH49" s="130"/>
      <c r="BI49" s="130"/>
      <c r="BJ49" s="130"/>
      <c r="BK49" s="2"/>
      <c r="BL49" s="2"/>
      <c r="BP49" s="24">
        <f>SUM(BN33:BN47)</f>
        <v>0.99999999999999978</v>
      </c>
      <c r="BR49" s="25">
        <f>STDEVP($BS$33:$BS$47)*1.5</f>
        <v>0.11690111262673081</v>
      </c>
      <c r="BS49" s="25">
        <f>AVERAGE($BS$33:$BS$47)</f>
        <v>5.4909042990556566E-2</v>
      </c>
      <c r="BT49" s="27">
        <f>ROUNDDOWN(AVERAGE($BT$33:$BT$47),0)-BU49</f>
        <v>3</v>
      </c>
      <c r="BU49" s="27">
        <f>ROUNDDOWN(STDEV(BT33:BT47),0)</f>
        <v>2</v>
      </c>
      <c r="BV49" s="2"/>
      <c r="BW49" s="2"/>
      <c r="BX49" s="2"/>
      <c r="BY49" s="2"/>
      <c r="BZ49" s="2"/>
      <c r="CA49" s="2"/>
      <c r="CB49" s="2"/>
    </row>
    <row r="50" spans="3:80" ht="30" customHeight="1" x14ac:dyDescent="0.5500000000000000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130"/>
      <c r="BH50" s="130"/>
      <c r="BI50" s="130"/>
      <c r="BJ50" s="130"/>
      <c r="BK50" s="2"/>
      <c r="BL50" s="2"/>
      <c r="BP50" s="77">
        <f>AVERAGE(BN33:BN47)</f>
        <v>6.6666666666666652E-2</v>
      </c>
      <c r="BS50" s="2"/>
      <c r="BT50" s="2"/>
      <c r="BU50" s="3"/>
      <c r="BV50" s="2"/>
      <c r="BW50" s="2"/>
      <c r="BX50" s="2"/>
      <c r="BY50" s="2"/>
      <c r="BZ50" s="2"/>
      <c r="CA50" s="2"/>
      <c r="CB50" s="2"/>
    </row>
    <row r="51" spans="3:80" ht="30" customHeight="1" x14ac:dyDescent="0.5500000000000000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130"/>
      <c r="BH51" s="130"/>
      <c r="BI51" s="130"/>
      <c r="BJ51" s="130"/>
      <c r="BK51" s="2"/>
      <c r="BL51" s="43" t="s">
        <v>219</v>
      </c>
      <c r="BP51" s="77">
        <f>STDEV(BN33:BN47)</f>
        <v>9.794310406075532E-2</v>
      </c>
      <c r="BV51" s="2"/>
      <c r="BW51" s="2"/>
      <c r="BX51" s="2"/>
      <c r="BY51" s="2"/>
      <c r="BZ51" s="2"/>
      <c r="CA51" s="2"/>
      <c r="CB51" s="2"/>
    </row>
    <row r="52" spans="3:80" ht="30" customHeight="1" x14ac:dyDescent="0.5500000000000000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130"/>
      <c r="BH52" s="130"/>
      <c r="BI52" s="130"/>
      <c r="BJ52" s="130"/>
      <c r="BK52" s="2"/>
      <c r="BL52" s="76">
        <f>BP53/BS52</f>
        <v>0</v>
      </c>
      <c r="BM52" s="28" t="s">
        <v>186</v>
      </c>
      <c r="BN52" s="30">
        <f>BP53-BS52</f>
        <v>-2</v>
      </c>
      <c r="BP52" s="43" t="s">
        <v>218</v>
      </c>
      <c r="BR52" s="28" t="s">
        <v>179</v>
      </c>
      <c r="BS52" s="30">
        <f>BU61</f>
        <v>2</v>
      </c>
      <c r="BT52" s="28" t="s">
        <v>148</v>
      </c>
      <c r="BU52" s="30">
        <f>BZ29</f>
        <v>0</v>
      </c>
      <c r="BV52" s="2"/>
      <c r="BW52" s="2"/>
      <c r="BX52" s="2"/>
      <c r="BY52" s="2"/>
      <c r="BZ52" s="2"/>
      <c r="CA52" s="2"/>
      <c r="CB52" s="2"/>
    </row>
    <row r="53" spans="3:80" ht="30" customHeight="1" x14ac:dyDescent="0.5500000000000000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130"/>
      <c r="BH53" s="130"/>
      <c r="BI53" s="130"/>
      <c r="BJ53" s="130"/>
      <c r="BK53" s="2"/>
      <c r="BL53" s="76">
        <f>BP54/BS53</f>
        <v>0</v>
      </c>
      <c r="BM53" s="28" t="s">
        <v>187</v>
      </c>
      <c r="BN53" s="30">
        <f>BP54-BS53</f>
        <v>-1</v>
      </c>
      <c r="BP53" s="76"/>
      <c r="BR53" s="28" t="s">
        <v>180</v>
      </c>
      <c r="BS53" s="30">
        <f>($BS52*($BS52-1))/2</f>
        <v>1</v>
      </c>
      <c r="BT53" s="28" t="s">
        <v>5</v>
      </c>
      <c r="BU53" s="30">
        <f>($BS52*($BS52-1))/2</f>
        <v>1</v>
      </c>
      <c r="BV53" s="2"/>
      <c r="BW53" s="2"/>
      <c r="BX53" s="2"/>
      <c r="BY53" s="2"/>
      <c r="BZ53" s="2"/>
      <c r="CA53" s="2"/>
      <c r="CB53" s="2"/>
    </row>
    <row r="54" spans="3:80" ht="30" customHeight="1" x14ac:dyDescent="0.5500000000000000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130"/>
      <c r="BH54" s="130"/>
      <c r="BI54" s="130"/>
      <c r="BJ54" s="130"/>
      <c r="BK54" s="2"/>
      <c r="BL54" s="76">
        <f>BP55/BS54</f>
        <v>0</v>
      </c>
      <c r="BM54" s="28" t="s">
        <v>188</v>
      </c>
      <c r="BN54" s="30">
        <f>BP55-BS54</f>
        <v>-2</v>
      </c>
      <c r="BP54" s="76"/>
      <c r="BR54" s="28" t="s">
        <v>181</v>
      </c>
      <c r="BS54" s="30">
        <f>BS53*2</f>
        <v>2</v>
      </c>
      <c r="BT54" s="28" t="s">
        <v>145</v>
      </c>
      <c r="BU54" s="30">
        <f>BU53*2</f>
        <v>2</v>
      </c>
      <c r="BV54" s="2"/>
      <c r="BW54" s="2"/>
      <c r="BX54" s="2"/>
      <c r="BY54" s="2"/>
      <c r="BZ54" s="2"/>
      <c r="CA54" s="2"/>
      <c r="CB54" s="2"/>
    </row>
    <row r="55" spans="3:80" ht="30" customHeight="1" x14ac:dyDescent="0.5500000000000000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130"/>
      <c r="BH55" s="130"/>
      <c r="BI55" s="130"/>
      <c r="BJ55" s="130"/>
      <c r="BK55" s="2"/>
      <c r="BL55" s="76" t="e">
        <f>BP56/BS55</f>
        <v>#DIV/0!</v>
      </c>
      <c r="BM55" s="28" t="s">
        <v>189</v>
      </c>
      <c r="BN55" s="30">
        <f>BP56-BS55</f>
        <v>0</v>
      </c>
      <c r="BP55" s="76"/>
      <c r="BR55" s="28" t="s">
        <v>182</v>
      </c>
      <c r="BS55" s="30">
        <f>$BS52*(($BS52)-1)*(($BS52)-2)</f>
        <v>0</v>
      </c>
      <c r="BT55" s="28" t="s">
        <v>146</v>
      </c>
      <c r="BU55" s="30">
        <f>$BS54*(($BS52)-1)</f>
        <v>2</v>
      </c>
      <c r="BW55" s="2"/>
      <c r="BX55" s="2"/>
      <c r="BY55" s="2"/>
      <c r="BZ55" s="2"/>
      <c r="CA55" s="2"/>
      <c r="CB55" s="2"/>
    </row>
    <row r="56" spans="3:80" ht="30" customHeight="1" x14ac:dyDescent="0.5500000000000000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130"/>
      <c r="BH56" s="130"/>
      <c r="BI56" s="130"/>
      <c r="BJ56" s="130"/>
      <c r="BK56" s="2"/>
      <c r="BL56" s="76" t="e">
        <f>BP57/BS56</f>
        <v>#DIV/0!</v>
      </c>
      <c r="BM56" s="28" t="s">
        <v>190</v>
      </c>
      <c r="BN56" s="30">
        <f>BP57-BS56</f>
        <v>0</v>
      </c>
      <c r="BP56" s="76"/>
      <c r="BR56" s="28" t="s">
        <v>183</v>
      </c>
      <c r="BS56" s="30">
        <f>$BS52*(($BS52)-1)*(($BS52)-2)*(($BS52)-3)</f>
        <v>0</v>
      </c>
      <c r="BT56" s="28" t="s">
        <v>147</v>
      </c>
      <c r="BU56" s="30">
        <f>$BS54*(($BS52)-1)*(($BS52)-2)</f>
        <v>0</v>
      </c>
      <c r="BW56" s="2"/>
      <c r="BX56" s="2"/>
      <c r="BY56" s="2"/>
      <c r="BZ56" s="2"/>
      <c r="CA56" s="2"/>
      <c r="CB56" s="2"/>
    </row>
    <row r="57" spans="3:80" ht="30" customHeight="1" x14ac:dyDescent="0.5500000000000000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130"/>
      <c r="BH57" s="130"/>
      <c r="BI57" s="130"/>
      <c r="BJ57" s="130"/>
      <c r="BK57" s="2"/>
      <c r="BL57" s="2"/>
      <c r="BM57" s="2"/>
      <c r="BN57" s="2"/>
      <c r="BP57" s="76"/>
      <c r="BR57" s="2"/>
      <c r="BS57" s="2"/>
      <c r="BT57" s="2"/>
      <c r="BU57" s="3"/>
      <c r="BW57" s="6" t="s">
        <v>152</v>
      </c>
      <c r="BX57" s="44">
        <v>1</v>
      </c>
      <c r="BY57" s="2" t="s">
        <v>154</v>
      </c>
      <c r="BZ57" s="2" t="s">
        <v>155</v>
      </c>
      <c r="CA57" s="2"/>
      <c r="CB57" s="2"/>
    </row>
    <row r="58" spans="3:80" ht="30" customHeight="1" x14ac:dyDescent="0.5500000000000000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130"/>
      <c r="BH58" s="130"/>
      <c r="BI58" s="130"/>
      <c r="BJ58" s="130"/>
      <c r="BK58" s="2"/>
      <c r="BL58" s="2"/>
      <c r="BM58" s="2"/>
      <c r="BN58" s="2"/>
      <c r="BP58" s="2"/>
      <c r="BR58" s="2"/>
      <c r="BS58" s="2"/>
      <c r="BT58" s="2"/>
      <c r="BU58" s="3"/>
      <c r="BW58" s="6" t="s">
        <v>152</v>
      </c>
      <c r="BX58" s="44">
        <v>2</v>
      </c>
      <c r="BY58" s="2" t="s">
        <v>156</v>
      </c>
      <c r="BZ58" s="2" t="s">
        <v>157</v>
      </c>
      <c r="CA58" s="2"/>
      <c r="CB58" s="2"/>
    </row>
    <row r="59" spans="3:80" ht="30" customHeight="1" x14ac:dyDescent="0.55000000000000004"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130"/>
      <c r="BH59" s="130"/>
      <c r="BI59" s="130"/>
      <c r="BJ59" s="130"/>
      <c r="BK59" s="2"/>
      <c r="BL59" s="2"/>
      <c r="BM59" s="2"/>
      <c r="BN59" s="2"/>
      <c r="BP59" s="2"/>
      <c r="BR59" s="43" t="s">
        <v>184</v>
      </c>
      <c r="BS59" s="43" t="s">
        <v>217</v>
      </c>
      <c r="BT59" s="43" t="s">
        <v>178</v>
      </c>
      <c r="BU59" s="43" t="s">
        <v>221</v>
      </c>
      <c r="BV59" s="43" t="s">
        <v>177</v>
      </c>
      <c r="BW59" s="6" t="s">
        <v>152</v>
      </c>
      <c r="BX59" s="44">
        <v>3</v>
      </c>
      <c r="BY59" s="2" t="s">
        <v>156</v>
      </c>
      <c r="BZ59" s="2" t="s">
        <v>158</v>
      </c>
      <c r="CA59" s="2"/>
      <c r="CB59" s="2"/>
    </row>
    <row r="60" spans="3:80" ht="30" customHeight="1" thickBot="1" x14ac:dyDescent="0.6"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130"/>
      <c r="BH60" s="130"/>
      <c r="BI60" s="130"/>
      <c r="BJ60" s="130"/>
      <c r="BK60" s="2"/>
      <c r="BL60" s="2"/>
      <c r="BM60" s="2"/>
      <c r="BN60" s="2"/>
      <c r="BP60" s="43" t="s">
        <v>215</v>
      </c>
      <c r="BR60" s="2"/>
      <c r="BS60" s="2"/>
      <c r="BT60" s="2"/>
      <c r="BU60" s="2"/>
      <c r="BW60" s="6" t="s">
        <v>152</v>
      </c>
      <c r="BX60" s="44">
        <v>4</v>
      </c>
      <c r="BY60" s="2" t="s">
        <v>159</v>
      </c>
      <c r="BZ60" s="2" t="s">
        <v>160</v>
      </c>
      <c r="CA60" s="2"/>
      <c r="CB60" s="2"/>
    </row>
    <row r="61" spans="3:80" ht="30" customHeight="1" thickBot="1" x14ac:dyDescent="0.6"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130"/>
      <c r="BH61" s="130"/>
      <c r="BI61" s="130"/>
      <c r="BJ61" s="130"/>
      <c r="BK61" s="2"/>
      <c r="BL61" s="2"/>
      <c r="BM61" s="2"/>
      <c r="BN61" s="2"/>
      <c r="BP61" s="2"/>
      <c r="BR61" s="33" t="s">
        <v>28</v>
      </c>
      <c r="BS61" s="33" t="str">
        <f>IF(BY32="UNDERS","CA BETCOVER","BS STANDARD")</f>
        <v>BS STANDARD</v>
      </c>
      <c r="BT61" s="33" t="s">
        <v>28</v>
      </c>
      <c r="BU61" s="33">
        <f>IF(BP51&lt;BP50,ROUNDUP(AVERAGE($BT33:$BT47),0),2)</f>
        <v>2</v>
      </c>
      <c r="BV61" s="161" t="str">
        <f>'SPORTSBET FIXED ODDS FOR PARLAY'!$K$4</f>
        <v>TT</v>
      </c>
      <c r="BW61" s="6" t="s">
        <v>153</v>
      </c>
      <c r="BX61" s="44">
        <v>5</v>
      </c>
      <c r="BY61" s="2" t="s">
        <v>159</v>
      </c>
      <c r="BZ61" s="2" t="s">
        <v>161</v>
      </c>
      <c r="CA61" s="2"/>
      <c r="CB61" s="2"/>
    </row>
    <row r="62" spans="3:80" ht="30" customHeight="1" x14ac:dyDescent="0.55000000000000004"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130"/>
      <c r="BH62" s="130"/>
      <c r="BI62" s="130"/>
      <c r="BJ62" s="130"/>
      <c r="BK62" s="2"/>
      <c r="BL62" s="2"/>
      <c r="BM62" s="2"/>
      <c r="BN62" s="2"/>
      <c r="BP62" s="31">
        <v>1</v>
      </c>
      <c r="BR62" s="6" t="s">
        <v>28</v>
      </c>
      <c r="BS62" s="74"/>
      <c r="BT62" s="6" t="s">
        <v>197</v>
      </c>
      <c r="BU62" s="43" t="s">
        <v>220</v>
      </c>
      <c r="BV62" s="6" t="s">
        <v>152</v>
      </c>
      <c r="BW62" s="6" t="s">
        <v>153</v>
      </c>
      <c r="BX62" s="44">
        <v>6</v>
      </c>
      <c r="BY62" s="2" t="s">
        <v>162</v>
      </c>
      <c r="BZ62" s="2" t="s">
        <v>163</v>
      </c>
      <c r="CA62" s="2"/>
      <c r="CB62" s="2"/>
    </row>
    <row r="63" spans="3:80" ht="30" customHeight="1" x14ac:dyDescent="0.55000000000000004"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130"/>
      <c r="BH63" s="130"/>
      <c r="BI63" s="130"/>
      <c r="BJ63" s="130"/>
      <c r="BK63" s="2"/>
      <c r="BL63" s="2"/>
      <c r="BM63" s="2"/>
      <c r="BN63" s="2"/>
      <c r="BP63" s="31">
        <v>0.5</v>
      </c>
      <c r="BR63" s="6" t="s">
        <v>191</v>
      </c>
      <c r="BS63" s="75"/>
      <c r="BT63" s="6" t="s">
        <v>28</v>
      </c>
      <c r="BU63" s="75">
        <v>0.22</v>
      </c>
      <c r="BV63" s="6" t="s">
        <v>153</v>
      </c>
      <c r="BW63" s="6" t="s">
        <v>153</v>
      </c>
      <c r="BX63" s="44">
        <v>7</v>
      </c>
      <c r="BY63" s="2" t="s">
        <v>162</v>
      </c>
      <c r="BZ63" s="2" t="s">
        <v>164</v>
      </c>
      <c r="CA63" s="2"/>
      <c r="CB63" s="2"/>
    </row>
    <row r="64" spans="3:80" ht="30" customHeight="1" x14ac:dyDescent="0.55000000000000004"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130"/>
      <c r="BH64" s="130"/>
      <c r="BI64" s="130"/>
      <c r="BJ64" s="130"/>
      <c r="BK64" s="2"/>
      <c r="BL64" s="2"/>
      <c r="BM64" s="2"/>
      <c r="BN64" s="2"/>
      <c r="BP64" s="31">
        <v>0.25</v>
      </c>
      <c r="BR64" s="2"/>
      <c r="BS64" s="2"/>
      <c r="BT64" s="2"/>
      <c r="BU64" s="3"/>
      <c r="BW64" s="6" t="s">
        <v>153</v>
      </c>
      <c r="BX64" s="44">
        <v>8</v>
      </c>
      <c r="BY64" s="2" t="s">
        <v>165</v>
      </c>
      <c r="BZ64" s="2" t="s">
        <v>166</v>
      </c>
      <c r="CA64" s="2"/>
      <c r="CB64" s="2"/>
    </row>
    <row r="65" spans="59:80" x14ac:dyDescent="0.55000000000000004">
      <c r="BG65" s="129"/>
      <c r="BH65" s="129"/>
      <c r="BI65" s="129"/>
      <c r="BJ65" s="129"/>
      <c r="BP65" s="73">
        <v>1</v>
      </c>
      <c r="BR65" s="2"/>
      <c r="BS65" s="2"/>
      <c r="BT65" s="2"/>
      <c r="BU65" s="3"/>
      <c r="BW65" s="6" t="s">
        <v>153</v>
      </c>
      <c r="BX65" s="44">
        <v>9</v>
      </c>
      <c r="BY65" s="2" t="s">
        <v>165</v>
      </c>
      <c r="BZ65" s="2" t="s">
        <v>167</v>
      </c>
      <c r="CA65" s="2"/>
      <c r="CB65" s="2"/>
    </row>
    <row r="66" spans="59:80" x14ac:dyDescent="0.55000000000000004">
      <c r="BG66" s="129"/>
      <c r="BH66" s="129"/>
      <c r="BI66" s="129"/>
      <c r="BJ66" s="129"/>
      <c r="BP66" s="2"/>
      <c r="BR66" s="2"/>
      <c r="BS66" s="2"/>
      <c r="BT66" s="2"/>
      <c r="BU66" s="3"/>
      <c r="BW66" s="6" t="s">
        <v>153</v>
      </c>
      <c r="BX66" s="45">
        <v>10</v>
      </c>
      <c r="BY66" s="1" t="s">
        <v>165</v>
      </c>
      <c r="BZ66" s="6" t="s">
        <v>168</v>
      </c>
      <c r="CA66" s="2"/>
      <c r="CB66" s="2"/>
    </row>
    <row r="67" spans="59:80" x14ac:dyDescent="0.55000000000000004">
      <c r="BG67" s="129"/>
      <c r="BH67" s="129"/>
      <c r="BI67" s="129"/>
      <c r="BJ67" s="129"/>
      <c r="BP67" s="2"/>
      <c r="BR67" s="2"/>
      <c r="BS67" s="2"/>
      <c r="BT67" s="2"/>
      <c r="BU67" s="3"/>
      <c r="BX67" s="1"/>
      <c r="BY67" s="6"/>
      <c r="CA67" s="2"/>
      <c r="CB67" s="2"/>
    </row>
    <row r="68" spans="59:80" x14ac:dyDescent="0.55000000000000004">
      <c r="BG68" s="129"/>
      <c r="BH68" s="129"/>
      <c r="BI68" s="129"/>
      <c r="BJ68" s="129"/>
      <c r="BP68" s="2"/>
      <c r="BR68" s="2"/>
      <c r="BS68" s="2"/>
      <c r="BT68" s="2"/>
      <c r="BU68" s="3"/>
    </row>
    <row r="69" spans="59:80" x14ac:dyDescent="0.55000000000000004">
      <c r="BP69" s="2"/>
      <c r="BR69" s="2"/>
      <c r="BS69" s="2"/>
      <c r="BT69" s="2"/>
      <c r="BU69" s="3"/>
    </row>
    <row r="70" spans="59:80" x14ac:dyDescent="0.55000000000000004">
      <c r="BP70" s="2"/>
      <c r="BR70" s="2"/>
      <c r="BS70" s="2"/>
      <c r="BT70" s="2"/>
      <c r="BU70" s="3"/>
    </row>
    <row r="71" spans="59:80" x14ac:dyDescent="0.55000000000000004">
      <c r="BP71" s="2"/>
      <c r="BR71" s="2"/>
      <c r="BS71" s="2"/>
      <c r="BT71" s="2"/>
      <c r="BU71" s="3"/>
    </row>
    <row r="72" spans="59:80" x14ac:dyDescent="0.55000000000000004">
      <c r="BP72" s="2"/>
    </row>
  </sheetData>
  <mergeCells count="1">
    <mergeCell ref="CB30:CC30"/>
  </mergeCells>
  <conditionalFormatting sqref="BW34">
    <cfRule type="cellIs" dxfId="1079" priority="263" operator="greaterThan">
      <formula>0.15</formula>
    </cfRule>
  </conditionalFormatting>
  <conditionalFormatting sqref="BW32:BW33">
    <cfRule type="cellIs" dxfId="1078" priority="261" operator="greaterThan">
      <formula>"median($AN$3:$AN$21)"</formula>
    </cfRule>
  </conditionalFormatting>
  <conditionalFormatting sqref="BW35:BW36">
    <cfRule type="cellIs" dxfId="1077" priority="259" stopIfTrue="1" operator="lessThan">
      <formula>0</formula>
    </cfRule>
    <cfRule type="cellIs" dxfId="1076" priority="260" stopIfTrue="1" operator="greaterThan">
      <formula>0</formula>
    </cfRule>
  </conditionalFormatting>
  <conditionalFormatting sqref="BW31">
    <cfRule type="cellIs" dxfId="1075" priority="257" operator="greaterThan">
      <formula>0.15</formula>
    </cfRule>
  </conditionalFormatting>
  <conditionalFormatting sqref="AJ30 AF30 X30 T30 AB30 AL30 BR30 H30 BL30 BN30 AH30 AD30 Z30 V30 R30 J30 BP30 AT30 BJ30">
    <cfRule type="cellIs" dxfId="1074" priority="270" operator="lessThan">
      <formula>$BR$21</formula>
    </cfRule>
    <cfRule type="cellIs" dxfId="1073" priority="271" operator="greaterThanOrEqual">
      <formula>$BR$21</formula>
    </cfRule>
  </conditionalFormatting>
  <conditionalFormatting sqref="BR29">
    <cfRule type="cellIs" dxfId="1072" priority="272" operator="greaterThan">
      <formula>$BR$17</formula>
    </cfRule>
  </conditionalFormatting>
  <conditionalFormatting sqref="N30">
    <cfRule type="cellIs" dxfId="1071" priority="238" operator="lessThan">
      <formula>$BR$21</formula>
    </cfRule>
    <cfRule type="cellIs" dxfId="1070" priority="239" operator="greaterThanOrEqual">
      <formula>$BR$21</formula>
    </cfRule>
  </conditionalFormatting>
  <conditionalFormatting sqref="P30">
    <cfRule type="cellIs" dxfId="1069" priority="233" operator="lessThan">
      <formula>$BR$21</formula>
    </cfRule>
    <cfRule type="cellIs" dxfId="1068" priority="234" operator="greaterThanOrEqual">
      <formula>$BR$21</formula>
    </cfRule>
  </conditionalFormatting>
  <conditionalFormatting sqref="L30">
    <cfRule type="cellIs" dxfId="1067" priority="231" operator="lessThan">
      <formula>$BR$21</formula>
    </cfRule>
    <cfRule type="cellIs" dxfId="1066" priority="232" operator="greaterThanOrEqual">
      <formula>$BR$21</formula>
    </cfRule>
  </conditionalFormatting>
  <conditionalFormatting sqref="AR30">
    <cfRule type="cellIs" dxfId="1065" priority="229" operator="lessThan">
      <formula>$BR$21</formula>
    </cfRule>
    <cfRule type="cellIs" dxfId="1064" priority="230" operator="greaterThanOrEqual">
      <formula>$BR$21</formula>
    </cfRule>
  </conditionalFormatting>
  <conditionalFormatting sqref="AP30">
    <cfRule type="cellIs" dxfId="1063" priority="225" operator="lessThan">
      <formula>$BR$21</formula>
    </cfRule>
    <cfRule type="cellIs" dxfId="1062" priority="226" operator="greaterThanOrEqual">
      <formula>$BR$21</formula>
    </cfRule>
  </conditionalFormatting>
  <conditionalFormatting sqref="AN30">
    <cfRule type="cellIs" dxfId="1061" priority="223" operator="lessThan">
      <formula>$BR$21</formula>
    </cfRule>
    <cfRule type="cellIs" dxfId="1060" priority="224" operator="greaterThanOrEqual">
      <formula>$BR$21</formula>
    </cfRule>
  </conditionalFormatting>
  <conditionalFormatting sqref="BH30">
    <cfRule type="cellIs" dxfId="1059" priority="219" operator="lessThan">
      <formula>$BR$21</formula>
    </cfRule>
    <cfRule type="cellIs" dxfId="1058" priority="220" operator="greaterThanOrEqual">
      <formula>$BR$21</formula>
    </cfRule>
  </conditionalFormatting>
  <conditionalFormatting sqref="BN52:BN56">
    <cfRule type="cellIs" dxfId="1057" priority="209" operator="lessThan">
      <formula>0</formula>
    </cfRule>
  </conditionalFormatting>
  <conditionalFormatting sqref="AX30">
    <cfRule type="cellIs" dxfId="1056" priority="204" operator="lessThan">
      <formula>$BR$21</formula>
    </cfRule>
    <cfRule type="cellIs" dxfId="1055" priority="205" operator="greaterThanOrEqual">
      <formula>$BR$21</formula>
    </cfRule>
  </conditionalFormatting>
  <conditionalFormatting sqref="AV30">
    <cfRule type="cellIs" dxfId="1054" priority="202" operator="lessThan">
      <formula>$BR$21</formula>
    </cfRule>
    <cfRule type="cellIs" dxfId="1053" priority="203" operator="greaterThanOrEqual">
      <formula>$BR$21</formula>
    </cfRule>
  </conditionalFormatting>
  <conditionalFormatting sqref="BB30">
    <cfRule type="cellIs" dxfId="1052" priority="197" operator="lessThan">
      <formula>$BR$21</formula>
    </cfRule>
    <cfRule type="cellIs" dxfId="1051" priority="198" operator="greaterThanOrEqual">
      <formula>$BR$21</formula>
    </cfRule>
  </conditionalFormatting>
  <conditionalFormatting sqref="AZ30">
    <cfRule type="cellIs" dxfId="1050" priority="195" operator="lessThan">
      <formula>$BR$21</formula>
    </cfRule>
    <cfRule type="cellIs" dxfId="1049" priority="196" operator="greaterThanOrEqual">
      <formula>$BR$21</formula>
    </cfRule>
  </conditionalFormatting>
  <conditionalFormatting sqref="BF30">
    <cfRule type="cellIs" dxfId="1048" priority="191" operator="lessThan">
      <formula>$BR$21</formula>
    </cfRule>
    <cfRule type="cellIs" dxfId="1047" priority="192" operator="greaterThanOrEqual">
      <formula>$BR$21</formula>
    </cfRule>
  </conditionalFormatting>
  <conditionalFormatting sqref="BD30">
    <cfRule type="cellIs" dxfId="1046" priority="189" operator="lessThan">
      <formula>$BR$21</formula>
    </cfRule>
    <cfRule type="cellIs" dxfId="1045" priority="190" operator="greaterThanOrEqual">
      <formula>$BR$21</formula>
    </cfRule>
  </conditionalFormatting>
  <conditionalFormatting sqref="BT30">
    <cfRule type="cellIs" dxfId="1044" priority="46" operator="equal">
      <formula>"AMANDA"</formula>
    </cfRule>
    <cfRule type="cellIs" dxfId="1043" priority="47" operator="equal">
      <formula>"Quinella"</formula>
    </cfRule>
  </conditionalFormatting>
  <conditionalFormatting sqref="BR31">
    <cfRule type="cellIs" dxfId="1042" priority="10" operator="lessThan">
      <formula>$BR$21</formula>
    </cfRule>
    <cfRule type="cellIs" dxfId="1041" priority="11" operator="greaterThanOrEqual">
      <formula>$BR$21</formula>
    </cfRule>
  </conditionalFormatting>
  <conditionalFormatting sqref="CX3:CY26">
    <cfRule type="cellIs" dxfId="1040" priority="1590" operator="lessThanOrEqual">
      <formula>CV$29</formula>
    </cfRule>
  </conditionalFormatting>
  <conditionalFormatting sqref="DG3:DG26">
    <cfRule type="cellIs" dxfId="1039" priority="4" operator="lessThanOrEqual">
      <formula>DG$19</formula>
    </cfRule>
  </conditionalFormatting>
  <conditionalFormatting sqref="CF41:DF41">
    <cfRule type="cellIs" dxfId="1038" priority="3" operator="equal">
      <formula>"YES"</formula>
    </cfRule>
  </conditionalFormatting>
  <conditionalFormatting sqref="DA3:DA26">
    <cfRule type="cellIs" dxfId="1037" priority="2" operator="lessThanOrEqual">
      <formula>3</formula>
    </cfRule>
  </conditionalFormatting>
  <conditionalFormatting sqref="DF3:DF26 DD3:DD26">
    <cfRule type="cellIs" dxfId="1036" priority="1599" operator="lessThanOrEqual">
      <formula>DD$29</formula>
    </cfRule>
  </conditionalFormatting>
  <conditionalFormatting sqref="CZ3:CZ26">
    <cfRule type="cellIs" dxfId="1035" priority="1" operator="lessThanOrEqual">
      <formula>CX$21</formula>
    </cfRule>
  </conditionalFormatting>
  <printOptions horizontalCentered="1" verticalCentered="1" headings="1"/>
  <pageMargins left="0.74791666666666667" right="0.74791666666666667" top="0.98541666666666683" bottom="0.98402777777777783" header="0.51180555555555562" footer="0.51180555555555562"/>
  <pageSetup scale="10" firstPageNumber="0" orientation="landscape" horizontalDpi="300" verticalDpi="300" r:id="rId1"/>
  <headerFooter alignWithMargins="0">
    <oddHeader>&amp;R&amp;A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X43"/>
  <sheetViews>
    <sheetView zoomScale="70" zoomScaleNormal="70" workbookViewId="0">
      <pane xSplit="3" ySplit="4" topLeftCell="AM5" activePane="bottomRight" state="frozen"/>
      <selection pane="topRight" activeCell="D1" sqref="D1"/>
      <selection pane="bottomLeft" activeCell="A5" sqref="A5"/>
      <selection pane="bottomRight" activeCell="AN2" sqref="AN2"/>
    </sheetView>
  </sheetViews>
  <sheetFormatPr defaultColWidth="9.109375" defaultRowHeight="14.4" x14ac:dyDescent="0.3"/>
  <cols>
    <col min="1" max="1" width="10" style="255" bestFit="1" customWidth="1"/>
    <col min="2" max="2" width="22.109375" style="255" bestFit="1" customWidth="1"/>
    <col min="3" max="3" width="9.5546875" style="255" bestFit="1" customWidth="1"/>
    <col min="4" max="4" width="9.5546875" style="255" customWidth="1"/>
    <col min="5" max="5" width="28.33203125" style="255" bestFit="1" customWidth="1"/>
    <col min="6" max="6" width="18.88671875" style="255" bestFit="1" customWidth="1"/>
    <col min="7" max="7" width="18.5546875" style="255" bestFit="1" customWidth="1"/>
    <col min="8" max="8" width="26" style="255" bestFit="1" customWidth="1"/>
    <col min="9" max="9" width="17.33203125" style="255" bestFit="1" customWidth="1"/>
    <col min="10" max="10" width="23.109375" style="255" bestFit="1" customWidth="1"/>
    <col min="11" max="11" width="33.44140625" style="255" bestFit="1" customWidth="1"/>
    <col min="12" max="12" width="22.109375" style="255" bestFit="1" customWidth="1"/>
    <col min="13" max="13" width="21.6640625" style="255" bestFit="1" customWidth="1"/>
    <col min="14" max="14" width="29.109375" style="255" bestFit="1" customWidth="1"/>
    <col min="15" max="15" width="20.5546875" style="255" bestFit="1" customWidth="1"/>
    <col min="16" max="16" width="22.88671875" style="255" bestFit="1" customWidth="1"/>
    <col min="17" max="17" width="22.44140625" style="255" bestFit="1" customWidth="1"/>
    <col min="18" max="18" width="30" style="255" bestFit="1" customWidth="1"/>
    <col min="19" max="19" width="21.109375" style="255" bestFit="1" customWidth="1"/>
    <col min="20" max="20" width="29.109375" style="255" bestFit="1" customWidth="1"/>
    <col min="21" max="21" width="27.33203125" style="255" bestFit="1" customWidth="1"/>
    <col min="22" max="22" width="23.5546875" style="255" bestFit="1" customWidth="1"/>
    <col min="23" max="23" width="22.88671875" style="255" bestFit="1" customWidth="1"/>
    <col min="24" max="24" width="12.88671875" style="255" bestFit="1" customWidth="1"/>
    <col min="25" max="25" width="13.109375" style="255" bestFit="1" customWidth="1"/>
    <col min="26" max="26" width="12.5546875" style="255" bestFit="1" customWidth="1"/>
    <col min="27" max="27" width="12.44140625" style="255" bestFit="1" customWidth="1"/>
    <col min="28" max="29" width="11.44140625" style="255" bestFit="1" customWidth="1"/>
    <col min="30" max="30" width="16.6640625" style="255" bestFit="1" customWidth="1"/>
    <col min="31" max="31" width="16" style="255" bestFit="1" customWidth="1"/>
    <col min="32" max="32" width="12.88671875" style="255" bestFit="1" customWidth="1"/>
    <col min="33" max="33" width="17.44140625" style="255" bestFit="1" customWidth="1"/>
    <col min="34" max="34" width="27.109375" style="255" bestFit="1" customWidth="1"/>
    <col min="35" max="35" width="15" style="255" bestFit="1" customWidth="1"/>
    <col min="36" max="36" width="17.44140625" style="255" bestFit="1" customWidth="1"/>
    <col min="37" max="37" width="15" style="255" bestFit="1" customWidth="1"/>
    <col min="38" max="38" width="29.109375" style="255" bestFit="1" customWidth="1"/>
    <col min="39" max="39" width="41.5546875" style="255" bestFit="1" customWidth="1"/>
    <col min="40" max="40" width="34.33203125" style="255" bestFit="1" customWidth="1"/>
    <col min="41" max="41" width="33.88671875" style="255" bestFit="1" customWidth="1"/>
    <col min="42" max="42" width="17.44140625" style="255" bestFit="1" customWidth="1"/>
    <col min="43" max="44" width="16.6640625" style="255" bestFit="1" customWidth="1"/>
    <col min="45" max="45" width="22.44140625" style="255" bestFit="1" customWidth="1"/>
    <col min="46" max="46" width="27.88671875" style="255" bestFit="1" customWidth="1"/>
    <col min="47" max="47" width="15.88671875" style="255" bestFit="1" customWidth="1"/>
    <col min="48" max="48" width="28.6640625" style="255" bestFit="1" customWidth="1"/>
    <col min="49" max="49" width="21.44140625" style="255" bestFit="1" customWidth="1"/>
    <col min="50" max="50" width="30.109375" style="255" bestFit="1" customWidth="1"/>
    <col min="51" max="51" width="21.44140625" style="255" bestFit="1" customWidth="1"/>
    <col min="52" max="52" width="13" style="255" bestFit="1" customWidth="1"/>
    <col min="53" max="53" width="16" style="255" bestFit="1" customWidth="1"/>
    <col min="54" max="54" width="13" style="255" bestFit="1" customWidth="1"/>
    <col min="55" max="55" width="18.5546875" style="255" bestFit="1" customWidth="1"/>
    <col min="56" max="56" width="21.109375" style="255" bestFit="1" customWidth="1"/>
    <col min="57" max="58" width="14.44140625" style="255" bestFit="1" customWidth="1"/>
    <col min="59" max="59" width="17.44140625" style="255" bestFit="1" customWidth="1"/>
    <col min="60" max="61" width="14.44140625" style="255" bestFit="1" customWidth="1"/>
    <col min="62" max="62" width="18.5546875" style="255" bestFit="1" customWidth="1"/>
    <col min="63" max="63" width="19.109375" style="255" bestFit="1" customWidth="1"/>
    <col min="64" max="64" width="22.109375" style="255" bestFit="1" customWidth="1"/>
    <col min="65" max="65" width="16" style="255" bestFit="1" customWidth="1"/>
    <col min="66" max="66" width="31.44140625" style="255" bestFit="1" customWidth="1"/>
    <col min="67" max="67" width="38.6640625" style="255" bestFit="1" customWidth="1"/>
    <col min="68" max="68" width="30.109375" style="255" bestFit="1" customWidth="1"/>
    <col min="69" max="69" width="33.88671875" style="255" bestFit="1" customWidth="1"/>
    <col min="70" max="70" width="20.5546875" style="255" bestFit="1" customWidth="1"/>
    <col min="71" max="71" width="21" style="255" bestFit="1" customWidth="1"/>
    <col min="72" max="72" width="22.109375" style="255" bestFit="1" customWidth="1"/>
    <col min="73" max="77" width="18.33203125" style="255" bestFit="1" customWidth="1"/>
    <col min="78" max="79" width="21" style="255" bestFit="1" customWidth="1"/>
    <col min="80" max="80" width="22.109375" style="255" bestFit="1" customWidth="1"/>
    <col min="81" max="81" width="29.6640625" style="255" bestFit="1" customWidth="1"/>
    <col min="82" max="82" width="34.33203125" style="255" bestFit="1" customWidth="1"/>
    <col min="83" max="83" width="41.6640625" style="255" bestFit="1" customWidth="1"/>
    <col min="84" max="84" width="33" style="255" bestFit="1" customWidth="1"/>
    <col min="85" max="85" width="36.88671875" style="255" bestFit="1" customWidth="1"/>
    <col min="86" max="86" width="21" style="255" bestFit="1" customWidth="1"/>
    <col min="87" max="87" width="13" style="255" bestFit="1" customWidth="1"/>
    <col min="88" max="88" width="18.5546875" style="255" bestFit="1" customWidth="1"/>
    <col min="89" max="89" width="21.109375" style="255" bestFit="1" customWidth="1"/>
    <col min="90" max="91" width="14.44140625" style="255" bestFit="1" customWidth="1"/>
    <col min="92" max="92" width="17.44140625" style="255" bestFit="1" customWidth="1"/>
    <col min="93" max="94" width="14.44140625" style="255" bestFit="1" customWidth="1"/>
    <col min="95" max="95" width="18.5546875" style="255" bestFit="1" customWidth="1"/>
    <col min="96" max="96" width="19.109375" style="255" bestFit="1" customWidth="1"/>
    <col min="97" max="97" width="22.109375" style="255" bestFit="1" customWidth="1"/>
    <col min="98" max="98" width="16" style="255" bestFit="1" customWidth="1"/>
    <col min="99" max="99" width="31.44140625" style="255" bestFit="1" customWidth="1"/>
    <col min="100" max="100" width="38.6640625" style="255" bestFit="1" customWidth="1"/>
    <col min="101" max="101" width="30.109375" style="255" bestFit="1" customWidth="1"/>
    <col min="102" max="102" width="33.88671875" style="255" bestFit="1" customWidth="1"/>
    <col min="103" max="103" width="20.5546875" style="255" bestFit="1" customWidth="1"/>
    <col min="104" max="104" width="21" style="255" bestFit="1" customWidth="1"/>
    <col min="105" max="105" width="22.109375" style="255" bestFit="1" customWidth="1"/>
    <col min="106" max="110" width="18.33203125" style="255" bestFit="1" customWidth="1"/>
    <col min="111" max="112" width="21" style="255" bestFit="1" customWidth="1"/>
    <col min="113" max="113" width="22.109375" style="255" bestFit="1" customWidth="1"/>
    <col min="114" max="115" width="18.5546875" style="255" bestFit="1" customWidth="1"/>
    <col min="116" max="116" width="41.6640625" style="255" bestFit="1" customWidth="1"/>
    <col min="117" max="117" width="33" style="255" bestFit="1" customWidth="1"/>
    <col min="118" max="118" width="36.88671875" style="255" bestFit="1" customWidth="1"/>
    <col min="119" max="119" width="49.109375" style="255" bestFit="1" customWidth="1"/>
    <col min="120" max="120" width="42.109375" style="255" bestFit="1" customWidth="1"/>
    <col min="121" max="121" width="24.44140625" style="255" bestFit="1" customWidth="1"/>
    <col min="122" max="123" width="27.109375" style="255" bestFit="1" customWidth="1"/>
    <col min="124" max="124" width="31" style="255" bestFit="1" customWidth="1"/>
    <col min="125" max="125" width="136.44140625" style="255" bestFit="1" customWidth="1"/>
    <col min="126" max="126" width="64.5546875" style="255" bestFit="1" customWidth="1"/>
    <col min="127" max="127" width="63.44140625" style="255" bestFit="1" customWidth="1"/>
    <col min="128" max="128" width="59.6640625" style="255" bestFit="1" customWidth="1"/>
    <col min="129" max="129" width="19.109375" style="255" bestFit="1" customWidth="1"/>
    <col min="130" max="131" width="12.33203125" style="255" bestFit="1" customWidth="1"/>
    <col min="132" max="132" width="2.88671875" style="255" customWidth="1"/>
    <col min="133" max="134" width="16.109375" style="255" customWidth="1"/>
    <col min="135" max="137" width="9.109375" style="255"/>
    <col min="138" max="140" width="12.33203125" style="255" customWidth="1"/>
    <col min="141" max="141" width="12.33203125" style="326" customWidth="1"/>
    <col min="142" max="142" width="14.33203125" style="255" customWidth="1"/>
    <col min="143" max="143" width="9.109375" style="255"/>
    <col min="144" max="144" width="13" style="255" customWidth="1"/>
    <col min="145" max="145" width="9.109375" style="255"/>
    <col min="146" max="146" width="13" style="255" customWidth="1"/>
    <col min="147" max="147" width="9.109375" style="255"/>
    <col min="148" max="148" width="13.5546875" style="255" customWidth="1"/>
    <col min="149" max="149" width="9.109375" style="255"/>
    <col min="150" max="152" width="11.109375" style="255" customWidth="1"/>
    <col min="153" max="16384" width="9.109375" style="255"/>
  </cols>
  <sheetData>
    <row r="1" spans="1:154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  <c r="EW1" s="326">
        <v>153</v>
      </c>
      <c r="EX1" s="326">
        <v>154</v>
      </c>
    </row>
    <row r="2" spans="1:154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36</v>
      </c>
      <c r="EK2" s="339" t="s">
        <v>846</v>
      </c>
      <c r="EL2" s="339" t="s">
        <v>683</v>
      </c>
      <c r="EN2" s="339" t="s">
        <v>684</v>
      </c>
      <c r="EP2" s="339" t="s">
        <v>845</v>
      </c>
      <c r="ER2" s="339" t="s">
        <v>743</v>
      </c>
      <c r="ET2" s="339" t="s">
        <v>854</v>
      </c>
      <c r="EU2" s="339" t="s">
        <v>753</v>
      </c>
      <c r="EV2" s="339" t="s">
        <v>686</v>
      </c>
      <c r="EW2" s="339" t="s">
        <v>844</v>
      </c>
      <c r="EX2" s="339" t="s">
        <v>853</v>
      </c>
    </row>
    <row r="3" spans="1:154" x14ac:dyDescent="0.3">
      <c r="A3" s="261">
        <v>1</v>
      </c>
      <c r="B3" s="262" t="s">
        <v>492</v>
      </c>
      <c r="C3" s="262">
        <v>7</v>
      </c>
      <c r="D3" s="262" t="s">
        <v>387</v>
      </c>
      <c r="E3" s="262">
        <v>68</v>
      </c>
      <c r="F3" s="262">
        <v>45</v>
      </c>
      <c r="G3" s="262">
        <v>6</v>
      </c>
      <c r="H3" s="262">
        <v>13.33</v>
      </c>
      <c r="I3" s="262">
        <v>5</v>
      </c>
      <c r="J3" s="262">
        <v>18</v>
      </c>
      <c r="K3" s="262">
        <v>40</v>
      </c>
      <c r="L3" s="262">
        <v>34</v>
      </c>
      <c r="M3" s="262">
        <v>4</v>
      </c>
      <c r="N3" s="262">
        <v>11.76</v>
      </c>
      <c r="O3" s="262">
        <v>-5</v>
      </c>
      <c r="P3" s="262">
        <v>11</v>
      </c>
      <c r="Q3" s="262">
        <v>2</v>
      </c>
      <c r="R3" s="263">
        <v>18.18</v>
      </c>
      <c r="S3" s="262">
        <v>38</v>
      </c>
      <c r="T3" s="262">
        <v>1887</v>
      </c>
      <c r="U3" s="262">
        <v>84925</v>
      </c>
      <c r="V3" s="262">
        <v>21</v>
      </c>
      <c r="W3" s="262">
        <v>20</v>
      </c>
      <c r="X3" s="262">
        <v>60.5</v>
      </c>
      <c r="Y3" s="262">
        <v>60.5</v>
      </c>
      <c r="Z3" s="262">
        <v>7</v>
      </c>
      <c r="AA3" s="262">
        <v>14000</v>
      </c>
      <c r="AB3" s="262">
        <v>5</v>
      </c>
      <c r="AC3" s="262">
        <v>1</v>
      </c>
      <c r="AD3" s="262">
        <v>20</v>
      </c>
      <c r="AE3" s="262">
        <v>-16</v>
      </c>
      <c r="AF3" s="262">
        <v>4</v>
      </c>
      <c r="AG3" s="262">
        <v>80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10</v>
      </c>
      <c r="AU3" s="262">
        <v>2</v>
      </c>
      <c r="AV3" s="262">
        <v>20</v>
      </c>
      <c r="AW3" s="262">
        <v>52</v>
      </c>
      <c r="AX3" s="262">
        <v>5</v>
      </c>
      <c r="AY3" s="262">
        <v>50</v>
      </c>
      <c r="AZ3" s="262" t="s">
        <v>493</v>
      </c>
      <c r="BA3" s="262" t="s">
        <v>388</v>
      </c>
      <c r="BB3" s="262"/>
      <c r="BC3" s="262">
        <v>232765</v>
      </c>
      <c r="BD3" s="262">
        <v>2328</v>
      </c>
      <c r="BE3" s="262">
        <v>100</v>
      </c>
      <c r="BF3" s="262">
        <v>11</v>
      </c>
      <c r="BG3" s="262">
        <v>11</v>
      </c>
      <c r="BH3" s="262">
        <v>-7</v>
      </c>
      <c r="BI3" s="262">
        <v>30</v>
      </c>
      <c r="BJ3" s="262">
        <v>30</v>
      </c>
      <c r="BK3" s="262">
        <v>823425</v>
      </c>
      <c r="BL3" s="262">
        <v>2973</v>
      </c>
      <c r="BM3" s="262">
        <v>277</v>
      </c>
      <c r="BN3" s="262">
        <v>30</v>
      </c>
      <c r="BO3" s="262">
        <v>10.83</v>
      </c>
      <c r="BP3" s="262">
        <v>-28</v>
      </c>
      <c r="BQ3" s="262">
        <v>88</v>
      </c>
      <c r="BR3" s="262">
        <v>31.77</v>
      </c>
      <c r="BS3" s="262">
        <v>823425</v>
      </c>
      <c r="BT3" s="262">
        <v>2973</v>
      </c>
      <c r="BU3" s="262">
        <v>277</v>
      </c>
      <c r="BV3" s="262">
        <v>30</v>
      </c>
      <c r="BW3" s="262">
        <v>10.83</v>
      </c>
      <c r="BX3" s="262">
        <v>-28</v>
      </c>
      <c r="BY3" s="262">
        <v>88</v>
      </c>
      <c r="BZ3" s="262">
        <v>31.77</v>
      </c>
      <c r="CA3" s="262">
        <v>487925</v>
      </c>
      <c r="CB3" s="262">
        <v>3275</v>
      </c>
      <c r="CC3" s="262">
        <v>149</v>
      </c>
      <c r="CD3" s="262">
        <v>15</v>
      </c>
      <c r="CE3" s="262">
        <v>10.07</v>
      </c>
      <c r="CF3" s="262">
        <v>-6</v>
      </c>
      <c r="CG3" s="262">
        <v>52</v>
      </c>
      <c r="CH3" s="262">
        <v>34.9</v>
      </c>
      <c r="CI3" s="262" t="s">
        <v>494</v>
      </c>
      <c r="CJ3" s="262">
        <v>125775</v>
      </c>
      <c r="CK3" s="262">
        <v>1258</v>
      </c>
      <c r="CL3" s="262">
        <v>100</v>
      </c>
      <c r="CM3" s="262">
        <v>11</v>
      </c>
      <c r="CN3" s="262">
        <v>11</v>
      </c>
      <c r="CO3" s="262">
        <v>-17</v>
      </c>
      <c r="CP3" s="262">
        <v>29</v>
      </c>
      <c r="CQ3" s="262">
        <v>29</v>
      </c>
      <c r="CR3" s="262">
        <v>85150</v>
      </c>
      <c r="CS3" s="262">
        <v>1078</v>
      </c>
      <c r="CT3" s="262">
        <v>79</v>
      </c>
      <c r="CU3" s="262">
        <v>9</v>
      </c>
      <c r="CV3" s="262">
        <v>11.39</v>
      </c>
      <c r="CW3" s="262">
        <v>-22</v>
      </c>
      <c r="CX3" s="262">
        <v>21</v>
      </c>
      <c r="CY3" s="262">
        <v>26.58</v>
      </c>
      <c r="CZ3" s="262">
        <v>80350</v>
      </c>
      <c r="DA3" s="262">
        <v>1164</v>
      </c>
      <c r="DB3" s="262">
        <v>69</v>
      </c>
      <c r="DC3" s="262">
        <v>9</v>
      </c>
      <c r="DD3" s="262">
        <v>13.04</v>
      </c>
      <c r="DE3" s="262">
        <v>-11</v>
      </c>
      <c r="DF3" s="262">
        <v>18</v>
      </c>
      <c r="DG3" s="262">
        <v>26.09</v>
      </c>
      <c r="DH3" s="262">
        <v>120110</v>
      </c>
      <c r="DI3" s="262">
        <v>1082</v>
      </c>
      <c r="DJ3" s="262">
        <v>111</v>
      </c>
      <c r="DK3" s="262">
        <v>6</v>
      </c>
      <c r="DL3" s="262">
        <v>5.41</v>
      </c>
      <c r="DM3" s="262">
        <v>-57</v>
      </c>
      <c r="DN3" s="262">
        <v>38</v>
      </c>
      <c r="DO3" s="262">
        <v>34.229999999999997</v>
      </c>
      <c r="DP3" s="262">
        <v>2</v>
      </c>
      <c r="DQ3" s="262">
        <v>1</v>
      </c>
      <c r="DR3" s="262" t="s">
        <v>389</v>
      </c>
      <c r="DS3" s="262">
        <v>330</v>
      </c>
      <c r="DT3" s="264">
        <v>20000</v>
      </c>
      <c r="DU3" s="265" t="s">
        <v>495</v>
      </c>
      <c r="DV3" s="265" t="s">
        <v>496</v>
      </c>
      <c r="DW3" s="265" t="s">
        <v>497</v>
      </c>
      <c r="DX3" s="265" t="s">
        <v>498</v>
      </c>
      <c r="DY3" s="265">
        <v>4</v>
      </c>
      <c r="DZ3" s="265">
        <f t="shared" ref="DZ3" si="0">IFERROR(AVERAGE(DP3,DQ3,DS3)^2," ")</f>
        <v>12321</v>
      </c>
      <c r="EA3" s="265">
        <f>IF(RawData[[#This Row],[Cohesion ROI]]=" "," ",RANK(RawData[[#This Row],[Cohesion ROI]],$DZ$3:$DZ$32,0))</f>
        <v>2</v>
      </c>
      <c r="EB3" s="326"/>
      <c r="EC3" s="354">
        <f>IF(A3="","",VLOOKUP(RawData[[#This Row],[Num]],$A$3:$DP$30,8,FALSE))</f>
        <v>13.33</v>
      </c>
      <c r="ED3" s="353">
        <f>IFERROR(IF(AND(EC3=0,V3&gt;100),0.4,IF(AND(EC3=0,V3&lt;100),1-(V3/100),(EC3/100)))," ")</f>
        <v>0.1333</v>
      </c>
      <c r="EE3" s="326"/>
      <c r="EF3" s="353">
        <f>IFERROR(IF(EC3=0,1,(VLOOKUP(RawData[[#This Row],[Num]],$A$3:$DP$30,6,FALSE)))," ")</f>
        <v>45</v>
      </c>
      <c r="EG3" s="326"/>
      <c r="EH3" s="340">
        <f>IFERROR(VLOOKUP(RawData[[#This Row],[Num]],$A$3:$DP$30,120,FALSE)," ")</f>
        <v>2</v>
      </c>
      <c r="EI3" s="351">
        <f>IF(AND(RawData[[#This Row],[Num]]&lt;&gt;"",ED3&gt;$ED$34,EH3&gt;=$EH$38),1,EH3)</f>
        <v>2</v>
      </c>
      <c r="EJ3" s="340">
        <f>IFERROR(IF(EH3=EI3,VLOOKUP(RawData[[#This Row],[Num]],$A$3:$DP$30,7,FALSE),IF(EI3&lt;=2,VLOOKUP(RawData[[#This Row],[Num]],$A$3:$DP$30,7,FALSE)+EI3," "))," ")</f>
        <v>6</v>
      </c>
      <c r="EK3" s="353">
        <f>IFERROR(IF(EJ3=0,ED3,(EJ3/EF3))," ")</f>
        <v>0.13333333333333333</v>
      </c>
      <c r="EL3" s="353">
        <f>IFERROR(IF(ED3=0,1,(EF3+1))," ")</f>
        <v>46</v>
      </c>
      <c r="EM3" s="326"/>
      <c r="EN3" s="353">
        <f>IFERROR((1/EK3)," ")</f>
        <v>7.5</v>
      </c>
      <c r="EO3" s="326"/>
      <c r="EP3" s="353">
        <f>IF(EN3=" "," ",G3+1)</f>
        <v>7</v>
      </c>
      <c r="EQ3" s="326"/>
      <c r="ER3" s="353">
        <f>IF(ED3=" "," ",(ABS(EN3*EP3)))</f>
        <v>52.5</v>
      </c>
      <c r="ES3" s="326"/>
      <c r="ET3" s="353">
        <f>IF(ER3=" "," ",(ER3-EL3))</f>
        <v>6.5</v>
      </c>
      <c r="EU3" s="340" t="str">
        <f>IF(ER3=" "," ",IF(AND($EV$43&lt;=1,EX3&lt;=5),1,IF(AND($EV$43&gt;1,EX3&lt;=3),1," ")))</f>
        <v xml:space="preserve"> </v>
      </c>
      <c r="EV3" s="340" t="str">
        <f>IF(AND(A3&gt;0,EU3=1),"NOW"," ")</f>
        <v xml:space="preserve"> </v>
      </c>
      <c r="EW3" s="353">
        <f>IF(ET3=" "," ",ABS(ET3))</f>
        <v>6.5</v>
      </c>
      <c r="EX3" s="353">
        <f>IF(ER3=" "," ",RANK(EW3,$EW$3:$EW$30,1))</f>
        <v>6</v>
      </c>
    </row>
    <row r="4" spans="1:154" x14ac:dyDescent="0.3">
      <c r="A4" s="266">
        <v>2</v>
      </c>
      <c r="B4" s="262" t="s">
        <v>499</v>
      </c>
      <c r="C4" s="262">
        <v>6</v>
      </c>
      <c r="D4" s="262" t="s">
        <v>387</v>
      </c>
      <c r="E4" s="262">
        <v>66</v>
      </c>
      <c r="F4" s="262">
        <v>58</v>
      </c>
      <c r="G4" s="262">
        <v>8</v>
      </c>
      <c r="H4" s="262">
        <v>13.79</v>
      </c>
      <c r="I4" s="262">
        <v>-32</v>
      </c>
      <c r="J4" s="262">
        <v>27</v>
      </c>
      <c r="K4" s="262">
        <v>46.55</v>
      </c>
      <c r="L4" s="262">
        <v>40</v>
      </c>
      <c r="M4" s="262">
        <v>6</v>
      </c>
      <c r="N4" s="262">
        <v>15</v>
      </c>
      <c r="O4" s="262">
        <v>-21</v>
      </c>
      <c r="P4" s="262">
        <v>17</v>
      </c>
      <c r="Q4" s="262">
        <v>1</v>
      </c>
      <c r="R4" s="263">
        <v>5.88</v>
      </c>
      <c r="S4" s="262">
        <v>-65</v>
      </c>
      <c r="T4" s="262">
        <v>2721</v>
      </c>
      <c r="U4" s="262">
        <v>157800</v>
      </c>
      <c r="V4" s="262">
        <v>3.25</v>
      </c>
      <c r="W4" s="262">
        <v>3.1</v>
      </c>
      <c r="X4" s="262">
        <v>59.5</v>
      </c>
      <c r="Y4" s="262">
        <v>58</v>
      </c>
      <c r="Z4" s="262">
        <v>6</v>
      </c>
      <c r="AA4" s="262">
        <v>14000</v>
      </c>
      <c r="AB4" s="262">
        <v>24</v>
      </c>
      <c r="AC4" s="262">
        <v>4</v>
      </c>
      <c r="AD4" s="262">
        <v>16.670000000000002</v>
      </c>
      <c r="AE4" s="262">
        <v>-5</v>
      </c>
      <c r="AF4" s="262">
        <v>13</v>
      </c>
      <c r="AG4" s="262">
        <v>54.17</v>
      </c>
      <c r="AH4" s="262">
        <v>2</v>
      </c>
      <c r="AI4" s="262">
        <v>0</v>
      </c>
      <c r="AJ4" s="262">
        <v>0</v>
      </c>
      <c r="AK4" s="262">
        <v>-100</v>
      </c>
      <c r="AL4" s="262">
        <v>1</v>
      </c>
      <c r="AM4" s="262">
        <v>50</v>
      </c>
      <c r="AN4" s="262">
        <v>1</v>
      </c>
      <c r="AO4" s="262">
        <v>0</v>
      </c>
      <c r="AP4" s="262">
        <v>0</v>
      </c>
      <c r="AQ4" s="262">
        <v>-100</v>
      </c>
      <c r="AR4" s="262">
        <v>0</v>
      </c>
      <c r="AS4" s="262">
        <v>0</v>
      </c>
      <c r="AT4" s="262">
        <v>13</v>
      </c>
      <c r="AU4" s="262">
        <v>1</v>
      </c>
      <c r="AV4" s="262">
        <v>7.69</v>
      </c>
      <c r="AW4" s="262">
        <v>-54</v>
      </c>
      <c r="AX4" s="262">
        <v>7</v>
      </c>
      <c r="AY4" s="262">
        <v>53.85</v>
      </c>
      <c r="AZ4" s="262" t="s">
        <v>500</v>
      </c>
      <c r="BA4" s="262" t="s">
        <v>391</v>
      </c>
      <c r="BB4" s="262">
        <v>1.5</v>
      </c>
      <c r="BC4" s="262">
        <v>153805</v>
      </c>
      <c r="BD4" s="262">
        <v>1538</v>
      </c>
      <c r="BE4" s="262">
        <v>100</v>
      </c>
      <c r="BF4" s="262">
        <v>7</v>
      </c>
      <c r="BG4" s="262">
        <v>7</v>
      </c>
      <c r="BH4" s="262">
        <v>-55</v>
      </c>
      <c r="BI4" s="262">
        <v>35</v>
      </c>
      <c r="BJ4" s="262">
        <v>35</v>
      </c>
      <c r="BK4" s="262">
        <v>304610</v>
      </c>
      <c r="BL4" s="262">
        <v>1360</v>
      </c>
      <c r="BM4" s="262">
        <v>224</v>
      </c>
      <c r="BN4" s="262">
        <v>18</v>
      </c>
      <c r="BO4" s="262">
        <v>8.0399999999999991</v>
      </c>
      <c r="BP4" s="262">
        <v>-50</v>
      </c>
      <c r="BQ4" s="262">
        <v>72</v>
      </c>
      <c r="BR4" s="262">
        <v>32.14</v>
      </c>
      <c r="BS4" s="262">
        <v>244260</v>
      </c>
      <c r="BT4" s="262">
        <v>1313</v>
      </c>
      <c r="BU4" s="262">
        <v>186</v>
      </c>
      <c r="BV4" s="262">
        <v>14</v>
      </c>
      <c r="BW4" s="262">
        <v>7.53</v>
      </c>
      <c r="BX4" s="262">
        <v>-55</v>
      </c>
      <c r="BY4" s="262">
        <v>58</v>
      </c>
      <c r="BZ4" s="262">
        <v>31.18</v>
      </c>
      <c r="CA4" s="262">
        <v>455836</v>
      </c>
      <c r="CB4" s="262">
        <v>2425</v>
      </c>
      <c r="CC4" s="262">
        <v>188</v>
      </c>
      <c r="CD4" s="262">
        <v>34</v>
      </c>
      <c r="CE4" s="262">
        <v>18.09</v>
      </c>
      <c r="CF4" s="262">
        <v>-1</v>
      </c>
      <c r="CG4" s="262">
        <v>77</v>
      </c>
      <c r="CH4" s="262">
        <v>40.96</v>
      </c>
      <c r="CI4" s="262" t="s">
        <v>501</v>
      </c>
      <c r="CJ4" s="262">
        <v>422425</v>
      </c>
      <c r="CK4" s="262">
        <v>4224</v>
      </c>
      <c r="CL4" s="262">
        <v>100</v>
      </c>
      <c r="CM4" s="262">
        <v>11</v>
      </c>
      <c r="CN4" s="262">
        <v>11</v>
      </c>
      <c r="CO4" s="262">
        <v>-58</v>
      </c>
      <c r="CP4" s="262">
        <v>41</v>
      </c>
      <c r="CQ4" s="262">
        <v>41</v>
      </c>
      <c r="CR4" s="262">
        <v>915145</v>
      </c>
      <c r="CS4" s="262">
        <v>3211</v>
      </c>
      <c r="CT4" s="262">
        <v>285</v>
      </c>
      <c r="CU4" s="262">
        <v>41</v>
      </c>
      <c r="CV4" s="262">
        <v>14.39</v>
      </c>
      <c r="CW4" s="262">
        <v>-23</v>
      </c>
      <c r="CX4" s="262">
        <v>111</v>
      </c>
      <c r="CY4" s="262">
        <v>38.950000000000003</v>
      </c>
      <c r="CZ4" s="262">
        <v>841545</v>
      </c>
      <c r="DA4" s="262">
        <v>3313</v>
      </c>
      <c r="DB4" s="262">
        <v>254</v>
      </c>
      <c r="DC4" s="262">
        <v>36</v>
      </c>
      <c r="DD4" s="262">
        <v>14.17</v>
      </c>
      <c r="DE4" s="262">
        <v>-26</v>
      </c>
      <c r="DF4" s="262">
        <v>99</v>
      </c>
      <c r="DG4" s="262">
        <v>38.979999999999997</v>
      </c>
      <c r="DH4" s="262">
        <v>811675</v>
      </c>
      <c r="DI4" s="262">
        <v>2230</v>
      </c>
      <c r="DJ4" s="262">
        <v>364</v>
      </c>
      <c r="DK4" s="262">
        <v>41</v>
      </c>
      <c r="DL4" s="262">
        <v>11.26</v>
      </c>
      <c r="DM4" s="262">
        <v>-22</v>
      </c>
      <c r="DN4" s="262">
        <v>135</v>
      </c>
      <c r="DO4" s="262">
        <v>37.090000000000003</v>
      </c>
      <c r="DP4" s="262">
        <v>6</v>
      </c>
      <c r="DQ4" s="262">
        <v>5.0999999999999996</v>
      </c>
      <c r="DR4" s="262" t="s">
        <v>393</v>
      </c>
      <c r="DS4" s="262">
        <v>430</v>
      </c>
      <c r="DT4" s="264"/>
      <c r="DU4" s="262" t="s">
        <v>495</v>
      </c>
      <c r="DV4" s="262" t="s">
        <v>502</v>
      </c>
      <c r="DW4" s="262" t="s">
        <v>503</v>
      </c>
      <c r="DX4" s="262" t="s">
        <v>504</v>
      </c>
      <c r="DY4" s="262">
        <v>6</v>
      </c>
      <c r="DZ4" s="265">
        <f t="shared" ref="DZ4:DZ33" si="1">IFERROR(AVERAGE(DP4,DQ4,DS4)^2," ")</f>
        <v>21618.801111111112</v>
      </c>
      <c r="EA4" s="265">
        <f>IF(RawData[[#This Row],[Cohesion ROI]]=" "," ",RANK(RawData[[#This Row],[Cohesion ROI]],$DZ$3:$DZ$32,0))</f>
        <v>1</v>
      </c>
      <c r="EB4" s="326"/>
      <c r="EC4" s="355">
        <f>IF(A4="","",VLOOKUP(RawData[[#This Row],[Num]],$A$3:$DP$30,8,FALSE))</f>
        <v>13.79</v>
      </c>
      <c r="ED4" s="354">
        <f t="shared" ref="ED4:ED32" si="2">IFERROR(IF(AND(EC4=0,V4&gt;100),0.4,IF(AND(EC4=0,V4&lt;100),1-(V4/100),(EC4/100)))," ")</f>
        <v>0.13789999999999999</v>
      </c>
      <c r="EE4" s="326"/>
      <c r="EF4" s="354">
        <f>IFERROR(IF(EC4=0,1,(VLOOKUP(RawData[[#This Row],[Num]],$A$3:$DP$30,6,FALSE)))," ")</f>
        <v>58</v>
      </c>
      <c r="EG4" s="326"/>
      <c r="EH4" s="262">
        <f>IFERROR(VLOOKUP(RawData[[#This Row],[Num]],$A$3:$DP$30,120,FALSE)," ")</f>
        <v>6</v>
      </c>
      <c r="EI4" s="352">
        <f>IF(AND(RawData[[#This Row],[Num]]&lt;&gt;"",ED4&gt;$ED$34,EH4&gt;=$EH$38),1,EH4)</f>
        <v>6</v>
      </c>
      <c r="EJ4" s="262">
        <f>IFERROR(IF(EH4=EI4,VLOOKUP(RawData[[#This Row],[Num]],$A$3:$DP$30,7,FALSE),IF(EI4&lt;=2,VLOOKUP(RawData[[#This Row],[Num]],$A$3:$DP$30,7,FALSE)+EI4," "))," ")</f>
        <v>8</v>
      </c>
      <c r="EK4" s="354">
        <f t="shared" ref="EK4:EK32" si="3">IFERROR(IF(EJ4=0,ED4,(EJ4/EF4))," ")</f>
        <v>0.13793103448275862</v>
      </c>
      <c r="EL4" s="354">
        <f t="shared" ref="EL4:EL32" si="4">IFERROR(IF(ED4=0,1,(EF4+1))," ")</f>
        <v>59</v>
      </c>
      <c r="EM4" s="326"/>
      <c r="EN4" s="354">
        <f t="shared" ref="EN4:EN32" si="5">IFERROR((1/EK4)," ")</f>
        <v>7.25</v>
      </c>
      <c r="EO4" s="326"/>
      <c r="EP4" s="354">
        <f t="shared" ref="EP4:EP32" si="6">IF(EN4=" "," ",G4+1)</f>
        <v>9</v>
      </c>
      <c r="EQ4" s="326"/>
      <c r="ER4" s="354">
        <f t="shared" ref="ER4:ER32" si="7">IF(ED4=" "," ",(ABS(EN4*EP4)))</f>
        <v>65.25</v>
      </c>
      <c r="ES4" s="326"/>
      <c r="ET4" s="354">
        <f t="shared" ref="ET4:ET32" si="8">IF(ER4=" "," ",(ER4-EL4))</f>
        <v>6.25</v>
      </c>
      <c r="EU4" s="352" t="str">
        <f t="shared" ref="EU4:EU30" si="9">IF(ER4=" "," ",IF(AND($EV$43&lt;=1,EX4&lt;=5),1,IF(AND($EV$43&gt;1,EX4&lt;=3),1," ")))</f>
        <v xml:space="preserve"> </v>
      </c>
      <c r="EV4" s="352" t="str">
        <f t="shared" ref="EV4:EV30" si="10">IF(AND(A4&gt;0,EU4=1),"NOW"," ")</f>
        <v xml:space="preserve"> </v>
      </c>
      <c r="EW4" s="354">
        <f t="shared" ref="EW4:EW32" si="11">IF(ET4=" "," ",ABS(ET4))</f>
        <v>6.25</v>
      </c>
      <c r="EX4" s="354">
        <f t="shared" ref="EX4:EX32" si="12">IF(ER4=" "," ",RANK(EW4,$EW$3:$EW$30,1))</f>
        <v>5</v>
      </c>
    </row>
    <row r="5" spans="1:154" x14ac:dyDescent="0.3">
      <c r="A5" s="266">
        <v>3</v>
      </c>
      <c r="B5" s="262" t="s">
        <v>505</v>
      </c>
      <c r="C5" s="262">
        <v>6</v>
      </c>
      <c r="D5" s="262" t="s">
        <v>387</v>
      </c>
      <c r="E5" s="262">
        <v>64</v>
      </c>
      <c r="F5" s="262">
        <v>55</v>
      </c>
      <c r="G5" s="262">
        <v>6</v>
      </c>
      <c r="H5" s="262">
        <v>10.91</v>
      </c>
      <c r="I5" s="262">
        <v>-20</v>
      </c>
      <c r="J5" s="262">
        <v>23</v>
      </c>
      <c r="K5" s="262">
        <v>41.82</v>
      </c>
      <c r="L5" s="262">
        <v>40</v>
      </c>
      <c r="M5" s="262">
        <v>4</v>
      </c>
      <c r="N5" s="262">
        <v>10</v>
      </c>
      <c r="O5" s="262">
        <v>-49</v>
      </c>
      <c r="P5" s="262">
        <v>15</v>
      </c>
      <c r="Q5" s="262">
        <v>2</v>
      </c>
      <c r="R5" s="263">
        <v>13.33</v>
      </c>
      <c r="S5" s="262">
        <v>60</v>
      </c>
      <c r="T5" s="262">
        <v>1705</v>
      </c>
      <c r="U5" s="262">
        <v>93755</v>
      </c>
      <c r="V5" s="262">
        <v>3</v>
      </c>
      <c r="W5" s="262">
        <v>2.8</v>
      </c>
      <c r="X5" s="262">
        <v>58.5</v>
      </c>
      <c r="Y5" s="262">
        <v>58.5</v>
      </c>
      <c r="Z5" s="262">
        <v>1</v>
      </c>
      <c r="AA5" s="262">
        <v>14000</v>
      </c>
      <c r="AB5" s="262">
        <v>15</v>
      </c>
      <c r="AC5" s="262">
        <v>2</v>
      </c>
      <c r="AD5" s="262">
        <v>13.33</v>
      </c>
      <c r="AE5" s="262">
        <v>60</v>
      </c>
      <c r="AF5" s="262">
        <v>9</v>
      </c>
      <c r="AG5" s="262">
        <v>60</v>
      </c>
      <c r="AH5" s="262">
        <v>3</v>
      </c>
      <c r="AI5" s="262">
        <v>0</v>
      </c>
      <c r="AJ5" s="262">
        <v>0</v>
      </c>
      <c r="AK5" s="262">
        <v>-100</v>
      </c>
      <c r="AL5" s="262">
        <v>2</v>
      </c>
      <c r="AM5" s="262">
        <v>66.67</v>
      </c>
      <c r="AN5" s="262">
        <v>1</v>
      </c>
      <c r="AO5" s="262">
        <v>0</v>
      </c>
      <c r="AP5" s="262">
        <v>0</v>
      </c>
      <c r="AQ5" s="262">
        <v>-100</v>
      </c>
      <c r="AR5" s="262">
        <v>1</v>
      </c>
      <c r="AS5" s="262">
        <v>100</v>
      </c>
      <c r="AT5" s="262">
        <v>14</v>
      </c>
      <c r="AU5" s="262">
        <v>2</v>
      </c>
      <c r="AV5" s="262">
        <v>14.29</v>
      </c>
      <c r="AW5" s="262">
        <v>71</v>
      </c>
      <c r="AX5" s="262">
        <v>7</v>
      </c>
      <c r="AY5" s="262">
        <v>50</v>
      </c>
      <c r="AZ5" s="262" t="s">
        <v>506</v>
      </c>
      <c r="BA5" s="262" t="s">
        <v>388</v>
      </c>
      <c r="BB5" s="262"/>
      <c r="BC5" s="262">
        <v>166550</v>
      </c>
      <c r="BD5" s="262">
        <v>1666</v>
      </c>
      <c r="BE5" s="262">
        <v>100</v>
      </c>
      <c r="BF5" s="262">
        <v>10</v>
      </c>
      <c r="BG5" s="262">
        <v>10</v>
      </c>
      <c r="BH5" s="262">
        <v>7</v>
      </c>
      <c r="BI5" s="262">
        <v>33</v>
      </c>
      <c r="BJ5" s="262">
        <v>33</v>
      </c>
      <c r="BK5" s="262">
        <v>221350</v>
      </c>
      <c r="BL5" s="262">
        <v>1537</v>
      </c>
      <c r="BM5" s="262">
        <v>144</v>
      </c>
      <c r="BN5" s="262">
        <v>13</v>
      </c>
      <c r="BO5" s="262">
        <v>9.0299999999999994</v>
      </c>
      <c r="BP5" s="262">
        <v>-19</v>
      </c>
      <c r="BQ5" s="262">
        <v>49</v>
      </c>
      <c r="BR5" s="262">
        <v>34.03</v>
      </c>
      <c r="BS5" s="262">
        <v>221350</v>
      </c>
      <c r="BT5" s="262">
        <v>1537</v>
      </c>
      <c r="BU5" s="262">
        <v>144</v>
      </c>
      <c r="BV5" s="262">
        <v>13</v>
      </c>
      <c r="BW5" s="262">
        <v>9.0299999999999994</v>
      </c>
      <c r="BX5" s="262">
        <v>-19</v>
      </c>
      <c r="BY5" s="262">
        <v>49</v>
      </c>
      <c r="BZ5" s="262">
        <v>34.03</v>
      </c>
      <c r="CA5" s="262">
        <v>131650</v>
      </c>
      <c r="CB5" s="262">
        <v>1317</v>
      </c>
      <c r="CC5" s="262">
        <v>100</v>
      </c>
      <c r="CD5" s="262">
        <v>9</v>
      </c>
      <c r="CE5" s="262">
        <v>9</v>
      </c>
      <c r="CF5" s="262">
        <v>-55</v>
      </c>
      <c r="CG5" s="262">
        <v>33</v>
      </c>
      <c r="CH5" s="262">
        <v>33</v>
      </c>
      <c r="CI5" s="262" t="s">
        <v>507</v>
      </c>
      <c r="CJ5" s="262">
        <v>260563</v>
      </c>
      <c r="CK5" s="262">
        <v>2606</v>
      </c>
      <c r="CL5" s="262">
        <v>100</v>
      </c>
      <c r="CM5" s="262">
        <v>16</v>
      </c>
      <c r="CN5" s="262">
        <v>16</v>
      </c>
      <c r="CO5" s="262">
        <v>-38</v>
      </c>
      <c r="CP5" s="262">
        <v>39</v>
      </c>
      <c r="CQ5" s="262">
        <v>39</v>
      </c>
      <c r="CR5" s="262">
        <v>165563</v>
      </c>
      <c r="CS5" s="262">
        <v>2471</v>
      </c>
      <c r="CT5" s="262">
        <v>67</v>
      </c>
      <c r="CU5" s="262">
        <v>10</v>
      </c>
      <c r="CV5" s="262">
        <v>14.93</v>
      </c>
      <c r="CW5" s="262">
        <v>-39</v>
      </c>
      <c r="CX5" s="262">
        <v>25</v>
      </c>
      <c r="CY5" s="262">
        <v>37.31</v>
      </c>
      <c r="CZ5" s="262">
        <v>153963</v>
      </c>
      <c r="DA5" s="262">
        <v>2483</v>
      </c>
      <c r="DB5" s="262">
        <v>62</v>
      </c>
      <c r="DC5" s="262">
        <v>9</v>
      </c>
      <c r="DD5" s="262">
        <v>14.52</v>
      </c>
      <c r="DE5" s="262">
        <v>-39</v>
      </c>
      <c r="DF5" s="262">
        <v>24</v>
      </c>
      <c r="DG5" s="262">
        <v>38.71</v>
      </c>
      <c r="DH5" s="262">
        <v>168475</v>
      </c>
      <c r="DI5" s="262">
        <v>2553</v>
      </c>
      <c r="DJ5" s="262">
        <v>66</v>
      </c>
      <c r="DK5" s="262">
        <v>12</v>
      </c>
      <c r="DL5" s="262">
        <v>18.18</v>
      </c>
      <c r="DM5" s="262">
        <v>2</v>
      </c>
      <c r="DN5" s="262">
        <v>28</v>
      </c>
      <c r="DO5" s="262">
        <v>42.42</v>
      </c>
      <c r="DP5" s="262">
        <v>7</v>
      </c>
      <c r="DQ5" s="262">
        <v>2.8</v>
      </c>
      <c r="DR5" s="262" t="s">
        <v>508</v>
      </c>
      <c r="DS5" s="262">
        <v>-10</v>
      </c>
      <c r="DT5" s="264"/>
      <c r="DU5" s="262" t="s">
        <v>495</v>
      </c>
      <c r="DV5" s="262" t="s">
        <v>509</v>
      </c>
      <c r="DW5" s="262" t="s">
        <v>510</v>
      </c>
      <c r="DX5" s="262" t="s">
        <v>511</v>
      </c>
      <c r="DY5" s="262">
        <v>2</v>
      </c>
      <c r="DZ5" s="265">
        <f t="shared" si="1"/>
        <v>4.4444444444444132E-3</v>
      </c>
      <c r="EA5" s="265">
        <f>IF(RawData[[#This Row],[Cohesion ROI]]=" "," ",RANK(RawData[[#This Row],[Cohesion ROI]],$DZ$3:$DZ$32,0))</f>
        <v>8</v>
      </c>
      <c r="EB5" s="326"/>
      <c r="EC5" s="354">
        <f>IF(A5="","",VLOOKUP(RawData[[#This Row],[Num]],$A$3:$DP$30,8,FALSE))</f>
        <v>10.91</v>
      </c>
      <c r="ED5" s="355">
        <f t="shared" si="2"/>
        <v>0.1091</v>
      </c>
      <c r="EE5" s="326"/>
      <c r="EF5" s="355">
        <f>IFERROR(IF(EC5=0,1,(VLOOKUP(RawData[[#This Row],[Num]],$A$3:$DP$30,6,FALSE)))," ")</f>
        <v>55</v>
      </c>
      <c r="EG5" s="326"/>
      <c r="EH5" s="316">
        <f>IFERROR(VLOOKUP(RawData[[#This Row],[Num]],$A$3:$DP$30,120,FALSE)," ")</f>
        <v>7</v>
      </c>
      <c r="EI5" s="351">
        <f>IF(AND(RawData[[#This Row],[Num]]&lt;&gt;"",ED5&gt;$ED$34,EH5&gt;=$EH$38),1,EH5)</f>
        <v>7</v>
      </c>
      <c r="EJ5" s="316">
        <f>IFERROR(IF(EH5=EI5,VLOOKUP(RawData[[#This Row],[Num]],$A$3:$DP$30,7,FALSE),IF(EI5&lt;=2,VLOOKUP(RawData[[#This Row],[Num]],$A$3:$DP$30,7,FALSE)+EI5," "))," ")</f>
        <v>6</v>
      </c>
      <c r="EK5" s="355">
        <f t="shared" si="3"/>
        <v>0.10909090909090909</v>
      </c>
      <c r="EL5" s="355">
        <f t="shared" si="4"/>
        <v>56</v>
      </c>
      <c r="EM5" s="326"/>
      <c r="EN5" s="355">
        <f t="shared" si="5"/>
        <v>9.1666666666666679</v>
      </c>
      <c r="EO5" s="326"/>
      <c r="EP5" s="355">
        <f t="shared" si="6"/>
        <v>7</v>
      </c>
      <c r="EQ5" s="326"/>
      <c r="ER5" s="355">
        <f t="shared" si="7"/>
        <v>64.166666666666671</v>
      </c>
      <c r="ES5" s="326"/>
      <c r="ET5" s="355">
        <f t="shared" si="8"/>
        <v>8.1666666666666714</v>
      </c>
      <c r="EU5" s="351" t="str">
        <f t="shared" si="9"/>
        <v xml:space="preserve"> </v>
      </c>
      <c r="EV5" s="351" t="str">
        <f t="shared" si="10"/>
        <v xml:space="preserve"> </v>
      </c>
      <c r="EW5" s="355">
        <f t="shared" si="11"/>
        <v>8.1666666666666714</v>
      </c>
      <c r="EX5" s="355">
        <f t="shared" si="12"/>
        <v>8</v>
      </c>
    </row>
    <row r="6" spans="1:154" x14ac:dyDescent="0.3">
      <c r="A6" s="266">
        <v>5</v>
      </c>
      <c r="B6" s="262" t="s">
        <v>512</v>
      </c>
      <c r="C6" s="262">
        <v>7</v>
      </c>
      <c r="D6" s="262" t="s">
        <v>387</v>
      </c>
      <c r="E6" s="262">
        <v>63</v>
      </c>
      <c r="F6" s="262">
        <v>61</v>
      </c>
      <c r="G6" s="262">
        <v>10</v>
      </c>
      <c r="H6" s="262">
        <v>16.39</v>
      </c>
      <c r="I6" s="262">
        <v>-36</v>
      </c>
      <c r="J6" s="262">
        <v>24</v>
      </c>
      <c r="K6" s="262">
        <v>39.340000000000003</v>
      </c>
      <c r="L6" s="262">
        <v>45</v>
      </c>
      <c r="M6" s="262">
        <v>8</v>
      </c>
      <c r="N6" s="262">
        <v>17.78</v>
      </c>
      <c r="O6" s="262">
        <v>-33</v>
      </c>
      <c r="P6" s="262">
        <v>16</v>
      </c>
      <c r="Q6" s="262">
        <v>2</v>
      </c>
      <c r="R6" s="263">
        <v>12.5</v>
      </c>
      <c r="S6" s="262">
        <v>-44</v>
      </c>
      <c r="T6" s="262">
        <v>1920</v>
      </c>
      <c r="U6" s="262">
        <v>117150</v>
      </c>
      <c r="V6" s="262">
        <v>7.1</v>
      </c>
      <c r="W6" s="262">
        <v>6.5</v>
      </c>
      <c r="X6" s="262">
        <v>58</v>
      </c>
      <c r="Y6" s="262">
        <v>58</v>
      </c>
      <c r="Z6" s="262">
        <v>5</v>
      </c>
      <c r="AA6" s="262">
        <v>14000</v>
      </c>
      <c r="AB6" s="262">
        <v>6</v>
      </c>
      <c r="AC6" s="262">
        <v>0</v>
      </c>
      <c r="AD6" s="262">
        <v>0</v>
      </c>
      <c r="AE6" s="262">
        <v>-100</v>
      </c>
      <c r="AF6" s="262">
        <v>1</v>
      </c>
      <c r="AG6" s="262">
        <v>16.670000000000002</v>
      </c>
      <c r="AH6" s="262">
        <v>12</v>
      </c>
      <c r="AI6" s="262">
        <v>0</v>
      </c>
      <c r="AJ6" s="262">
        <v>0</v>
      </c>
      <c r="AK6" s="262">
        <v>-100</v>
      </c>
      <c r="AL6" s="262">
        <v>4</v>
      </c>
      <c r="AM6" s="262">
        <v>33.33</v>
      </c>
      <c r="AN6" s="262">
        <v>3</v>
      </c>
      <c r="AO6" s="262">
        <v>0</v>
      </c>
      <c r="AP6" s="262">
        <v>0</v>
      </c>
      <c r="AQ6" s="262">
        <v>-100</v>
      </c>
      <c r="AR6" s="262">
        <v>1</v>
      </c>
      <c r="AS6" s="262">
        <v>33.33</v>
      </c>
      <c r="AT6" s="262">
        <v>11</v>
      </c>
      <c r="AU6" s="262">
        <v>1</v>
      </c>
      <c r="AV6" s="262">
        <v>9.09</v>
      </c>
      <c r="AW6" s="262">
        <v>-50</v>
      </c>
      <c r="AX6" s="262">
        <v>4</v>
      </c>
      <c r="AY6" s="262">
        <v>36.36</v>
      </c>
      <c r="AZ6" s="262" t="s">
        <v>513</v>
      </c>
      <c r="BA6" s="262" t="s">
        <v>388</v>
      </c>
      <c r="BB6" s="262"/>
      <c r="BC6" s="262">
        <v>359425</v>
      </c>
      <c r="BD6" s="262">
        <v>3594</v>
      </c>
      <c r="BE6" s="262">
        <v>100</v>
      </c>
      <c r="BF6" s="262">
        <v>11</v>
      </c>
      <c r="BG6" s="262">
        <v>11</v>
      </c>
      <c r="BH6" s="262">
        <v>-39</v>
      </c>
      <c r="BI6" s="262">
        <v>47</v>
      </c>
      <c r="BJ6" s="262">
        <v>47</v>
      </c>
      <c r="BK6" s="262">
        <v>1214890</v>
      </c>
      <c r="BL6" s="262">
        <v>2241</v>
      </c>
      <c r="BM6" s="262">
        <v>542</v>
      </c>
      <c r="BN6" s="262">
        <v>63</v>
      </c>
      <c r="BO6" s="262">
        <v>11.62</v>
      </c>
      <c r="BP6" s="262">
        <v>-24</v>
      </c>
      <c r="BQ6" s="262">
        <v>172</v>
      </c>
      <c r="BR6" s="262">
        <v>31.73</v>
      </c>
      <c r="BS6" s="262">
        <v>1124900</v>
      </c>
      <c r="BT6" s="262">
        <v>2286</v>
      </c>
      <c r="BU6" s="262">
        <v>492</v>
      </c>
      <c r="BV6" s="262">
        <v>57</v>
      </c>
      <c r="BW6" s="262">
        <v>11.59</v>
      </c>
      <c r="BX6" s="262">
        <v>-24</v>
      </c>
      <c r="BY6" s="262">
        <v>162</v>
      </c>
      <c r="BZ6" s="262">
        <v>32.93</v>
      </c>
      <c r="CA6" s="262">
        <v>964890</v>
      </c>
      <c r="CB6" s="262">
        <v>1911</v>
      </c>
      <c r="CC6" s="262">
        <v>505</v>
      </c>
      <c r="CD6" s="262">
        <v>58</v>
      </c>
      <c r="CE6" s="262">
        <v>11.49</v>
      </c>
      <c r="CF6" s="262">
        <v>-35</v>
      </c>
      <c r="CG6" s="262">
        <v>167</v>
      </c>
      <c r="CH6" s="262">
        <v>33.07</v>
      </c>
      <c r="CI6" s="262" t="s">
        <v>514</v>
      </c>
      <c r="CJ6" s="262">
        <v>48580</v>
      </c>
      <c r="CK6" s="262">
        <v>486</v>
      </c>
      <c r="CL6" s="262">
        <v>100</v>
      </c>
      <c r="CM6" s="262">
        <v>4</v>
      </c>
      <c r="CN6" s="262">
        <v>4</v>
      </c>
      <c r="CO6" s="262">
        <v>-69</v>
      </c>
      <c r="CP6" s="262">
        <v>15</v>
      </c>
      <c r="CQ6" s="262">
        <v>15</v>
      </c>
      <c r="CR6" s="262">
        <v>48580</v>
      </c>
      <c r="CS6" s="262">
        <v>476</v>
      </c>
      <c r="CT6" s="262">
        <v>102</v>
      </c>
      <c r="CU6" s="262">
        <v>4</v>
      </c>
      <c r="CV6" s="262">
        <v>3.92</v>
      </c>
      <c r="CW6" s="262">
        <v>-70</v>
      </c>
      <c r="CX6" s="262">
        <v>15</v>
      </c>
      <c r="CY6" s="262">
        <v>14.71</v>
      </c>
      <c r="CZ6" s="262">
        <v>44030</v>
      </c>
      <c r="DA6" s="262">
        <v>449</v>
      </c>
      <c r="DB6" s="262">
        <v>98</v>
      </c>
      <c r="DC6" s="262">
        <v>3</v>
      </c>
      <c r="DD6" s="262">
        <v>3.06</v>
      </c>
      <c r="DE6" s="262">
        <v>-78</v>
      </c>
      <c r="DF6" s="262">
        <v>14</v>
      </c>
      <c r="DG6" s="262">
        <v>14.29</v>
      </c>
      <c r="DH6" s="262">
        <v>41030</v>
      </c>
      <c r="DI6" s="262">
        <v>410</v>
      </c>
      <c r="DJ6" s="262">
        <v>100</v>
      </c>
      <c r="DK6" s="262">
        <v>4</v>
      </c>
      <c r="DL6" s="262">
        <v>4</v>
      </c>
      <c r="DM6" s="262">
        <v>-74</v>
      </c>
      <c r="DN6" s="262">
        <v>16</v>
      </c>
      <c r="DO6" s="262">
        <v>16</v>
      </c>
      <c r="DP6" s="262">
        <v>2</v>
      </c>
      <c r="DQ6" s="262">
        <v>4.5</v>
      </c>
      <c r="DR6" s="262" t="s">
        <v>515</v>
      </c>
      <c r="DS6" s="262">
        <v>160</v>
      </c>
      <c r="DT6" s="264">
        <v>1600</v>
      </c>
      <c r="DU6" s="262" t="s">
        <v>495</v>
      </c>
      <c r="DV6" s="262" t="s">
        <v>516</v>
      </c>
      <c r="DW6" s="262" t="s">
        <v>517</v>
      </c>
      <c r="DX6" s="262" t="s">
        <v>518</v>
      </c>
      <c r="DY6" s="262">
        <v>5</v>
      </c>
      <c r="DZ6" s="265">
        <f t="shared" si="1"/>
        <v>3080.25</v>
      </c>
      <c r="EA6" s="265">
        <f>IF(RawData[[#This Row],[Cohesion ROI]]=" "," ",RANK(RawData[[#This Row],[Cohesion ROI]],$DZ$3:$DZ$32,0))</f>
        <v>6</v>
      </c>
      <c r="EB6" s="326"/>
      <c r="EC6" s="355">
        <f>IF(A6="","",VLOOKUP(RawData[[#This Row],[Num]],$A$3:$DP$30,8,FALSE))</f>
        <v>16.39</v>
      </c>
      <c r="ED6" s="354">
        <f t="shared" si="2"/>
        <v>0.16390000000000002</v>
      </c>
      <c r="EE6" s="326"/>
      <c r="EF6" s="354">
        <f>IFERROR(IF(EC6=0,1,(VLOOKUP(RawData[[#This Row],[Num]],$A$3:$DP$30,6,FALSE)))," ")</f>
        <v>61</v>
      </c>
      <c r="EG6" s="326"/>
      <c r="EH6" s="262">
        <f>IFERROR(VLOOKUP(RawData[[#This Row],[Num]],$A$3:$DP$30,120,FALSE)," ")</f>
        <v>2</v>
      </c>
      <c r="EI6" s="352">
        <f>IF(AND(RawData[[#This Row],[Num]]&lt;&gt;"",ED6&gt;$ED$34,EH6&gt;=$EH$38),1,EH6)</f>
        <v>2</v>
      </c>
      <c r="EJ6" s="262">
        <f>IFERROR(IF(EH6=EI6,VLOOKUP(RawData[[#This Row],[Num]],$A$3:$DP$30,7,FALSE),IF(EI6&lt;=2,VLOOKUP(RawData[[#This Row],[Num]],$A$3:$DP$30,7,FALSE)+EI6," "))," ")</f>
        <v>10</v>
      </c>
      <c r="EK6" s="354">
        <f t="shared" si="3"/>
        <v>0.16393442622950818</v>
      </c>
      <c r="EL6" s="354">
        <f t="shared" si="4"/>
        <v>62</v>
      </c>
      <c r="EM6" s="326"/>
      <c r="EN6" s="354">
        <f t="shared" si="5"/>
        <v>6.1000000000000005</v>
      </c>
      <c r="EO6" s="326"/>
      <c r="EP6" s="354">
        <f t="shared" si="6"/>
        <v>11</v>
      </c>
      <c r="EQ6" s="326"/>
      <c r="ER6" s="354">
        <f t="shared" si="7"/>
        <v>67.100000000000009</v>
      </c>
      <c r="ES6" s="326"/>
      <c r="ET6" s="354">
        <f t="shared" si="8"/>
        <v>5.1000000000000085</v>
      </c>
      <c r="EU6" s="352">
        <f t="shared" si="9"/>
        <v>1</v>
      </c>
      <c r="EV6" s="352" t="str">
        <f t="shared" si="10"/>
        <v>NOW</v>
      </c>
      <c r="EW6" s="354">
        <f t="shared" si="11"/>
        <v>5.1000000000000085</v>
      </c>
      <c r="EX6" s="354">
        <f t="shared" si="12"/>
        <v>3</v>
      </c>
    </row>
    <row r="7" spans="1:154" x14ac:dyDescent="0.3">
      <c r="A7" s="266">
        <v>6</v>
      </c>
      <c r="B7" s="262" t="s">
        <v>519</v>
      </c>
      <c r="C7" s="262">
        <v>6</v>
      </c>
      <c r="D7" s="262" t="s">
        <v>390</v>
      </c>
      <c r="E7" s="262">
        <v>65</v>
      </c>
      <c r="F7" s="262">
        <v>68</v>
      </c>
      <c r="G7" s="262">
        <v>12</v>
      </c>
      <c r="H7" s="262">
        <v>17.649999999999999</v>
      </c>
      <c r="I7" s="262">
        <v>14</v>
      </c>
      <c r="J7" s="262">
        <v>27</v>
      </c>
      <c r="K7" s="262">
        <v>39.71</v>
      </c>
      <c r="L7" s="262">
        <v>55</v>
      </c>
      <c r="M7" s="262">
        <v>11</v>
      </c>
      <c r="N7" s="262">
        <v>20</v>
      </c>
      <c r="O7" s="262">
        <v>34</v>
      </c>
      <c r="P7" s="262">
        <v>11</v>
      </c>
      <c r="Q7" s="262">
        <v>0</v>
      </c>
      <c r="R7" s="263">
        <v>0</v>
      </c>
      <c r="S7" s="262">
        <v>-100</v>
      </c>
      <c r="T7" s="262">
        <v>1841</v>
      </c>
      <c r="U7" s="262">
        <v>125200</v>
      </c>
      <c r="V7" s="262">
        <v>21</v>
      </c>
      <c r="W7" s="262">
        <v>17</v>
      </c>
      <c r="X7" s="262">
        <v>57</v>
      </c>
      <c r="Y7" s="262">
        <v>54</v>
      </c>
      <c r="Z7" s="262">
        <v>9</v>
      </c>
      <c r="AA7" s="262">
        <v>14000</v>
      </c>
      <c r="AB7" s="262">
        <v>4</v>
      </c>
      <c r="AC7" s="262">
        <v>2</v>
      </c>
      <c r="AD7" s="262">
        <v>50</v>
      </c>
      <c r="AE7" s="262">
        <v>158</v>
      </c>
      <c r="AF7" s="262">
        <v>2</v>
      </c>
      <c r="AG7" s="262">
        <v>50</v>
      </c>
      <c r="AH7" s="262">
        <v>6</v>
      </c>
      <c r="AI7" s="262">
        <v>1</v>
      </c>
      <c r="AJ7" s="262">
        <v>16.670000000000002</v>
      </c>
      <c r="AK7" s="262">
        <v>-37</v>
      </c>
      <c r="AL7" s="262">
        <v>3</v>
      </c>
      <c r="AM7" s="262">
        <v>50</v>
      </c>
      <c r="AN7" s="262">
        <v>2</v>
      </c>
      <c r="AO7" s="262">
        <v>1</v>
      </c>
      <c r="AP7" s="262">
        <v>50</v>
      </c>
      <c r="AQ7" s="262">
        <v>90</v>
      </c>
      <c r="AR7" s="262">
        <v>1</v>
      </c>
      <c r="AS7" s="262">
        <v>50</v>
      </c>
      <c r="AT7" s="262">
        <v>8</v>
      </c>
      <c r="AU7" s="262">
        <v>0</v>
      </c>
      <c r="AV7" s="262">
        <v>0</v>
      </c>
      <c r="AW7" s="262">
        <v>-100</v>
      </c>
      <c r="AX7" s="262">
        <v>3</v>
      </c>
      <c r="AY7" s="262">
        <v>37.5</v>
      </c>
      <c r="AZ7" s="262" t="s">
        <v>520</v>
      </c>
      <c r="BA7" s="262" t="s">
        <v>391</v>
      </c>
      <c r="BB7" s="262">
        <v>3</v>
      </c>
      <c r="BC7" s="262">
        <v>120930</v>
      </c>
      <c r="BD7" s="262">
        <v>1209</v>
      </c>
      <c r="BE7" s="262">
        <v>100</v>
      </c>
      <c r="BF7" s="262">
        <v>10</v>
      </c>
      <c r="BG7" s="262">
        <v>10</v>
      </c>
      <c r="BH7" s="262">
        <v>-56</v>
      </c>
      <c r="BI7" s="262">
        <v>29</v>
      </c>
      <c r="BJ7" s="262">
        <v>29</v>
      </c>
      <c r="BK7" s="262">
        <v>71525</v>
      </c>
      <c r="BL7" s="262">
        <v>1703</v>
      </c>
      <c r="BM7" s="262">
        <v>42</v>
      </c>
      <c r="BN7" s="262">
        <v>6</v>
      </c>
      <c r="BO7" s="262">
        <v>14.29</v>
      </c>
      <c r="BP7" s="262">
        <v>-20</v>
      </c>
      <c r="BQ7" s="262">
        <v>12</v>
      </c>
      <c r="BR7" s="262">
        <v>28.57</v>
      </c>
      <c r="BS7" s="262">
        <v>71525</v>
      </c>
      <c r="BT7" s="262">
        <v>1703</v>
      </c>
      <c r="BU7" s="262">
        <v>42</v>
      </c>
      <c r="BV7" s="262">
        <v>6</v>
      </c>
      <c r="BW7" s="262">
        <v>14.29</v>
      </c>
      <c r="BX7" s="262">
        <v>-20</v>
      </c>
      <c r="BY7" s="262">
        <v>12</v>
      </c>
      <c r="BZ7" s="262">
        <v>28.57</v>
      </c>
      <c r="CA7" s="262">
        <v>20755</v>
      </c>
      <c r="CB7" s="262">
        <v>741</v>
      </c>
      <c r="CC7" s="262">
        <v>28</v>
      </c>
      <c r="CD7" s="262">
        <v>1</v>
      </c>
      <c r="CE7" s="262">
        <v>3.57</v>
      </c>
      <c r="CF7" s="262">
        <v>-88</v>
      </c>
      <c r="CG7" s="262">
        <v>7</v>
      </c>
      <c r="CH7" s="262">
        <v>25</v>
      </c>
      <c r="CI7" s="262" t="s">
        <v>521</v>
      </c>
      <c r="CJ7" s="262">
        <v>41150</v>
      </c>
      <c r="CK7" s="262">
        <v>957</v>
      </c>
      <c r="CL7" s="262">
        <v>43</v>
      </c>
      <c r="CM7" s="262">
        <v>2</v>
      </c>
      <c r="CN7" s="262">
        <v>4.6500000000000004</v>
      </c>
      <c r="CO7" s="262">
        <v>-42</v>
      </c>
      <c r="CP7" s="262">
        <v>14</v>
      </c>
      <c r="CQ7" s="262">
        <v>32.56</v>
      </c>
      <c r="CR7" s="262">
        <v>28100</v>
      </c>
      <c r="CS7" s="262">
        <v>781</v>
      </c>
      <c r="CT7" s="262">
        <v>36</v>
      </c>
      <c r="CU7" s="262">
        <v>1</v>
      </c>
      <c r="CV7" s="262">
        <v>2.78</v>
      </c>
      <c r="CW7" s="262">
        <v>-53</v>
      </c>
      <c r="CX7" s="262">
        <v>10</v>
      </c>
      <c r="CY7" s="262">
        <v>27.78</v>
      </c>
      <c r="CZ7" s="262">
        <v>26700</v>
      </c>
      <c r="DA7" s="262">
        <v>763</v>
      </c>
      <c r="DB7" s="262">
        <v>35</v>
      </c>
      <c r="DC7" s="262">
        <v>1</v>
      </c>
      <c r="DD7" s="262">
        <v>2.86</v>
      </c>
      <c r="DE7" s="262">
        <v>-51</v>
      </c>
      <c r="DF7" s="262">
        <v>9</v>
      </c>
      <c r="DG7" s="262">
        <v>25.71</v>
      </c>
      <c r="DH7" s="262">
        <v>23550</v>
      </c>
      <c r="DI7" s="262">
        <v>2617</v>
      </c>
      <c r="DJ7" s="262">
        <v>9</v>
      </c>
      <c r="DK7" s="262">
        <v>2</v>
      </c>
      <c r="DL7" s="262">
        <v>22.22</v>
      </c>
      <c r="DM7" s="262">
        <v>178</v>
      </c>
      <c r="DN7" s="262">
        <v>6</v>
      </c>
      <c r="DO7" s="262">
        <v>66.67</v>
      </c>
      <c r="DP7" s="262">
        <v>3</v>
      </c>
      <c r="DQ7" s="262">
        <v>2.85</v>
      </c>
      <c r="DR7" s="262" t="s">
        <v>522</v>
      </c>
      <c r="DS7" s="262">
        <v>130</v>
      </c>
      <c r="DT7" s="264">
        <v>700</v>
      </c>
      <c r="DU7" s="262" t="s">
        <v>495</v>
      </c>
      <c r="DV7" s="262" t="s">
        <v>523</v>
      </c>
      <c r="DW7" s="262" t="s">
        <v>524</v>
      </c>
      <c r="DX7" s="262" t="s">
        <v>525</v>
      </c>
      <c r="DY7" s="262">
        <v>1</v>
      </c>
      <c r="DZ7" s="265">
        <f t="shared" si="1"/>
        <v>2050.5802777777776</v>
      </c>
      <c r="EA7" s="265">
        <f>IF(RawData[[#This Row],[Cohesion ROI]]=" "," ",RANK(RawData[[#This Row],[Cohesion ROI]],$DZ$3:$DZ$32,0))</f>
        <v>7</v>
      </c>
      <c r="EB7" s="326"/>
      <c r="EC7" s="354">
        <f>IF(A7="","",VLOOKUP(RawData[[#This Row],[Num]],$A$3:$DP$30,8,FALSE))</f>
        <v>17.649999999999999</v>
      </c>
      <c r="ED7" s="355">
        <f t="shared" si="2"/>
        <v>0.17649999999999999</v>
      </c>
      <c r="EE7" s="326"/>
      <c r="EF7" s="355">
        <f>IFERROR(IF(EC7=0,1,(VLOOKUP(RawData[[#This Row],[Num]],$A$3:$DP$30,6,FALSE)))," ")</f>
        <v>68</v>
      </c>
      <c r="EG7" s="326"/>
      <c r="EH7" s="316">
        <f>IFERROR(VLOOKUP(RawData[[#This Row],[Num]],$A$3:$DP$30,120,FALSE)," ")</f>
        <v>3</v>
      </c>
      <c r="EI7" s="351">
        <f>IF(AND(RawData[[#This Row],[Num]]&lt;&gt;"",ED7&gt;$ED$34,EH7&gt;=$EH$38),1,EH7)</f>
        <v>3</v>
      </c>
      <c r="EJ7" s="316">
        <f>IFERROR(IF(EH7=EI7,VLOOKUP(RawData[[#This Row],[Num]],$A$3:$DP$30,7,FALSE),IF(EI7&lt;=2,VLOOKUP(RawData[[#This Row],[Num]],$A$3:$DP$30,7,FALSE)+EI7," "))," ")</f>
        <v>12</v>
      </c>
      <c r="EK7" s="355">
        <f t="shared" si="3"/>
        <v>0.17647058823529413</v>
      </c>
      <c r="EL7" s="355">
        <f t="shared" si="4"/>
        <v>69</v>
      </c>
      <c r="EM7" s="326"/>
      <c r="EN7" s="355">
        <f t="shared" si="5"/>
        <v>5.6666666666666661</v>
      </c>
      <c r="EO7" s="326"/>
      <c r="EP7" s="355">
        <f t="shared" si="6"/>
        <v>13</v>
      </c>
      <c r="EQ7" s="326"/>
      <c r="ER7" s="355">
        <f t="shared" si="7"/>
        <v>73.666666666666657</v>
      </c>
      <c r="ES7" s="326"/>
      <c r="ET7" s="355">
        <f t="shared" si="8"/>
        <v>4.6666666666666572</v>
      </c>
      <c r="EU7" s="351">
        <f t="shared" si="9"/>
        <v>1</v>
      </c>
      <c r="EV7" s="351" t="str">
        <f t="shared" si="10"/>
        <v>NOW</v>
      </c>
      <c r="EW7" s="355">
        <f t="shared" si="11"/>
        <v>4.6666666666666572</v>
      </c>
      <c r="EX7" s="355">
        <f t="shared" si="12"/>
        <v>2</v>
      </c>
    </row>
    <row r="8" spans="1:154" x14ac:dyDescent="0.3">
      <c r="A8" s="266">
        <v>7</v>
      </c>
      <c r="B8" s="262" t="s">
        <v>526</v>
      </c>
      <c r="C8" s="262">
        <v>7</v>
      </c>
      <c r="D8" s="262" t="s">
        <v>387</v>
      </c>
      <c r="E8" s="262">
        <v>58</v>
      </c>
      <c r="F8" s="262">
        <v>73</v>
      </c>
      <c r="G8" s="262">
        <v>8</v>
      </c>
      <c r="H8" s="262">
        <v>10.96</v>
      </c>
      <c r="I8" s="262">
        <v>-32</v>
      </c>
      <c r="J8" s="262">
        <v>24</v>
      </c>
      <c r="K8" s="262">
        <v>32.880000000000003</v>
      </c>
      <c r="L8" s="262">
        <v>60</v>
      </c>
      <c r="M8" s="262">
        <v>7</v>
      </c>
      <c r="N8" s="262">
        <v>11.67</v>
      </c>
      <c r="O8" s="262">
        <v>-22</v>
      </c>
      <c r="P8" s="262">
        <v>12</v>
      </c>
      <c r="Q8" s="262">
        <v>1</v>
      </c>
      <c r="R8" s="263">
        <v>8.33</v>
      </c>
      <c r="S8" s="262">
        <v>-78</v>
      </c>
      <c r="T8" s="262">
        <v>1511</v>
      </c>
      <c r="U8" s="262">
        <v>110325</v>
      </c>
      <c r="V8" s="262">
        <v>23.5</v>
      </c>
      <c r="W8" s="262">
        <v>20</v>
      </c>
      <c r="X8" s="262">
        <v>55.5</v>
      </c>
      <c r="Y8" s="262">
        <v>55.5</v>
      </c>
      <c r="Z8" s="262">
        <v>4</v>
      </c>
      <c r="AA8" s="262">
        <v>14000</v>
      </c>
      <c r="AB8" s="262">
        <v>6</v>
      </c>
      <c r="AC8" s="262">
        <v>0</v>
      </c>
      <c r="AD8" s="262">
        <v>0</v>
      </c>
      <c r="AE8" s="262">
        <v>-100</v>
      </c>
      <c r="AF8" s="262">
        <v>3</v>
      </c>
      <c r="AG8" s="262">
        <v>50</v>
      </c>
      <c r="AH8" s="262">
        <v>5</v>
      </c>
      <c r="AI8" s="262">
        <v>0</v>
      </c>
      <c r="AJ8" s="262">
        <v>0</v>
      </c>
      <c r="AK8" s="262">
        <v>-100</v>
      </c>
      <c r="AL8" s="262">
        <v>2</v>
      </c>
      <c r="AM8" s="262">
        <v>40</v>
      </c>
      <c r="AN8" s="262">
        <v>2</v>
      </c>
      <c r="AO8" s="262">
        <v>0</v>
      </c>
      <c r="AP8" s="262">
        <v>0</v>
      </c>
      <c r="AQ8" s="262">
        <v>-100</v>
      </c>
      <c r="AR8" s="262">
        <v>1</v>
      </c>
      <c r="AS8" s="262">
        <v>50</v>
      </c>
      <c r="AT8" s="262">
        <v>10</v>
      </c>
      <c r="AU8" s="262">
        <v>1</v>
      </c>
      <c r="AV8" s="262">
        <v>10</v>
      </c>
      <c r="AW8" s="262">
        <v>-74</v>
      </c>
      <c r="AX8" s="262">
        <v>2</v>
      </c>
      <c r="AY8" s="262">
        <v>20</v>
      </c>
      <c r="AZ8" s="262" t="s">
        <v>527</v>
      </c>
      <c r="BA8" s="262" t="s">
        <v>388</v>
      </c>
      <c r="BB8" s="262"/>
      <c r="BC8" s="262">
        <v>125765</v>
      </c>
      <c r="BD8" s="262">
        <v>1258</v>
      </c>
      <c r="BE8" s="262">
        <v>100</v>
      </c>
      <c r="BF8" s="262">
        <v>11</v>
      </c>
      <c r="BG8" s="262">
        <v>11</v>
      </c>
      <c r="BH8" s="262">
        <v>-62</v>
      </c>
      <c r="BI8" s="262">
        <v>51</v>
      </c>
      <c r="BJ8" s="262">
        <v>51</v>
      </c>
      <c r="BK8" s="262">
        <v>153315</v>
      </c>
      <c r="BL8" s="262">
        <v>1357</v>
      </c>
      <c r="BM8" s="262">
        <v>113</v>
      </c>
      <c r="BN8" s="262">
        <v>15</v>
      </c>
      <c r="BO8" s="262">
        <v>13.27</v>
      </c>
      <c r="BP8" s="262">
        <v>-46</v>
      </c>
      <c r="BQ8" s="262">
        <v>59</v>
      </c>
      <c r="BR8" s="262">
        <v>52.21</v>
      </c>
      <c r="BS8" s="262">
        <v>114565</v>
      </c>
      <c r="BT8" s="262">
        <v>1193</v>
      </c>
      <c r="BU8" s="262">
        <v>96</v>
      </c>
      <c r="BV8" s="262">
        <v>9</v>
      </c>
      <c r="BW8" s="262">
        <v>9.3800000000000008</v>
      </c>
      <c r="BX8" s="262">
        <v>-68</v>
      </c>
      <c r="BY8" s="262">
        <v>50</v>
      </c>
      <c r="BZ8" s="262">
        <v>52.08</v>
      </c>
      <c r="CA8" s="262">
        <v>164810</v>
      </c>
      <c r="CB8" s="262">
        <v>1472</v>
      </c>
      <c r="CC8" s="262">
        <v>112</v>
      </c>
      <c r="CD8" s="262">
        <v>19</v>
      </c>
      <c r="CE8" s="262">
        <v>16.96</v>
      </c>
      <c r="CF8" s="262">
        <v>5</v>
      </c>
      <c r="CG8" s="262">
        <v>45</v>
      </c>
      <c r="CH8" s="262">
        <v>40.18</v>
      </c>
      <c r="CI8" s="262" t="s">
        <v>528</v>
      </c>
      <c r="CJ8" s="262">
        <v>62750</v>
      </c>
      <c r="CK8" s="262">
        <v>628</v>
      </c>
      <c r="CL8" s="262">
        <v>100</v>
      </c>
      <c r="CM8" s="262">
        <v>5</v>
      </c>
      <c r="CN8" s="262">
        <v>5</v>
      </c>
      <c r="CO8" s="262">
        <v>-56</v>
      </c>
      <c r="CP8" s="262">
        <v>21</v>
      </c>
      <c r="CQ8" s="262">
        <v>21</v>
      </c>
      <c r="CR8" s="262">
        <v>31525</v>
      </c>
      <c r="CS8" s="262">
        <v>671</v>
      </c>
      <c r="CT8" s="262">
        <v>47</v>
      </c>
      <c r="CU8" s="262">
        <v>4</v>
      </c>
      <c r="CV8" s="262">
        <v>8.51</v>
      </c>
      <c r="CW8" s="262">
        <v>-12</v>
      </c>
      <c r="CX8" s="262">
        <v>9</v>
      </c>
      <c r="CY8" s="262">
        <v>19.149999999999999</v>
      </c>
      <c r="CZ8" s="262">
        <v>30825</v>
      </c>
      <c r="DA8" s="262">
        <v>790</v>
      </c>
      <c r="DB8" s="262">
        <v>39</v>
      </c>
      <c r="DC8" s="262">
        <v>4</v>
      </c>
      <c r="DD8" s="262">
        <v>10.26</v>
      </c>
      <c r="DE8" s="262">
        <v>6</v>
      </c>
      <c r="DF8" s="262">
        <v>8</v>
      </c>
      <c r="DG8" s="262">
        <v>20.51</v>
      </c>
      <c r="DH8" s="262">
        <v>31925</v>
      </c>
      <c r="DI8" s="262">
        <v>507</v>
      </c>
      <c r="DJ8" s="262">
        <v>63</v>
      </c>
      <c r="DK8" s="262">
        <v>1</v>
      </c>
      <c r="DL8" s="262">
        <v>1.59</v>
      </c>
      <c r="DM8" s="262">
        <v>-96</v>
      </c>
      <c r="DN8" s="262">
        <v>13</v>
      </c>
      <c r="DO8" s="262">
        <v>20.63</v>
      </c>
      <c r="DP8" s="262">
        <v>8</v>
      </c>
      <c r="DQ8" s="262">
        <v>2.75</v>
      </c>
      <c r="DR8" s="262" t="s">
        <v>392</v>
      </c>
      <c r="DS8" s="262">
        <v>180</v>
      </c>
      <c r="DT8" s="264"/>
      <c r="DU8" s="262" t="s">
        <v>495</v>
      </c>
      <c r="DV8" s="262" t="s">
        <v>529</v>
      </c>
      <c r="DW8" s="262" t="s">
        <v>530</v>
      </c>
      <c r="DX8" s="262" t="s">
        <v>531</v>
      </c>
      <c r="DY8" s="262">
        <v>7</v>
      </c>
      <c r="DZ8" s="265">
        <f t="shared" si="1"/>
        <v>4042.8402777777783</v>
      </c>
      <c r="EA8" s="265">
        <f>IF(RawData[[#This Row],[Cohesion ROI]]=" "," ",RANK(RawData[[#This Row],[Cohesion ROI]],$DZ$3:$DZ$32,0))</f>
        <v>4</v>
      </c>
      <c r="EB8" s="326"/>
      <c r="EC8" s="355">
        <f>IF(A8="","",VLOOKUP(RawData[[#This Row],[Num]],$A$3:$DP$30,8,FALSE))</f>
        <v>10.96</v>
      </c>
      <c r="ED8" s="354">
        <f t="shared" si="2"/>
        <v>0.1096</v>
      </c>
      <c r="EE8" s="326"/>
      <c r="EF8" s="354">
        <f>IFERROR(IF(EC8=0,1,(VLOOKUP(RawData[[#This Row],[Num]],$A$3:$DP$30,6,FALSE)))," ")</f>
        <v>73</v>
      </c>
      <c r="EG8" s="326"/>
      <c r="EH8" s="262">
        <f>IFERROR(VLOOKUP(RawData[[#This Row],[Num]],$A$3:$DP$30,120,FALSE)," ")</f>
        <v>8</v>
      </c>
      <c r="EI8" s="352">
        <f>IF(AND(RawData[[#This Row],[Num]]&lt;&gt;"",ED8&gt;$ED$34,EH8&gt;=$EH$38),1,EH8)</f>
        <v>8</v>
      </c>
      <c r="EJ8" s="262">
        <f>IFERROR(IF(EH8=EI8,VLOOKUP(RawData[[#This Row],[Num]],$A$3:$DP$30,7,FALSE),IF(EI8&lt;=2,VLOOKUP(RawData[[#This Row],[Num]],$A$3:$DP$30,7,FALSE)+EI8," "))," ")</f>
        <v>8</v>
      </c>
      <c r="EK8" s="354">
        <f t="shared" si="3"/>
        <v>0.1095890410958904</v>
      </c>
      <c r="EL8" s="354">
        <f t="shared" si="4"/>
        <v>74</v>
      </c>
      <c r="EM8" s="326"/>
      <c r="EN8" s="354">
        <f t="shared" si="5"/>
        <v>9.125</v>
      </c>
      <c r="EO8" s="326"/>
      <c r="EP8" s="354">
        <f t="shared" si="6"/>
        <v>9</v>
      </c>
      <c r="EQ8" s="326"/>
      <c r="ER8" s="354">
        <f t="shared" si="7"/>
        <v>82.125</v>
      </c>
      <c r="ES8" s="326"/>
      <c r="ET8" s="354">
        <f t="shared" si="8"/>
        <v>8.125</v>
      </c>
      <c r="EU8" s="352" t="str">
        <f t="shared" si="9"/>
        <v xml:space="preserve"> </v>
      </c>
      <c r="EV8" s="352" t="str">
        <f t="shared" si="10"/>
        <v xml:space="preserve"> </v>
      </c>
      <c r="EW8" s="354">
        <f t="shared" si="11"/>
        <v>8.125</v>
      </c>
      <c r="EX8" s="354">
        <f t="shared" si="12"/>
        <v>7</v>
      </c>
    </row>
    <row r="9" spans="1:154" x14ac:dyDescent="0.3">
      <c r="A9" s="266">
        <v>8</v>
      </c>
      <c r="B9" s="262" t="s">
        <v>532</v>
      </c>
      <c r="C9" s="262">
        <v>6</v>
      </c>
      <c r="D9" s="262" t="s">
        <v>390</v>
      </c>
      <c r="E9" s="262">
        <v>60</v>
      </c>
      <c r="F9" s="262">
        <v>39</v>
      </c>
      <c r="G9" s="262">
        <v>6</v>
      </c>
      <c r="H9" s="262">
        <v>15.38</v>
      </c>
      <c r="I9" s="262">
        <v>-26</v>
      </c>
      <c r="J9" s="262">
        <v>18</v>
      </c>
      <c r="K9" s="262">
        <v>46.15</v>
      </c>
      <c r="L9" s="262">
        <v>29</v>
      </c>
      <c r="M9" s="262">
        <v>5</v>
      </c>
      <c r="N9" s="262">
        <v>17.239999999999998</v>
      </c>
      <c r="O9" s="262">
        <v>-14</v>
      </c>
      <c r="P9" s="262">
        <v>10</v>
      </c>
      <c r="Q9" s="262">
        <v>1</v>
      </c>
      <c r="R9" s="263">
        <v>10</v>
      </c>
      <c r="S9" s="262">
        <v>-60</v>
      </c>
      <c r="T9" s="262">
        <v>1592</v>
      </c>
      <c r="U9" s="262">
        <v>62100</v>
      </c>
      <c r="V9" s="262">
        <v>13</v>
      </c>
      <c r="W9" s="262">
        <v>12</v>
      </c>
      <c r="X9" s="262">
        <v>54.5</v>
      </c>
      <c r="Y9" s="262">
        <v>54.5</v>
      </c>
      <c r="Z9" s="262">
        <v>2</v>
      </c>
      <c r="AA9" s="262">
        <v>14000</v>
      </c>
      <c r="AB9" s="262">
        <v>1</v>
      </c>
      <c r="AC9" s="262">
        <v>0</v>
      </c>
      <c r="AD9" s="262">
        <v>0</v>
      </c>
      <c r="AE9" s="262">
        <v>-100</v>
      </c>
      <c r="AF9" s="262">
        <v>0</v>
      </c>
      <c r="AG9" s="262">
        <v>0</v>
      </c>
      <c r="AH9" s="262">
        <v>6</v>
      </c>
      <c r="AI9" s="262">
        <v>1</v>
      </c>
      <c r="AJ9" s="262">
        <v>16.670000000000002</v>
      </c>
      <c r="AK9" s="262">
        <v>0</v>
      </c>
      <c r="AL9" s="262">
        <v>1</v>
      </c>
      <c r="AM9" s="262">
        <v>16.670000000000002</v>
      </c>
      <c r="AN9" s="262">
        <v>1</v>
      </c>
      <c r="AO9" s="262">
        <v>0</v>
      </c>
      <c r="AP9" s="262">
        <v>0</v>
      </c>
      <c r="AQ9" s="262">
        <v>-100</v>
      </c>
      <c r="AR9" s="262">
        <v>0</v>
      </c>
      <c r="AS9" s="262">
        <v>0</v>
      </c>
      <c r="AT9" s="262">
        <v>7</v>
      </c>
      <c r="AU9" s="262">
        <v>0</v>
      </c>
      <c r="AV9" s="262">
        <v>0</v>
      </c>
      <c r="AW9" s="262">
        <v>-100</v>
      </c>
      <c r="AX9" s="262">
        <v>3</v>
      </c>
      <c r="AY9" s="262">
        <v>42.86</v>
      </c>
      <c r="AZ9" s="262" t="s">
        <v>533</v>
      </c>
      <c r="BA9" s="262" t="s">
        <v>388</v>
      </c>
      <c r="BB9" s="262"/>
      <c r="BC9" s="262">
        <v>132881</v>
      </c>
      <c r="BD9" s="262">
        <v>1329</v>
      </c>
      <c r="BE9" s="262">
        <v>100</v>
      </c>
      <c r="BF9" s="262">
        <v>13</v>
      </c>
      <c r="BG9" s="262">
        <v>13</v>
      </c>
      <c r="BH9" s="262">
        <v>-9</v>
      </c>
      <c r="BI9" s="262">
        <v>22</v>
      </c>
      <c r="BJ9" s="262">
        <v>22</v>
      </c>
      <c r="BK9" s="262">
        <v>518924</v>
      </c>
      <c r="BL9" s="262">
        <v>1247</v>
      </c>
      <c r="BM9" s="262">
        <v>416</v>
      </c>
      <c r="BN9" s="262">
        <v>42</v>
      </c>
      <c r="BO9" s="262">
        <v>10.1</v>
      </c>
      <c r="BP9" s="262">
        <v>-28</v>
      </c>
      <c r="BQ9" s="262">
        <v>119</v>
      </c>
      <c r="BR9" s="262">
        <v>28.61</v>
      </c>
      <c r="BS9" s="262">
        <v>424575</v>
      </c>
      <c r="BT9" s="262">
        <v>1264</v>
      </c>
      <c r="BU9" s="262">
        <v>336</v>
      </c>
      <c r="BV9" s="262">
        <v>33</v>
      </c>
      <c r="BW9" s="262">
        <v>9.82</v>
      </c>
      <c r="BX9" s="262">
        <v>-34</v>
      </c>
      <c r="BY9" s="262">
        <v>92</v>
      </c>
      <c r="BZ9" s="262">
        <v>27.38</v>
      </c>
      <c r="CA9" s="262">
        <v>873276</v>
      </c>
      <c r="CB9" s="262">
        <v>1296</v>
      </c>
      <c r="CC9" s="262">
        <v>674</v>
      </c>
      <c r="CD9" s="262">
        <v>71</v>
      </c>
      <c r="CE9" s="262">
        <v>10.53</v>
      </c>
      <c r="CF9" s="262">
        <v>-33</v>
      </c>
      <c r="CG9" s="262">
        <v>238</v>
      </c>
      <c r="CH9" s="262">
        <v>35.31</v>
      </c>
      <c r="CI9" s="262" t="s">
        <v>534</v>
      </c>
      <c r="CJ9" s="262">
        <v>92675</v>
      </c>
      <c r="CK9" s="262">
        <v>927</v>
      </c>
      <c r="CL9" s="262">
        <v>100</v>
      </c>
      <c r="CM9" s="262">
        <v>7</v>
      </c>
      <c r="CN9" s="262">
        <v>7</v>
      </c>
      <c r="CO9" s="262">
        <v>-51</v>
      </c>
      <c r="CP9" s="262">
        <v>37</v>
      </c>
      <c r="CQ9" s="262">
        <v>37</v>
      </c>
      <c r="CR9" s="262">
        <v>55400</v>
      </c>
      <c r="CS9" s="262">
        <v>1154</v>
      </c>
      <c r="CT9" s="262">
        <v>48</v>
      </c>
      <c r="CU9" s="262">
        <v>4</v>
      </c>
      <c r="CV9" s="262">
        <v>8.33</v>
      </c>
      <c r="CW9" s="262">
        <v>-34</v>
      </c>
      <c r="CX9" s="262">
        <v>21</v>
      </c>
      <c r="CY9" s="262">
        <v>43.75</v>
      </c>
      <c r="CZ9" s="262">
        <v>49450</v>
      </c>
      <c r="DA9" s="262">
        <v>1099</v>
      </c>
      <c r="DB9" s="262">
        <v>45</v>
      </c>
      <c r="DC9" s="262">
        <v>3</v>
      </c>
      <c r="DD9" s="262">
        <v>6.67</v>
      </c>
      <c r="DE9" s="262">
        <v>-54</v>
      </c>
      <c r="DF9" s="262">
        <v>19</v>
      </c>
      <c r="DG9" s="262">
        <v>42.22</v>
      </c>
      <c r="DH9" s="262">
        <v>26525</v>
      </c>
      <c r="DI9" s="262">
        <v>663</v>
      </c>
      <c r="DJ9" s="262">
        <v>40</v>
      </c>
      <c r="DK9" s="262">
        <v>3</v>
      </c>
      <c r="DL9" s="262">
        <v>7.5</v>
      </c>
      <c r="DM9" s="262">
        <v>-43</v>
      </c>
      <c r="DN9" s="262">
        <v>12</v>
      </c>
      <c r="DO9" s="262">
        <v>30</v>
      </c>
      <c r="DP9" s="262">
        <v>5</v>
      </c>
      <c r="DQ9" s="262">
        <v>3.2</v>
      </c>
      <c r="DR9" s="262" t="s">
        <v>392</v>
      </c>
      <c r="DS9" s="262">
        <v>180</v>
      </c>
      <c r="DT9" s="264"/>
      <c r="DU9" s="262" t="s">
        <v>495</v>
      </c>
      <c r="DV9" s="262" t="s">
        <v>535</v>
      </c>
      <c r="DW9" s="262" t="s">
        <v>536</v>
      </c>
      <c r="DX9" s="262" t="s">
        <v>537</v>
      </c>
      <c r="DY9" s="262">
        <v>3</v>
      </c>
      <c r="DZ9" s="265">
        <f t="shared" si="1"/>
        <v>3935.4711111111105</v>
      </c>
      <c r="EA9" s="265">
        <f>IF(RawData[[#This Row],[Cohesion ROI]]=" "," ",RANK(RawData[[#This Row],[Cohesion ROI]],$DZ$3:$DZ$32,0))</f>
        <v>5</v>
      </c>
      <c r="EB9" s="326"/>
      <c r="EC9" s="354">
        <f>IF(A9="","",VLOOKUP(RawData[[#This Row],[Num]],$A$3:$DP$30,8,FALSE))</f>
        <v>15.38</v>
      </c>
      <c r="ED9" s="355">
        <f t="shared" si="2"/>
        <v>0.15380000000000002</v>
      </c>
      <c r="EE9" s="326"/>
      <c r="EF9" s="355">
        <f>IFERROR(IF(EC9=0,1,(VLOOKUP(RawData[[#This Row],[Num]],$A$3:$DP$30,6,FALSE)))," ")</f>
        <v>39</v>
      </c>
      <c r="EG9" s="326"/>
      <c r="EH9" s="316">
        <f>IFERROR(VLOOKUP(RawData[[#This Row],[Num]],$A$3:$DP$30,120,FALSE)," ")</f>
        <v>5</v>
      </c>
      <c r="EI9" s="351">
        <f>IF(AND(RawData[[#This Row],[Num]]&lt;&gt;"",ED9&gt;$ED$34,EH9&gt;=$EH$38),1,EH9)</f>
        <v>5</v>
      </c>
      <c r="EJ9" s="316">
        <f>IFERROR(IF(EH9=EI9,VLOOKUP(RawData[[#This Row],[Num]],$A$3:$DP$30,7,FALSE),IF(EI9&lt;=2,VLOOKUP(RawData[[#This Row],[Num]],$A$3:$DP$30,7,FALSE)+EI9," "))," ")</f>
        <v>6</v>
      </c>
      <c r="EK9" s="355">
        <f t="shared" si="3"/>
        <v>0.15384615384615385</v>
      </c>
      <c r="EL9" s="355">
        <f t="shared" si="4"/>
        <v>40</v>
      </c>
      <c r="EM9" s="326"/>
      <c r="EN9" s="355">
        <f t="shared" si="5"/>
        <v>6.5</v>
      </c>
      <c r="EO9" s="326"/>
      <c r="EP9" s="355">
        <f t="shared" si="6"/>
        <v>7</v>
      </c>
      <c r="EQ9" s="326"/>
      <c r="ER9" s="355">
        <f t="shared" si="7"/>
        <v>45.5</v>
      </c>
      <c r="ES9" s="326"/>
      <c r="ET9" s="355">
        <f t="shared" si="8"/>
        <v>5.5</v>
      </c>
      <c r="EU9" s="351" t="str">
        <f t="shared" si="9"/>
        <v xml:space="preserve"> </v>
      </c>
      <c r="EV9" s="351" t="str">
        <f t="shared" si="10"/>
        <v xml:space="preserve"> </v>
      </c>
      <c r="EW9" s="355">
        <f t="shared" si="11"/>
        <v>5.5</v>
      </c>
      <c r="EX9" s="355">
        <f t="shared" si="12"/>
        <v>4</v>
      </c>
    </row>
    <row r="10" spans="1:154" x14ac:dyDescent="0.3">
      <c r="A10" s="266">
        <v>9</v>
      </c>
      <c r="B10" s="262" t="s">
        <v>538</v>
      </c>
      <c r="C10" s="262">
        <v>4</v>
      </c>
      <c r="D10" s="262" t="s">
        <v>387</v>
      </c>
      <c r="E10" s="262">
        <v>52</v>
      </c>
      <c r="F10" s="262">
        <v>11</v>
      </c>
      <c r="G10" s="262">
        <v>2</v>
      </c>
      <c r="H10" s="262">
        <v>18.18</v>
      </c>
      <c r="I10" s="262">
        <v>-40</v>
      </c>
      <c r="J10" s="262">
        <v>3</v>
      </c>
      <c r="K10" s="262">
        <v>27.27</v>
      </c>
      <c r="L10" s="262">
        <v>7</v>
      </c>
      <c r="M10" s="262">
        <v>2</v>
      </c>
      <c r="N10" s="262">
        <v>28.57</v>
      </c>
      <c r="O10" s="262">
        <v>-6</v>
      </c>
      <c r="P10" s="262">
        <v>4</v>
      </c>
      <c r="Q10" s="262">
        <v>0</v>
      </c>
      <c r="R10" s="263">
        <v>0</v>
      </c>
      <c r="S10" s="262">
        <v>-100</v>
      </c>
      <c r="T10" s="262">
        <v>1114</v>
      </c>
      <c r="U10" s="262">
        <v>12250</v>
      </c>
      <c r="V10" s="262">
        <v>8.5</v>
      </c>
      <c r="W10" s="262">
        <v>8</v>
      </c>
      <c r="X10" s="262">
        <v>54</v>
      </c>
      <c r="Y10" s="262">
        <v>54</v>
      </c>
      <c r="Z10" s="262">
        <v>3</v>
      </c>
      <c r="AA10" s="262">
        <v>14000</v>
      </c>
      <c r="AB10" s="262">
        <v>2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1</v>
      </c>
      <c r="AI10" s="262">
        <v>0</v>
      </c>
      <c r="AJ10" s="262">
        <v>0</v>
      </c>
      <c r="AK10" s="262">
        <v>-100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3</v>
      </c>
      <c r="AU10" s="262">
        <v>0</v>
      </c>
      <c r="AV10" s="262">
        <v>0</v>
      </c>
      <c r="AW10" s="262">
        <v>-100</v>
      </c>
      <c r="AX10" s="262">
        <v>1</v>
      </c>
      <c r="AY10" s="262">
        <v>33.33</v>
      </c>
      <c r="AZ10" s="262" t="s">
        <v>539</v>
      </c>
      <c r="BA10" s="262" t="s">
        <v>391</v>
      </c>
      <c r="BB10" s="262"/>
      <c r="BC10" s="262">
        <v>182150</v>
      </c>
      <c r="BD10" s="262">
        <v>1822</v>
      </c>
      <c r="BE10" s="262">
        <v>100</v>
      </c>
      <c r="BF10" s="262">
        <v>9</v>
      </c>
      <c r="BG10" s="262">
        <v>9</v>
      </c>
      <c r="BH10" s="262">
        <v>-35</v>
      </c>
      <c r="BI10" s="262">
        <v>24</v>
      </c>
      <c r="BJ10" s="262">
        <v>24</v>
      </c>
      <c r="BK10" s="262">
        <v>483260</v>
      </c>
      <c r="BL10" s="262">
        <v>1972</v>
      </c>
      <c r="BM10" s="262">
        <v>245</v>
      </c>
      <c r="BN10" s="262">
        <v>30</v>
      </c>
      <c r="BO10" s="262">
        <v>12.24</v>
      </c>
      <c r="BP10" s="262">
        <v>-21</v>
      </c>
      <c r="BQ10" s="262">
        <v>85</v>
      </c>
      <c r="BR10" s="262">
        <v>34.69</v>
      </c>
      <c r="BS10" s="262">
        <v>469060</v>
      </c>
      <c r="BT10" s="262">
        <v>2013</v>
      </c>
      <c r="BU10" s="262">
        <v>233</v>
      </c>
      <c r="BV10" s="262">
        <v>29</v>
      </c>
      <c r="BW10" s="262">
        <v>12.45</v>
      </c>
      <c r="BX10" s="262">
        <v>-19</v>
      </c>
      <c r="BY10" s="262">
        <v>81</v>
      </c>
      <c r="BZ10" s="262">
        <v>34.76</v>
      </c>
      <c r="CA10" s="262">
        <v>24800</v>
      </c>
      <c r="CB10" s="262">
        <v>1181</v>
      </c>
      <c r="CC10" s="262">
        <v>21</v>
      </c>
      <c r="CD10" s="262">
        <v>2</v>
      </c>
      <c r="CE10" s="262">
        <v>9.52</v>
      </c>
      <c r="CF10" s="262">
        <v>-65</v>
      </c>
      <c r="CG10" s="262">
        <v>6</v>
      </c>
      <c r="CH10" s="262">
        <v>28.57</v>
      </c>
      <c r="CI10" s="262" t="s">
        <v>540</v>
      </c>
      <c r="CJ10" s="262">
        <v>238550</v>
      </c>
      <c r="CK10" s="262">
        <v>2386</v>
      </c>
      <c r="CL10" s="262">
        <v>100</v>
      </c>
      <c r="CM10" s="262">
        <v>14</v>
      </c>
      <c r="CN10" s="262">
        <v>14</v>
      </c>
      <c r="CO10" s="262">
        <v>68</v>
      </c>
      <c r="CP10" s="262">
        <v>31</v>
      </c>
      <c r="CQ10" s="262">
        <v>31</v>
      </c>
      <c r="CR10" s="262">
        <v>45000</v>
      </c>
      <c r="CS10" s="262">
        <v>3000</v>
      </c>
      <c r="CT10" s="262">
        <v>15</v>
      </c>
      <c r="CU10" s="262">
        <v>1</v>
      </c>
      <c r="CV10" s="262">
        <v>6.67</v>
      </c>
      <c r="CW10" s="262">
        <v>240</v>
      </c>
      <c r="CX10" s="262">
        <v>3</v>
      </c>
      <c r="CY10" s="262">
        <v>20</v>
      </c>
      <c r="CZ10" s="262">
        <v>45000</v>
      </c>
      <c r="DA10" s="262">
        <v>4500</v>
      </c>
      <c r="DB10" s="262">
        <v>10</v>
      </c>
      <c r="DC10" s="262">
        <v>1</v>
      </c>
      <c r="DD10" s="262">
        <v>10</v>
      </c>
      <c r="DE10" s="262">
        <v>410</v>
      </c>
      <c r="DF10" s="262">
        <v>3</v>
      </c>
      <c r="DG10" s="262">
        <v>30</v>
      </c>
      <c r="DH10" s="262">
        <v>84950</v>
      </c>
      <c r="DI10" s="262">
        <v>2296</v>
      </c>
      <c r="DJ10" s="262">
        <v>37</v>
      </c>
      <c r="DK10" s="262">
        <v>8</v>
      </c>
      <c r="DL10" s="262">
        <v>21.62</v>
      </c>
      <c r="DM10" s="262">
        <v>88</v>
      </c>
      <c r="DN10" s="262">
        <v>13</v>
      </c>
      <c r="DO10" s="262">
        <v>35.14</v>
      </c>
      <c r="DP10" s="262">
        <v>9</v>
      </c>
      <c r="DQ10" s="262">
        <v>9</v>
      </c>
      <c r="DR10" s="262" t="s">
        <v>392</v>
      </c>
      <c r="DS10" s="262">
        <v>180</v>
      </c>
      <c r="DT10" s="264"/>
      <c r="DU10" s="262" t="s">
        <v>495</v>
      </c>
      <c r="DV10" s="262" t="s">
        <v>541</v>
      </c>
      <c r="DW10" s="262" t="s">
        <v>542</v>
      </c>
      <c r="DX10" s="262" t="s">
        <v>543</v>
      </c>
      <c r="DY10" s="262">
        <v>8</v>
      </c>
      <c r="DZ10" s="265">
        <f t="shared" si="1"/>
        <v>4356</v>
      </c>
      <c r="EA10" s="265">
        <f>IF(RawData[[#This Row],[Cohesion ROI]]=" "," ",RANK(RawData[[#This Row],[Cohesion ROI]],$DZ$3:$DZ$32,0))</f>
        <v>3</v>
      </c>
      <c r="EB10" s="326"/>
      <c r="EC10" s="355">
        <f>IF(A10="","",VLOOKUP(RawData[[#This Row],[Num]],$A$3:$DP$30,8,FALSE))</f>
        <v>18.18</v>
      </c>
      <c r="ED10" s="354">
        <f t="shared" si="2"/>
        <v>0.18179999999999999</v>
      </c>
      <c r="EE10" s="326"/>
      <c r="EF10" s="354">
        <f>IFERROR(IF(EC10=0,1,(VLOOKUP(RawData[[#This Row],[Num]],$A$3:$DP$30,6,FALSE)))," ")</f>
        <v>11</v>
      </c>
      <c r="EG10" s="326"/>
      <c r="EH10" s="262">
        <f>IFERROR(VLOOKUP(RawData[[#This Row],[Num]],$A$3:$DP$30,120,FALSE)," ")</f>
        <v>9</v>
      </c>
      <c r="EI10" s="352">
        <f>IF(AND(RawData[[#This Row],[Num]]&lt;&gt;"",ED10&gt;$ED$34,EH10&gt;=$EH$38),1,EH10)</f>
        <v>1</v>
      </c>
      <c r="EJ10" s="262">
        <f>IFERROR(IF(EH10=EI10,VLOOKUP(RawData[[#This Row],[Num]],$A$3:$DP$30,7,FALSE),IF(EI10&lt;=2,VLOOKUP(RawData[[#This Row],[Num]],$A$3:$DP$30,7,FALSE)+EI10," "))," ")</f>
        <v>3</v>
      </c>
      <c r="EK10" s="354">
        <f t="shared" si="3"/>
        <v>0.27272727272727271</v>
      </c>
      <c r="EL10" s="354">
        <f t="shared" si="4"/>
        <v>12</v>
      </c>
      <c r="EM10" s="326"/>
      <c r="EN10" s="354">
        <f t="shared" si="5"/>
        <v>3.666666666666667</v>
      </c>
      <c r="EO10" s="326"/>
      <c r="EP10" s="354">
        <f t="shared" si="6"/>
        <v>3</v>
      </c>
      <c r="EQ10" s="326"/>
      <c r="ER10" s="354">
        <f t="shared" si="7"/>
        <v>11</v>
      </c>
      <c r="ES10" s="326"/>
      <c r="ET10" s="354">
        <f t="shared" si="8"/>
        <v>-1</v>
      </c>
      <c r="EU10" s="352">
        <f t="shared" si="9"/>
        <v>1</v>
      </c>
      <c r="EV10" s="352" t="str">
        <f t="shared" si="10"/>
        <v>NOW</v>
      </c>
      <c r="EW10" s="354">
        <f t="shared" si="11"/>
        <v>1</v>
      </c>
      <c r="EX10" s="354">
        <f t="shared" si="12"/>
        <v>1</v>
      </c>
    </row>
    <row r="11" spans="1:154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1"/>
        <v xml:space="preserve"> </v>
      </c>
      <c r="EA11" s="265" t="str">
        <f>IF(RawData[[#This Row],[Cohesion ROI]]=" "," ",RANK(RawData[[#This Row],[Cohesion ROI]],$DZ$3:$DZ$32,0))</f>
        <v xml:space="preserve"> </v>
      </c>
      <c r="EB11" s="326"/>
      <c r="EC11" s="354" t="str">
        <f>IF(A11="","",VLOOKUP(RawData[[#This Row],[Num]],$A$3:$DP$30,8,FALSE))</f>
        <v/>
      </c>
      <c r="ED11" s="355" t="str">
        <f t="shared" si="2"/>
        <v xml:space="preserve"> </v>
      </c>
      <c r="EE11" s="326"/>
      <c r="EF11" s="355" t="str">
        <f>IFERROR(IF(EC11=0,1,(VLOOKUP(RawData[[#This Row],[Num]],$A$3:$DP$30,6,FALSE)))," ")</f>
        <v xml:space="preserve"> </v>
      </c>
      <c r="EG11" s="326"/>
      <c r="EH11" s="316" t="str">
        <f>IFERROR(VLOOKUP(RawData[[#This Row],[Num]],$A$3:$DP$30,120,FALSE)," ")</f>
        <v xml:space="preserve"> </v>
      </c>
      <c r="EI11" s="351" t="str">
        <f>IF(AND(RawData[[#This Row],[Num]]&lt;&gt;"",ED11&gt;$ED$34,EH11&gt;=$EH$38),1,EH11)</f>
        <v xml:space="preserve"> </v>
      </c>
      <c r="EJ11" s="316" t="str">
        <f>IFERROR(IF(EH11=EI11,VLOOKUP(RawData[[#This Row],[Num]],$A$3:$DP$30,7,FALSE),IF(EI11&lt;=2,VLOOKUP(RawData[[#This Row],[Num]],$A$3:$DP$30,7,FALSE)+EI11," "))," ")</f>
        <v xml:space="preserve"> </v>
      </c>
      <c r="EK11" s="355" t="str">
        <f t="shared" si="3"/>
        <v xml:space="preserve"> </v>
      </c>
      <c r="EL11" s="355" t="str">
        <f t="shared" si="4"/>
        <v xml:space="preserve"> </v>
      </c>
      <c r="EM11" s="326"/>
      <c r="EN11" s="355" t="str">
        <f t="shared" si="5"/>
        <v xml:space="preserve"> </v>
      </c>
      <c r="EO11" s="326"/>
      <c r="EP11" s="355" t="str">
        <f t="shared" si="6"/>
        <v xml:space="preserve"> </v>
      </c>
      <c r="EQ11" s="326"/>
      <c r="ER11" s="355" t="str">
        <f t="shared" si="7"/>
        <v xml:space="preserve"> </v>
      </c>
      <c r="ES11" s="326"/>
      <c r="ET11" s="355" t="str">
        <f t="shared" si="8"/>
        <v xml:space="preserve"> </v>
      </c>
      <c r="EU11" s="351" t="str">
        <f t="shared" si="9"/>
        <v xml:space="preserve"> </v>
      </c>
      <c r="EV11" s="351" t="str">
        <f t="shared" si="10"/>
        <v xml:space="preserve"> </v>
      </c>
      <c r="EW11" s="355" t="str">
        <f t="shared" si="11"/>
        <v xml:space="preserve"> </v>
      </c>
      <c r="EX11" s="355" t="str">
        <f t="shared" si="12"/>
        <v xml:space="preserve"> </v>
      </c>
    </row>
    <row r="12" spans="1:154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1"/>
        <v xml:space="preserve"> </v>
      </c>
      <c r="EA12" s="265" t="str">
        <f>IF(RawData[[#This Row],[Cohesion ROI]]=" "," ",RANK(RawData[[#This Row],[Cohesion ROI]],$DZ$3:$DZ$32,0))</f>
        <v xml:space="preserve"> </v>
      </c>
      <c r="EB12" s="326"/>
      <c r="EC12" s="355" t="str">
        <f>IF(A12="","",VLOOKUP(RawData[[#This Row],[Num]],$A$3:$DP$30,8,FALSE))</f>
        <v/>
      </c>
      <c r="ED12" s="354" t="str">
        <f t="shared" si="2"/>
        <v xml:space="preserve"> </v>
      </c>
      <c r="EE12" s="326"/>
      <c r="EF12" s="354" t="str">
        <f>IFERROR(IF(EC12=0,1,(VLOOKUP(RawData[[#This Row],[Num]],$A$3:$DP$30,6,FALSE)))," ")</f>
        <v xml:space="preserve"> </v>
      </c>
      <c r="EG12" s="326"/>
      <c r="EH12" s="262" t="str">
        <f>IFERROR(VLOOKUP(RawData[[#This Row],[Num]],$A$3:$DP$30,120,FALSE)," ")</f>
        <v xml:space="preserve"> </v>
      </c>
      <c r="EI12" s="352" t="str">
        <f>IF(AND(RawData[[#This Row],[Num]]&lt;&gt;"",ED12&gt;$ED$34,EH12&gt;=$EH$38),1,EH12)</f>
        <v xml:space="preserve"> </v>
      </c>
      <c r="EJ12" s="262" t="str">
        <f>IFERROR(IF(EH12=EI12,VLOOKUP(RawData[[#This Row],[Num]],$A$3:$DP$30,7,FALSE),IF(EI12&lt;=2,VLOOKUP(RawData[[#This Row],[Num]],$A$3:$DP$30,7,FALSE)+EI12," "))," ")</f>
        <v xml:space="preserve"> </v>
      </c>
      <c r="EK12" s="354" t="str">
        <f t="shared" si="3"/>
        <v xml:space="preserve"> </v>
      </c>
      <c r="EL12" s="354" t="str">
        <f t="shared" si="4"/>
        <v xml:space="preserve"> </v>
      </c>
      <c r="EM12" s="326"/>
      <c r="EN12" s="354" t="str">
        <f t="shared" si="5"/>
        <v xml:space="preserve"> </v>
      </c>
      <c r="EO12" s="326"/>
      <c r="EP12" s="354" t="str">
        <f t="shared" si="6"/>
        <v xml:space="preserve"> </v>
      </c>
      <c r="EQ12" s="326"/>
      <c r="ER12" s="354" t="str">
        <f t="shared" si="7"/>
        <v xml:space="preserve"> </v>
      </c>
      <c r="ES12" s="326"/>
      <c r="ET12" s="354" t="str">
        <f t="shared" si="8"/>
        <v xml:space="preserve"> </v>
      </c>
      <c r="EU12" s="352" t="str">
        <f t="shared" si="9"/>
        <v xml:space="preserve"> </v>
      </c>
      <c r="EV12" s="352" t="str">
        <f t="shared" si="10"/>
        <v xml:space="preserve"> </v>
      </c>
      <c r="EW12" s="354" t="str">
        <f t="shared" si="11"/>
        <v xml:space="preserve"> </v>
      </c>
      <c r="EX12" s="354" t="str">
        <f t="shared" si="12"/>
        <v xml:space="preserve"> </v>
      </c>
    </row>
    <row r="13" spans="1:154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1"/>
        <v xml:space="preserve"> </v>
      </c>
      <c r="EA13" s="265" t="str">
        <f>IF(RawData[[#This Row],[Cohesion ROI]]=" "," ",RANK(RawData[[#This Row],[Cohesion ROI]],$DZ$3:$DZ$32,0))</f>
        <v xml:space="preserve"> </v>
      </c>
      <c r="EB13" s="326"/>
      <c r="EC13" s="354" t="str">
        <f>IF(A13="","",VLOOKUP(RawData[[#This Row],[Num]],$A$3:$DP$30,8,FALSE))</f>
        <v/>
      </c>
      <c r="ED13" s="355" t="str">
        <f t="shared" si="2"/>
        <v xml:space="preserve"> </v>
      </c>
      <c r="EE13" s="326"/>
      <c r="EF13" s="355" t="str">
        <f>IFERROR(IF(EC13=0,1,(VLOOKUP(RawData[[#This Row],[Num]],$A$3:$DP$30,6,FALSE)))," ")</f>
        <v xml:space="preserve"> </v>
      </c>
      <c r="EG13" s="326"/>
      <c r="EH13" s="316" t="str">
        <f>IFERROR(VLOOKUP(RawData[[#This Row],[Num]],$A$3:$DP$30,120,FALSE)," ")</f>
        <v xml:space="preserve"> </v>
      </c>
      <c r="EI13" s="351" t="str">
        <f>IF(AND(RawData[[#This Row],[Num]]&lt;&gt;"",ED13&gt;$ED$34,EH13&gt;=$EH$38),1,EH13)</f>
        <v xml:space="preserve"> </v>
      </c>
      <c r="EJ13" s="316" t="str">
        <f>IFERROR(IF(EH13=EI13,VLOOKUP(RawData[[#This Row],[Num]],$A$3:$DP$30,7,FALSE),IF(EI13&lt;=2,VLOOKUP(RawData[[#This Row],[Num]],$A$3:$DP$30,7,FALSE)+EI13," "))," ")</f>
        <v xml:space="preserve"> </v>
      </c>
      <c r="EK13" s="355" t="str">
        <f t="shared" si="3"/>
        <v xml:space="preserve"> </v>
      </c>
      <c r="EL13" s="355" t="str">
        <f t="shared" si="4"/>
        <v xml:space="preserve"> </v>
      </c>
      <c r="EM13" s="326"/>
      <c r="EN13" s="355" t="str">
        <f t="shared" si="5"/>
        <v xml:space="preserve"> </v>
      </c>
      <c r="EO13" s="326"/>
      <c r="EP13" s="355" t="str">
        <f t="shared" si="6"/>
        <v xml:space="preserve"> </v>
      </c>
      <c r="EQ13" s="326"/>
      <c r="ER13" s="355" t="str">
        <f t="shared" si="7"/>
        <v xml:space="preserve"> </v>
      </c>
      <c r="ES13" s="326"/>
      <c r="ET13" s="355" t="str">
        <f t="shared" si="8"/>
        <v xml:space="preserve"> </v>
      </c>
      <c r="EU13" s="351" t="str">
        <f t="shared" si="9"/>
        <v xml:space="preserve"> </v>
      </c>
      <c r="EV13" s="351" t="str">
        <f t="shared" si="10"/>
        <v xml:space="preserve"> </v>
      </c>
      <c r="EW13" s="355" t="str">
        <f t="shared" si="11"/>
        <v xml:space="preserve"> </v>
      </c>
      <c r="EX13" s="355" t="str">
        <f t="shared" si="12"/>
        <v xml:space="preserve"> </v>
      </c>
    </row>
    <row r="14" spans="1:154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1"/>
        <v xml:space="preserve"> </v>
      </c>
      <c r="EA14" s="265" t="str">
        <f>IF(RawData[[#This Row],[Cohesion ROI]]=" "," ",RANK(RawData[[#This Row],[Cohesion ROI]],$DZ$3:$DZ$32,0))</f>
        <v xml:space="preserve"> </v>
      </c>
      <c r="EB14" s="326"/>
      <c r="EC14" s="355" t="str">
        <f>IF(A14="","",VLOOKUP(RawData[[#This Row],[Num]],$A$3:$DP$30,8,FALSE))</f>
        <v/>
      </c>
      <c r="ED14" s="354" t="str">
        <f t="shared" si="2"/>
        <v xml:space="preserve"> </v>
      </c>
      <c r="EE14" s="326"/>
      <c r="EF14" s="354" t="str">
        <f>IFERROR(IF(EC14=0,1,(VLOOKUP(RawData[[#This Row],[Num]],$A$3:$DP$30,6,FALSE)))," ")</f>
        <v xml:space="preserve"> </v>
      </c>
      <c r="EG14" s="326"/>
      <c r="EH14" s="262" t="str">
        <f>IFERROR(VLOOKUP(RawData[[#This Row],[Num]],$A$3:$DP$30,120,FALSE)," ")</f>
        <v xml:space="preserve"> </v>
      </c>
      <c r="EI14" s="352" t="str">
        <f>IF(AND(RawData[[#This Row],[Num]]&lt;&gt;"",ED14&gt;$ED$34,EH14&gt;=$EH$38),1,EH14)</f>
        <v xml:space="preserve"> </v>
      </c>
      <c r="EJ14" s="262" t="str">
        <f>IFERROR(IF(EH14=EI14,VLOOKUP(RawData[[#This Row],[Num]],$A$3:$DP$30,7,FALSE),IF(EI14&lt;=2,VLOOKUP(RawData[[#This Row],[Num]],$A$3:$DP$30,7,FALSE)+EI14," "))," ")</f>
        <v xml:space="preserve"> </v>
      </c>
      <c r="EK14" s="354" t="str">
        <f t="shared" si="3"/>
        <v xml:space="preserve"> </v>
      </c>
      <c r="EL14" s="354" t="str">
        <f t="shared" si="4"/>
        <v xml:space="preserve"> </v>
      </c>
      <c r="EM14" s="326"/>
      <c r="EN14" s="354" t="str">
        <f t="shared" si="5"/>
        <v xml:space="preserve"> </v>
      </c>
      <c r="EO14" s="326"/>
      <c r="EP14" s="354" t="str">
        <f t="shared" si="6"/>
        <v xml:space="preserve"> </v>
      </c>
      <c r="EQ14" s="326"/>
      <c r="ER14" s="354" t="str">
        <f t="shared" si="7"/>
        <v xml:space="preserve"> </v>
      </c>
      <c r="ES14" s="326"/>
      <c r="ET14" s="354" t="str">
        <f t="shared" si="8"/>
        <v xml:space="preserve"> </v>
      </c>
      <c r="EU14" s="352" t="str">
        <f t="shared" si="9"/>
        <v xml:space="preserve"> </v>
      </c>
      <c r="EV14" s="352" t="str">
        <f t="shared" si="10"/>
        <v xml:space="preserve"> </v>
      </c>
      <c r="EW14" s="354" t="str">
        <f t="shared" si="11"/>
        <v xml:space="preserve"> </v>
      </c>
      <c r="EX14" s="354" t="str">
        <f t="shared" si="12"/>
        <v xml:space="preserve"> </v>
      </c>
    </row>
    <row r="15" spans="1:154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1"/>
        <v xml:space="preserve"> </v>
      </c>
      <c r="EA15" s="265" t="str">
        <f>IF(RawData[[#This Row],[Cohesion ROI]]=" "," ",RANK(RawData[[#This Row],[Cohesion ROI]],$DZ$3:$DZ$32,0))</f>
        <v xml:space="preserve"> </v>
      </c>
      <c r="EB15" s="326"/>
      <c r="EC15" s="354" t="str">
        <f>IF(A15="","",VLOOKUP(RawData[[#This Row],[Num]],$A$3:$DP$30,8,FALSE))</f>
        <v/>
      </c>
      <c r="ED15" s="355" t="str">
        <f t="shared" si="2"/>
        <v xml:space="preserve"> </v>
      </c>
      <c r="EE15" s="326"/>
      <c r="EF15" s="355" t="str">
        <f>IFERROR(IF(EC15=0,1,(VLOOKUP(RawData[[#This Row],[Num]],$A$3:$DP$30,6,FALSE)))," ")</f>
        <v xml:space="preserve"> </v>
      </c>
      <c r="EG15" s="326"/>
      <c r="EH15" s="316" t="str">
        <f>IFERROR(VLOOKUP(RawData[[#This Row],[Num]],$A$3:$DP$30,120,FALSE)," ")</f>
        <v xml:space="preserve"> </v>
      </c>
      <c r="EI15" s="351" t="str">
        <f>IF(AND(RawData[[#This Row],[Num]]&lt;&gt;"",ED15&gt;$ED$34,EH15&gt;=$EH$38),1,EH15)</f>
        <v xml:space="preserve"> </v>
      </c>
      <c r="EJ15" s="316" t="str">
        <f>IFERROR(IF(EH15=EI15,VLOOKUP(RawData[[#This Row],[Num]],$A$3:$DP$30,7,FALSE),IF(EI15&lt;=2,VLOOKUP(RawData[[#This Row],[Num]],$A$3:$DP$30,7,FALSE)+EI15," "))," ")</f>
        <v xml:space="preserve"> </v>
      </c>
      <c r="EK15" s="355" t="str">
        <f t="shared" si="3"/>
        <v xml:space="preserve"> </v>
      </c>
      <c r="EL15" s="355" t="str">
        <f t="shared" si="4"/>
        <v xml:space="preserve"> </v>
      </c>
      <c r="EM15" s="326"/>
      <c r="EN15" s="355" t="str">
        <f t="shared" si="5"/>
        <v xml:space="preserve"> </v>
      </c>
      <c r="EO15" s="326"/>
      <c r="EP15" s="355" t="str">
        <f t="shared" si="6"/>
        <v xml:space="preserve"> </v>
      </c>
      <c r="EQ15" s="326"/>
      <c r="ER15" s="355" t="str">
        <f t="shared" si="7"/>
        <v xml:space="preserve"> </v>
      </c>
      <c r="ES15" s="326"/>
      <c r="ET15" s="355" t="str">
        <f t="shared" si="8"/>
        <v xml:space="preserve"> </v>
      </c>
      <c r="EU15" s="351" t="str">
        <f t="shared" si="9"/>
        <v xml:space="preserve"> </v>
      </c>
      <c r="EV15" s="351" t="str">
        <f t="shared" si="10"/>
        <v xml:space="preserve"> </v>
      </c>
      <c r="EW15" s="355" t="str">
        <f t="shared" si="11"/>
        <v xml:space="preserve"> </v>
      </c>
      <c r="EX15" s="355" t="str">
        <f t="shared" si="12"/>
        <v xml:space="preserve"> </v>
      </c>
    </row>
    <row r="16" spans="1:154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1"/>
        <v xml:space="preserve"> </v>
      </c>
      <c r="EA16" s="265" t="str">
        <f>IF(RawData[[#This Row],[Cohesion ROI]]=" "," ",RANK(RawData[[#This Row],[Cohesion ROI]],$DZ$3:$DZ$32,0))</f>
        <v xml:space="preserve"> </v>
      </c>
      <c r="EB16" s="326"/>
      <c r="EC16" s="355" t="str">
        <f>IF(A16="","",VLOOKUP(RawData[[#This Row],[Num]],$A$3:$DP$30,8,FALSE))</f>
        <v/>
      </c>
      <c r="ED16" s="354" t="str">
        <f t="shared" si="2"/>
        <v xml:space="preserve"> </v>
      </c>
      <c r="EE16" s="326"/>
      <c r="EF16" s="354" t="str">
        <f>IFERROR(IF(EC16=0,1,(VLOOKUP(RawData[[#This Row],[Num]],$A$3:$DP$30,6,FALSE)))," ")</f>
        <v xml:space="preserve"> </v>
      </c>
      <c r="EG16" s="326"/>
      <c r="EH16" s="262" t="str">
        <f>IFERROR(VLOOKUP(RawData[[#This Row],[Num]],$A$3:$DP$30,120,FALSE)," ")</f>
        <v xml:space="preserve"> </v>
      </c>
      <c r="EI16" s="352" t="str">
        <f>IF(AND(RawData[[#This Row],[Num]]&lt;&gt;"",ED16&gt;$ED$34,EH16&gt;=$EH$38),1,EH16)</f>
        <v xml:space="preserve"> </v>
      </c>
      <c r="EJ16" s="262" t="str">
        <f>IFERROR(IF(EH16=EI16,VLOOKUP(RawData[[#This Row],[Num]],$A$3:$DP$30,7,FALSE),IF(EI16&lt;=2,VLOOKUP(RawData[[#This Row],[Num]],$A$3:$DP$30,7,FALSE)+EI16," "))," ")</f>
        <v xml:space="preserve"> </v>
      </c>
      <c r="EK16" s="354" t="str">
        <f t="shared" si="3"/>
        <v xml:space="preserve"> </v>
      </c>
      <c r="EL16" s="354" t="str">
        <f t="shared" si="4"/>
        <v xml:space="preserve"> </v>
      </c>
      <c r="EM16" s="326"/>
      <c r="EN16" s="354" t="str">
        <f t="shared" si="5"/>
        <v xml:space="preserve"> </v>
      </c>
      <c r="EO16" s="326"/>
      <c r="EP16" s="354" t="str">
        <f t="shared" si="6"/>
        <v xml:space="preserve"> </v>
      </c>
      <c r="EQ16" s="326"/>
      <c r="ER16" s="354" t="str">
        <f t="shared" si="7"/>
        <v xml:space="preserve"> </v>
      </c>
      <c r="ES16" s="326"/>
      <c r="ET16" s="354" t="str">
        <f t="shared" si="8"/>
        <v xml:space="preserve"> </v>
      </c>
      <c r="EU16" s="352" t="str">
        <f t="shared" si="9"/>
        <v xml:space="preserve"> </v>
      </c>
      <c r="EV16" s="352" t="str">
        <f t="shared" si="10"/>
        <v xml:space="preserve"> </v>
      </c>
      <c r="EW16" s="354" t="str">
        <f t="shared" si="11"/>
        <v xml:space="preserve"> </v>
      </c>
      <c r="EX16" s="354" t="str">
        <f t="shared" si="12"/>
        <v xml:space="preserve"> </v>
      </c>
    </row>
    <row r="17" spans="1:154" x14ac:dyDescent="0.3">
      <c r="A17" s="266"/>
      <c r="B17" s="262"/>
      <c r="C17" s="262"/>
      <c r="D17" s="262">
        <v>0</v>
      </c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1"/>
        <v xml:space="preserve"> </v>
      </c>
      <c r="EA17" s="265" t="str">
        <f>IF(RawData[[#This Row],[Cohesion ROI]]=" "," ",RANK(RawData[[#This Row],[Cohesion ROI]],$DZ$3:$DZ$32,0))</f>
        <v xml:space="preserve"> </v>
      </c>
      <c r="EB17" s="326"/>
      <c r="EC17" s="354" t="str">
        <f>IF(A17="","",VLOOKUP(RawData[[#This Row],[Num]],$A$3:$DP$30,8,FALSE))</f>
        <v/>
      </c>
      <c r="ED17" s="355" t="str">
        <f t="shared" si="2"/>
        <v xml:space="preserve"> </v>
      </c>
      <c r="EE17" s="326"/>
      <c r="EF17" s="355" t="str">
        <f>IFERROR(IF(EC17=0,1,(VLOOKUP(RawData[[#This Row],[Num]],$A$3:$DP$30,6,FALSE)))," ")</f>
        <v xml:space="preserve"> </v>
      </c>
      <c r="EG17" s="326"/>
      <c r="EH17" s="316" t="str">
        <f>IFERROR(VLOOKUP(RawData[[#This Row],[Num]],$A$3:$DP$30,120,FALSE)," ")</f>
        <v xml:space="preserve"> </v>
      </c>
      <c r="EI17" s="351" t="str">
        <f>IF(AND(RawData[[#This Row],[Num]]&lt;&gt;"",ED17&gt;$ED$34,EH17&gt;=$EH$38),1,EH17)</f>
        <v xml:space="preserve"> </v>
      </c>
      <c r="EJ17" s="316" t="str">
        <f>IFERROR(IF(EH17=EI17,VLOOKUP(RawData[[#This Row],[Num]],$A$3:$DP$30,7,FALSE),IF(EI17&lt;=2,VLOOKUP(RawData[[#This Row],[Num]],$A$3:$DP$30,7,FALSE)+EI17," "))," ")</f>
        <v xml:space="preserve"> </v>
      </c>
      <c r="EK17" s="355" t="str">
        <f t="shared" si="3"/>
        <v xml:space="preserve"> </v>
      </c>
      <c r="EL17" s="355" t="str">
        <f t="shared" si="4"/>
        <v xml:space="preserve"> </v>
      </c>
      <c r="EM17" s="326"/>
      <c r="EN17" s="355" t="str">
        <f t="shared" si="5"/>
        <v xml:space="preserve"> </v>
      </c>
      <c r="EO17" s="326"/>
      <c r="EP17" s="355" t="str">
        <f t="shared" si="6"/>
        <v xml:space="preserve"> </v>
      </c>
      <c r="EQ17" s="326"/>
      <c r="ER17" s="355" t="str">
        <f t="shared" si="7"/>
        <v xml:space="preserve"> </v>
      </c>
      <c r="ES17" s="326"/>
      <c r="ET17" s="355" t="str">
        <f t="shared" si="8"/>
        <v xml:space="preserve"> </v>
      </c>
      <c r="EU17" s="351" t="str">
        <f t="shared" si="9"/>
        <v xml:space="preserve"> </v>
      </c>
      <c r="EV17" s="351" t="str">
        <f t="shared" si="10"/>
        <v xml:space="preserve"> </v>
      </c>
      <c r="EW17" s="355" t="str">
        <f t="shared" si="11"/>
        <v xml:space="preserve"> </v>
      </c>
      <c r="EX17" s="355" t="str">
        <f t="shared" si="12"/>
        <v xml:space="preserve"> </v>
      </c>
    </row>
    <row r="18" spans="1:154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1"/>
        <v xml:space="preserve"> </v>
      </c>
      <c r="EA18" s="265" t="str">
        <f>IF(RawData[[#This Row],[Cohesion ROI]]=" "," ",RANK(RawData[[#This Row],[Cohesion ROI]],$DZ$3:$DZ$32,0))</f>
        <v xml:space="preserve"> </v>
      </c>
      <c r="EB18" s="326"/>
      <c r="EC18" s="355" t="str">
        <f>IF(A18="","",VLOOKUP(RawData[[#This Row],[Num]],$A$3:$DP$30,8,FALSE))</f>
        <v/>
      </c>
      <c r="ED18" s="354" t="str">
        <f t="shared" si="2"/>
        <v xml:space="preserve"> </v>
      </c>
      <c r="EE18" s="326"/>
      <c r="EF18" s="354" t="str">
        <f>IFERROR(IF(EC18=0,1,(VLOOKUP(RawData[[#This Row],[Num]],$A$3:$DP$30,6,FALSE)))," ")</f>
        <v xml:space="preserve"> </v>
      </c>
      <c r="EG18" s="326"/>
      <c r="EH18" s="262" t="str">
        <f>IFERROR(VLOOKUP(RawData[[#This Row],[Num]],$A$3:$DP$30,120,FALSE)," ")</f>
        <v xml:space="preserve"> </v>
      </c>
      <c r="EI18" s="352" t="str">
        <f>IF(AND(RawData[[#This Row],[Num]]&lt;&gt;"",ED18&gt;$ED$34,EH18&gt;=$EH$38),1,EH18)</f>
        <v xml:space="preserve"> </v>
      </c>
      <c r="EJ18" s="262" t="str">
        <f>IFERROR(IF(EH18=EI18,VLOOKUP(RawData[[#This Row],[Num]],$A$3:$DP$30,7,FALSE),IF(EI18&lt;=2,VLOOKUP(RawData[[#This Row],[Num]],$A$3:$DP$30,7,FALSE)+EI18," "))," ")</f>
        <v xml:space="preserve"> </v>
      </c>
      <c r="EK18" s="354" t="str">
        <f t="shared" si="3"/>
        <v xml:space="preserve"> </v>
      </c>
      <c r="EL18" s="354" t="str">
        <f t="shared" si="4"/>
        <v xml:space="preserve"> </v>
      </c>
      <c r="EM18" s="326"/>
      <c r="EN18" s="354" t="str">
        <f t="shared" si="5"/>
        <v xml:space="preserve"> </v>
      </c>
      <c r="EO18" s="326"/>
      <c r="EP18" s="354" t="str">
        <f t="shared" si="6"/>
        <v xml:space="preserve"> </v>
      </c>
      <c r="EQ18" s="326"/>
      <c r="ER18" s="354" t="str">
        <f t="shared" si="7"/>
        <v xml:space="preserve"> </v>
      </c>
      <c r="ES18" s="326"/>
      <c r="ET18" s="354" t="str">
        <f t="shared" si="8"/>
        <v xml:space="preserve"> </v>
      </c>
      <c r="EU18" s="352" t="str">
        <f t="shared" si="9"/>
        <v xml:space="preserve"> </v>
      </c>
      <c r="EV18" s="352" t="str">
        <f t="shared" si="10"/>
        <v xml:space="preserve"> </v>
      </c>
      <c r="EW18" s="354" t="str">
        <f t="shared" si="11"/>
        <v xml:space="preserve"> </v>
      </c>
      <c r="EX18" s="354" t="str">
        <f t="shared" si="12"/>
        <v xml:space="preserve"> </v>
      </c>
    </row>
    <row r="19" spans="1:154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1"/>
        <v xml:space="preserve"> </v>
      </c>
      <c r="EA19" s="265" t="str">
        <f>IF(RawData[[#This Row],[Cohesion ROI]]=" "," ",RANK(RawData[[#This Row],[Cohesion ROI]],$DZ$3:$DZ$32,0))</f>
        <v xml:space="preserve"> </v>
      </c>
      <c r="EB19" s="326"/>
      <c r="EC19" s="354" t="str">
        <f>IF(A19="","",VLOOKUP(RawData[[#This Row],[Num]],$A$3:$DP$30,8,FALSE))</f>
        <v/>
      </c>
      <c r="ED19" s="355" t="str">
        <f t="shared" si="2"/>
        <v xml:space="preserve"> </v>
      </c>
      <c r="EE19" s="326"/>
      <c r="EF19" s="355" t="str">
        <f>IFERROR(IF(EC19=0,1,(VLOOKUP(RawData[[#This Row],[Num]],$A$3:$DP$30,6,FALSE)))," ")</f>
        <v xml:space="preserve"> </v>
      </c>
      <c r="EG19" s="326"/>
      <c r="EH19" s="316" t="str">
        <f>IFERROR(VLOOKUP(RawData[[#This Row],[Num]],$A$3:$DP$30,120,FALSE)," ")</f>
        <v xml:space="preserve"> </v>
      </c>
      <c r="EI19" s="351" t="str">
        <f>IF(AND(RawData[[#This Row],[Num]]&lt;&gt;"",ED19&gt;$ED$34,EH19&gt;=$EH$38),1,EH19)</f>
        <v xml:space="preserve"> </v>
      </c>
      <c r="EJ19" s="316" t="str">
        <f>IFERROR(IF(EH19=EI19,VLOOKUP(RawData[[#This Row],[Num]],$A$3:$DP$30,7,FALSE),IF(EI19&lt;=2,VLOOKUP(RawData[[#This Row],[Num]],$A$3:$DP$30,7,FALSE)+EI19," "))," ")</f>
        <v xml:space="preserve"> </v>
      </c>
      <c r="EK19" s="355" t="str">
        <f t="shared" si="3"/>
        <v xml:space="preserve"> </v>
      </c>
      <c r="EL19" s="355" t="str">
        <f t="shared" si="4"/>
        <v xml:space="preserve"> </v>
      </c>
      <c r="EM19" s="326"/>
      <c r="EN19" s="355" t="str">
        <f t="shared" si="5"/>
        <v xml:space="preserve"> </v>
      </c>
      <c r="EO19" s="326"/>
      <c r="EP19" s="355" t="str">
        <f t="shared" si="6"/>
        <v xml:space="preserve"> </v>
      </c>
      <c r="EQ19" s="326"/>
      <c r="ER19" s="355" t="str">
        <f t="shared" si="7"/>
        <v xml:space="preserve"> </v>
      </c>
      <c r="ES19" s="326"/>
      <c r="ET19" s="355" t="str">
        <f t="shared" si="8"/>
        <v xml:space="preserve"> </v>
      </c>
      <c r="EU19" s="351" t="str">
        <f t="shared" si="9"/>
        <v xml:space="preserve"> </v>
      </c>
      <c r="EV19" s="351" t="str">
        <f t="shared" si="10"/>
        <v xml:space="preserve"> </v>
      </c>
      <c r="EW19" s="355" t="str">
        <f t="shared" si="11"/>
        <v xml:space="preserve"> </v>
      </c>
      <c r="EX19" s="355" t="str">
        <f t="shared" si="12"/>
        <v xml:space="preserve"> </v>
      </c>
    </row>
    <row r="20" spans="1:154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1"/>
        <v xml:space="preserve"> </v>
      </c>
      <c r="EA20" s="265" t="str">
        <f>IF(RawData[[#This Row],[Cohesion ROI]]=" "," ",RANK(RawData[[#This Row],[Cohesion ROI]],$DZ$3:$DZ$32,0))</f>
        <v xml:space="preserve"> </v>
      </c>
      <c r="EB20" s="326"/>
      <c r="EC20" s="355" t="str">
        <f>IF(A20="","",VLOOKUP(RawData[[#This Row],[Num]],$A$3:$DP$30,8,FALSE))</f>
        <v/>
      </c>
      <c r="ED20" s="354" t="str">
        <f t="shared" si="2"/>
        <v xml:space="preserve"> </v>
      </c>
      <c r="EE20" s="326"/>
      <c r="EF20" s="354" t="str">
        <f>IFERROR(IF(EC20=0,1,(VLOOKUP(RawData[[#This Row],[Num]],$A$3:$DP$30,6,FALSE)))," ")</f>
        <v xml:space="preserve"> </v>
      </c>
      <c r="EG20" s="326"/>
      <c r="EH20" s="262" t="str">
        <f>IFERROR(VLOOKUP(RawData[[#This Row],[Num]],$A$3:$DP$30,120,FALSE)," ")</f>
        <v xml:space="preserve"> </v>
      </c>
      <c r="EI20" s="352" t="str">
        <f>IF(AND(RawData[[#This Row],[Num]]&lt;&gt;"",ED20&gt;$ED$34,EH20&gt;=$EH$38),1,EH20)</f>
        <v xml:space="preserve"> </v>
      </c>
      <c r="EJ20" s="262" t="str">
        <f>IFERROR(IF(EH20=EI20,VLOOKUP(RawData[[#This Row],[Num]],$A$3:$DP$30,7,FALSE),IF(EI20&lt;=2,VLOOKUP(RawData[[#This Row],[Num]],$A$3:$DP$30,7,FALSE)+EI20," "))," ")</f>
        <v xml:space="preserve"> </v>
      </c>
      <c r="EK20" s="354" t="str">
        <f t="shared" si="3"/>
        <v xml:space="preserve"> </v>
      </c>
      <c r="EL20" s="354" t="str">
        <f t="shared" si="4"/>
        <v xml:space="preserve"> </v>
      </c>
      <c r="EM20" s="326"/>
      <c r="EN20" s="354" t="str">
        <f t="shared" si="5"/>
        <v xml:space="preserve"> </v>
      </c>
      <c r="EO20" s="326"/>
      <c r="EP20" s="354" t="str">
        <f t="shared" si="6"/>
        <v xml:space="preserve"> </v>
      </c>
      <c r="EQ20" s="326"/>
      <c r="ER20" s="354" t="str">
        <f t="shared" si="7"/>
        <v xml:space="preserve"> </v>
      </c>
      <c r="ES20" s="326"/>
      <c r="ET20" s="354" t="str">
        <f t="shared" si="8"/>
        <v xml:space="preserve"> </v>
      </c>
      <c r="EU20" s="352" t="str">
        <f t="shared" si="9"/>
        <v xml:space="preserve"> </v>
      </c>
      <c r="EV20" s="352" t="str">
        <f t="shared" si="10"/>
        <v xml:space="preserve"> </v>
      </c>
      <c r="EW20" s="354" t="str">
        <f t="shared" si="11"/>
        <v xml:space="preserve"> </v>
      </c>
      <c r="EX20" s="354" t="str">
        <f t="shared" si="12"/>
        <v xml:space="preserve"> </v>
      </c>
    </row>
    <row r="21" spans="1:154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1"/>
        <v xml:space="preserve"> </v>
      </c>
      <c r="EA21" s="265" t="str">
        <f>IF(RawData[[#This Row],[Cohesion ROI]]=" "," ",RANK(RawData[[#This Row],[Cohesion ROI]],$DZ$3:$DZ$32,0))</f>
        <v xml:space="preserve"> </v>
      </c>
      <c r="EB21" s="326"/>
      <c r="EC21" s="354" t="str">
        <f>IF(A21="","",VLOOKUP(RawData[[#This Row],[Num]],$A$3:$DP$30,8,FALSE))</f>
        <v/>
      </c>
      <c r="ED21" s="355" t="str">
        <f t="shared" si="2"/>
        <v xml:space="preserve"> </v>
      </c>
      <c r="EE21" s="326"/>
      <c r="EF21" s="355" t="str">
        <f>IFERROR(IF(EC21=0,1,(VLOOKUP(RawData[[#This Row],[Num]],$A$3:$DP$30,6,FALSE)))," ")</f>
        <v xml:space="preserve"> </v>
      </c>
      <c r="EG21" s="326"/>
      <c r="EH21" s="316" t="str">
        <f>IFERROR(VLOOKUP(RawData[[#This Row],[Num]],$A$3:$DP$30,120,FALSE)," ")</f>
        <v xml:space="preserve"> </v>
      </c>
      <c r="EI21" s="351" t="str">
        <f>IF(AND(RawData[[#This Row],[Num]]&lt;&gt;"",ED21&gt;$ED$34,EH21&gt;=$EH$38),1,EH21)</f>
        <v xml:space="preserve"> </v>
      </c>
      <c r="EJ21" s="316" t="str">
        <f>IFERROR(IF(EH21=EI21,VLOOKUP(RawData[[#This Row],[Num]],$A$3:$DP$30,7,FALSE),IF(EI21&lt;=2,VLOOKUP(RawData[[#This Row],[Num]],$A$3:$DP$30,7,FALSE)+EI21," "))," ")</f>
        <v xml:space="preserve"> </v>
      </c>
      <c r="EK21" s="355" t="str">
        <f t="shared" si="3"/>
        <v xml:space="preserve"> </v>
      </c>
      <c r="EL21" s="355" t="str">
        <f t="shared" si="4"/>
        <v xml:space="preserve"> </v>
      </c>
      <c r="EM21" s="326"/>
      <c r="EN21" s="355" t="str">
        <f t="shared" si="5"/>
        <v xml:space="preserve"> </v>
      </c>
      <c r="EO21" s="326"/>
      <c r="EP21" s="355" t="str">
        <f t="shared" si="6"/>
        <v xml:space="preserve"> </v>
      </c>
      <c r="EQ21" s="326"/>
      <c r="ER21" s="355" t="str">
        <f t="shared" si="7"/>
        <v xml:space="preserve"> </v>
      </c>
      <c r="ES21" s="326"/>
      <c r="ET21" s="355" t="str">
        <f t="shared" si="8"/>
        <v xml:space="preserve"> </v>
      </c>
      <c r="EU21" s="351" t="str">
        <f t="shared" si="9"/>
        <v xml:space="preserve"> </v>
      </c>
      <c r="EV21" s="351" t="str">
        <f t="shared" si="10"/>
        <v xml:space="preserve"> </v>
      </c>
      <c r="EW21" s="355" t="str">
        <f t="shared" si="11"/>
        <v xml:space="preserve"> </v>
      </c>
      <c r="EX21" s="355" t="str">
        <f t="shared" si="12"/>
        <v xml:space="preserve"> </v>
      </c>
    </row>
    <row r="22" spans="1:154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1"/>
        <v xml:space="preserve"> </v>
      </c>
      <c r="EA22" s="265" t="str">
        <f>IF(RawData[[#This Row],[Cohesion ROI]]=" "," ",RANK(RawData[[#This Row],[Cohesion ROI]],$DZ$3:$DZ$32,0))</f>
        <v xml:space="preserve"> </v>
      </c>
      <c r="EB22" s="326"/>
      <c r="EC22" s="355" t="str">
        <f>IF(A22="","",VLOOKUP(RawData[[#This Row],[Num]],$A$3:$DP$30,8,FALSE))</f>
        <v/>
      </c>
      <c r="ED22" s="354" t="str">
        <f t="shared" si="2"/>
        <v xml:space="preserve"> </v>
      </c>
      <c r="EE22" s="326"/>
      <c r="EF22" s="354" t="str">
        <f>IFERROR(IF(EC22=0,1,(VLOOKUP(RawData[[#This Row],[Num]],$A$3:$DP$30,6,FALSE)))," ")</f>
        <v xml:space="preserve"> </v>
      </c>
      <c r="EG22" s="326"/>
      <c r="EH22" s="262" t="str">
        <f>IFERROR(VLOOKUP(RawData[[#This Row],[Num]],$A$3:$DP$30,120,FALSE)," ")</f>
        <v xml:space="preserve"> </v>
      </c>
      <c r="EI22" s="352" t="str">
        <f>IF(AND(RawData[[#This Row],[Num]]&lt;&gt;"",ED22&gt;$ED$34,EH22&gt;=$EH$38),1,EH22)</f>
        <v xml:space="preserve"> </v>
      </c>
      <c r="EJ22" s="262" t="str">
        <f>IFERROR(IF(EH22=EI22,VLOOKUP(RawData[[#This Row],[Num]],$A$3:$DP$30,7,FALSE),IF(EI22&lt;=2,VLOOKUP(RawData[[#This Row],[Num]],$A$3:$DP$30,7,FALSE)+EI22," "))," ")</f>
        <v xml:space="preserve"> </v>
      </c>
      <c r="EK22" s="354" t="str">
        <f t="shared" si="3"/>
        <v xml:space="preserve"> </v>
      </c>
      <c r="EL22" s="354" t="str">
        <f t="shared" si="4"/>
        <v xml:space="preserve"> </v>
      </c>
      <c r="EM22" s="326"/>
      <c r="EN22" s="354" t="str">
        <f t="shared" si="5"/>
        <v xml:space="preserve"> </v>
      </c>
      <c r="EO22" s="326"/>
      <c r="EP22" s="354" t="str">
        <f t="shared" si="6"/>
        <v xml:space="preserve"> </v>
      </c>
      <c r="EQ22" s="326"/>
      <c r="ER22" s="354" t="str">
        <f t="shared" si="7"/>
        <v xml:space="preserve"> </v>
      </c>
      <c r="ES22" s="326"/>
      <c r="ET22" s="354" t="str">
        <f t="shared" si="8"/>
        <v xml:space="preserve"> </v>
      </c>
      <c r="EU22" s="352" t="str">
        <f t="shared" si="9"/>
        <v xml:space="preserve"> </v>
      </c>
      <c r="EV22" s="352" t="str">
        <f t="shared" si="10"/>
        <v xml:space="preserve"> </v>
      </c>
      <c r="EW22" s="354" t="str">
        <f t="shared" si="11"/>
        <v xml:space="preserve"> </v>
      </c>
      <c r="EX22" s="354" t="str">
        <f t="shared" si="12"/>
        <v xml:space="preserve"> </v>
      </c>
    </row>
    <row r="23" spans="1:154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1"/>
        <v xml:space="preserve"> </v>
      </c>
      <c r="EA23" s="265" t="str">
        <f>IF(RawData[[#This Row],[Cohesion ROI]]=" "," ",RANK(RawData[[#This Row],[Cohesion ROI]],$DZ$3:$DZ$32,0))</f>
        <v xml:space="preserve"> </v>
      </c>
      <c r="EB23" s="326"/>
      <c r="EC23" s="354" t="str">
        <f>IF(A23="","",VLOOKUP(RawData[[#This Row],[Num]],$A$3:$DP$30,8,FALSE))</f>
        <v/>
      </c>
      <c r="ED23" s="355" t="str">
        <f t="shared" si="2"/>
        <v xml:space="preserve"> </v>
      </c>
      <c r="EE23" s="326"/>
      <c r="EF23" s="355" t="str">
        <f>IFERROR(IF(EC23=0,1,(VLOOKUP(RawData[[#This Row],[Num]],$A$3:$DP$30,6,FALSE)))," ")</f>
        <v xml:space="preserve"> </v>
      </c>
      <c r="EG23" s="326"/>
      <c r="EH23" s="316" t="str">
        <f>IFERROR(VLOOKUP(RawData[[#This Row],[Num]],$A$3:$DP$30,120,FALSE)," ")</f>
        <v xml:space="preserve"> </v>
      </c>
      <c r="EI23" s="351" t="str">
        <f>IF(AND(RawData[[#This Row],[Num]]&lt;&gt;"",ED23&gt;$ED$34,EH23&gt;=$EH$38),1,EH23)</f>
        <v xml:space="preserve"> </v>
      </c>
      <c r="EJ23" s="316" t="str">
        <f>IFERROR(IF(EH23=EI23,VLOOKUP(RawData[[#This Row],[Num]],$A$3:$DP$30,7,FALSE),IF(EI23&lt;=2,VLOOKUP(RawData[[#This Row],[Num]],$A$3:$DP$30,7,FALSE)+EI23," "))," ")</f>
        <v xml:space="preserve"> </v>
      </c>
      <c r="EK23" s="355" t="str">
        <f t="shared" si="3"/>
        <v xml:space="preserve"> </v>
      </c>
      <c r="EL23" s="355" t="str">
        <f t="shared" si="4"/>
        <v xml:space="preserve"> </v>
      </c>
      <c r="EM23" s="326"/>
      <c r="EN23" s="355" t="str">
        <f t="shared" si="5"/>
        <v xml:space="preserve"> </v>
      </c>
      <c r="EO23" s="326"/>
      <c r="EP23" s="355" t="str">
        <f t="shared" si="6"/>
        <v xml:space="preserve"> </v>
      </c>
      <c r="EQ23" s="326"/>
      <c r="ER23" s="355" t="str">
        <f t="shared" si="7"/>
        <v xml:space="preserve"> </v>
      </c>
      <c r="ES23" s="326"/>
      <c r="ET23" s="355" t="str">
        <f t="shared" si="8"/>
        <v xml:space="preserve"> </v>
      </c>
      <c r="EU23" s="351" t="str">
        <f t="shared" si="9"/>
        <v xml:space="preserve"> </v>
      </c>
      <c r="EV23" s="351" t="str">
        <f t="shared" si="10"/>
        <v xml:space="preserve"> </v>
      </c>
      <c r="EW23" s="355" t="str">
        <f t="shared" si="11"/>
        <v xml:space="preserve"> </v>
      </c>
      <c r="EX23" s="355" t="str">
        <f t="shared" si="12"/>
        <v xml:space="preserve"> </v>
      </c>
    </row>
    <row r="24" spans="1:154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1"/>
        <v xml:space="preserve"> </v>
      </c>
      <c r="EA24" s="265" t="str">
        <f>IF(RawData[[#This Row],[Cohesion ROI]]=" "," ",RANK(RawData[[#This Row],[Cohesion ROI]],$DZ$3:$DZ$32,0))</f>
        <v xml:space="preserve"> </v>
      </c>
      <c r="EB24" s="326"/>
      <c r="EC24" s="355" t="str">
        <f>IF(A24="","",VLOOKUP(RawData[[#This Row],[Num]],$A$3:$DP$30,8,FALSE))</f>
        <v/>
      </c>
      <c r="ED24" s="354" t="str">
        <f t="shared" si="2"/>
        <v xml:space="preserve"> </v>
      </c>
      <c r="EE24" s="326"/>
      <c r="EF24" s="354" t="str">
        <f>IFERROR(IF(EC24=0,1,(VLOOKUP(RawData[[#This Row],[Num]],$A$3:$DP$30,6,FALSE)))," ")</f>
        <v xml:space="preserve"> </v>
      </c>
      <c r="EG24" s="326"/>
      <c r="EH24" s="262" t="str">
        <f>IFERROR(VLOOKUP(RawData[[#This Row],[Num]],$A$3:$DP$30,120,FALSE)," ")</f>
        <v xml:space="preserve"> </v>
      </c>
      <c r="EI24" s="352" t="str">
        <f>IF(AND(RawData[[#This Row],[Num]]&lt;&gt;"",ED24&gt;$ED$34,EH24&gt;=$EH$38),1,EH24)</f>
        <v xml:space="preserve"> </v>
      </c>
      <c r="EJ24" s="262" t="str">
        <f>IFERROR(IF(EH24=EI24,VLOOKUP(RawData[[#This Row],[Num]],$A$3:$DP$30,7,FALSE),IF(EI24&lt;=2,VLOOKUP(RawData[[#This Row],[Num]],$A$3:$DP$30,7,FALSE)+EI24," "))," ")</f>
        <v xml:space="preserve"> </v>
      </c>
      <c r="EK24" s="354" t="str">
        <f t="shared" si="3"/>
        <v xml:space="preserve"> </v>
      </c>
      <c r="EL24" s="354" t="str">
        <f t="shared" si="4"/>
        <v xml:space="preserve"> </v>
      </c>
      <c r="EM24" s="326"/>
      <c r="EN24" s="354" t="str">
        <f t="shared" si="5"/>
        <v xml:space="preserve"> </v>
      </c>
      <c r="EO24" s="326"/>
      <c r="EP24" s="354" t="str">
        <f t="shared" si="6"/>
        <v xml:space="preserve"> </v>
      </c>
      <c r="EQ24" s="326"/>
      <c r="ER24" s="354" t="str">
        <f t="shared" si="7"/>
        <v xml:space="preserve"> </v>
      </c>
      <c r="ES24" s="326"/>
      <c r="ET24" s="354" t="str">
        <f t="shared" si="8"/>
        <v xml:space="preserve"> </v>
      </c>
      <c r="EU24" s="352" t="str">
        <f t="shared" si="9"/>
        <v xml:space="preserve"> </v>
      </c>
      <c r="EV24" s="352" t="str">
        <f t="shared" si="10"/>
        <v xml:space="preserve"> </v>
      </c>
      <c r="EW24" s="354" t="str">
        <f t="shared" si="11"/>
        <v xml:space="preserve"> </v>
      </c>
      <c r="EX24" s="354" t="str">
        <f t="shared" si="12"/>
        <v xml:space="preserve"> </v>
      </c>
    </row>
    <row r="25" spans="1:154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1"/>
        <v xml:space="preserve"> </v>
      </c>
      <c r="EA25" s="265" t="str">
        <f>IF(RawData[[#This Row],[Cohesion ROI]]=" "," ",RANK(RawData[[#This Row],[Cohesion ROI]],$DZ$3:$DZ$32,0))</f>
        <v xml:space="preserve"> </v>
      </c>
      <c r="EB25" s="326"/>
      <c r="EC25" s="354" t="str">
        <f>IF(A25="","",VLOOKUP(RawData[[#This Row],[Num]],$A$3:$DP$30,8,FALSE))</f>
        <v/>
      </c>
      <c r="ED25" s="355" t="str">
        <f t="shared" si="2"/>
        <v xml:space="preserve"> </v>
      </c>
      <c r="EE25" s="326"/>
      <c r="EF25" s="355" t="str">
        <f>IFERROR(IF(EC25=0,1,(VLOOKUP(RawData[[#This Row],[Num]],$A$3:$DP$30,6,FALSE)))," ")</f>
        <v xml:space="preserve"> </v>
      </c>
      <c r="EG25" s="326"/>
      <c r="EH25" s="316" t="str">
        <f>IFERROR(VLOOKUP(RawData[[#This Row],[Num]],$A$3:$DP$30,120,FALSE)," ")</f>
        <v xml:space="preserve"> </v>
      </c>
      <c r="EI25" s="351" t="str">
        <f>IF(AND(RawData[[#This Row],[Num]]&lt;&gt;"",ED25&gt;$ED$34,EH25&gt;=$EH$38),1,EH25)</f>
        <v xml:space="preserve"> </v>
      </c>
      <c r="EJ25" s="316" t="str">
        <f>IFERROR(IF(EH25=EI25,VLOOKUP(RawData[[#This Row],[Num]],$A$3:$DP$30,7,FALSE),IF(EI25&lt;=2,VLOOKUP(RawData[[#This Row],[Num]],$A$3:$DP$30,7,FALSE)+EI25," "))," ")</f>
        <v xml:space="preserve"> </v>
      </c>
      <c r="EK25" s="355" t="str">
        <f t="shared" si="3"/>
        <v xml:space="preserve"> </v>
      </c>
      <c r="EL25" s="355" t="str">
        <f t="shared" si="4"/>
        <v xml:space="preserve"> </v>
      </c>
      <c r="EM25" s="326"/>
      <c r="EN25" s="355" t="str">
        <f t="shared" si="5"/>
        <v xml:space="preserve"> </v>
      </c>
      <c r="EO25" s="326"/>
      <c r="EP25" s="355" t="str">
        <f t="shared" si="6"/>
        <v xml:space="preserve"> </v>
      </c>
      <c r="EQ25" s="326"/>
      <c r="ER25" s="355" t="str">
        <f t="shared" si="7"/>
        <v xml:space="preserve"> </v>
      </c>
      <c r="ES25" s="326"/>
      <c r="ET25" s="355" t="str">
        <f t="shared" si="8"/>
        <v xml:space="preserve"> </v>
      </c>
      <c r="EU25" s="351" t="str">
        <f t="shared" si="9"/>
        <v xml:space="preserve"> </v>
      </c>
      <c r="EV25" s="351" t="str">
        <f t="shared" si="10"/>
        <v xml:space="preserve"> </v>
      </c>
      <c r="EW25" s="355" t="str">
        <f t="shared" si="11"/>
        <v xml:space="preserve"> </v>
      </c>
      <c r="EX25" s="355" t="str">
        <f t="shared" si="12"/>
        <v xml:space="preserve"> </v>
      </c>
    </row>
    <row r="26" spans="1:154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1"/>
        <v xml:space="preserve"> </v>
      </c>
      <c r="EA26" s="265" t="str">
        <f>IF(RawData[[#This Row],[Cohesion ROI]]=" "," ",RANK(RawData[[#This Row],[Cohesion ROI]],$DZ$3:$DZ$32,0))</f>
        <v xml:space="preserve"> </v>
      </c>
      <c r="EB26" s="326"/>
      <c r="EC26" s="355" t="str">
        <f>IF(A26="","",VLOOKUP(RawData[[#This Row],[Num]],$A$3:$DP$30,8,FALSE))</f>
        <v/>
      </c>
      <c r="ED26" s="354" t="str">
        <f t="shared" si="2"/>
        <v xml:space="preserve"> </v>
      </c>
      <c r="EE26" s="326"/>
      <c r="EF26" s="354" t="str">
        <f>IFERROR(IF(EC26=0,1,(VLOOKUP(RawData[[#This Row],[Num]],$A$3:$DP$30,6,FALSE)))," ")</f>
        <v xml:space="preserve"> </v>
      </c>
      <c r="EG26" s="326"/>
      <c r="EH26" s="262" t="str">
        <f>IFERROR(VLOOKUP(RawData[[#This Row],[Num]],$A$3:$DP$30,120,FALSE)," ")</f>
        <v xml:space="preserve"> </v>
      </c>
      <c r="EI26" s="352" t="str">
        <f>IF(AND(RawData[[#This Row],[Num]]&lt;&gt;"",ED26&gt;$ED$34,EH26&gt;=$EH$38),1,EH26)</f>
        <v xml:space="preserve"> </v>
      </c>
      <c r="EJ26" s="262" t="str">
        <f>IFERROR(IF(EH26=EI26,VLOOKUP(RawData[[#This Row],[Num]],$A$3:$DP$30,7,FALSE),IF(EI26&lt;=2,VLOOKUP(RawData[[#This Row],[Num]],$A$3:$DP$30,7,FALSE)+EI26," "))," ")</f>
        <v xml:space="preserve"> </v>
      </c>
      <c r="EK26" s="354" t="str">
        <f t="shared" si="3"/>
        <v xml:space="preserve"> </v>
      </c>
      <c r="EL26" s="354" t="str">
        <f t="shared" si="4"/>
        <v xml:space="preserve"> </v>
      </c>
      <c r="EM26" s="326"/>
      <c r="EN26" s="354" t="str">
        <f t="shared" si="5"/>
        <v xml:space="preserve"> </v>
      </c>
      <c r="EO26" s="326"/>
      <c r="EP26" s="354" t="str">
        <f t="shared" si="6"/>
        <v xml:space="preserve"> </v>
      </c>
      <c r="EQ26" s="326"/>
      <c r="ER26" s="354" t="str">
        <f t="shared" si="7"/>
        <v xml:space="preserve"> </v>
      </c>
      <c r="ES26" s="326"/>
      <c r="ET26" s="354" t="str">
        <f t="shared" si="8"/>
        <v xml:space="preserve"> </v>
      </c>
      <c r="EU26" s="352" t="str">
        <f t="shared" si="9"/>
        <v xml:space="preserve"> </v>
      </c>
      <c r="EV26" s="352" t="str">
        <f t="shared" si="10"/>
        <v xml:space="preserve"> </v>
      </c>
      <c r="EW26" s="354" t="str">
        <f t="shared" si="11"/>
        <v xml:space="preserve"> </v>
      </c>
      <c r="EX26" s="354" t="str">
        <f t="shared" si="12"/>
        <v xml:space="preserve"> </v>
      </c>
    </row>
    <row r="27" spans="1:154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1"/>
        <v xml:space="preserve"> </v>
      </c>
      <c r="EA27" s="265" t="str">
        <f>IF(RawData[[#This Row],[Cohesion ROI]]=" "," ",RANK(RawData[[#This Row],[Cohesion ROI]],$DZ$3:$DZ$32,0))</f>
        <v xml:space="preserve"> </v>
      </c>
      <c r="EB27" s="326"/>
      <c r="EC27" s="354" t="str">
        <f>IF(A27="","",VLOOKUP(RawData[[#This Row],[Num]],$A$3:$DP$30,8,FALSE))</f>
        <v/>
      </c>
      <c r="ED27" s="355" t="str">
        <f t="shared" si="2"/>
        <v xml:space="preserve"> </v>
      </c>
      <c r="EE27" s="326"/>
      <c r="EF27" s="355" t="str">
        <f>IFERROR(IF(EC27=0,1,(VLOOKUP(RawData[[#This Row],[Num]],$A$3:$DP$30,6,FALSE)))," ")</f>
        <v xml:space="preserve"> </v>
      </c>
      <c r="EG27" s="326"/>
      <c r="EH27" s="316" t="str">
        <f>IFERROR(VLOOKUP(RawData[[#This Row],[Num]],$A$3:$DP$30,120,FALSE)," ")</f>
        <v xml:space="preserve"> </v>
      </c>
      <c r="EI27" s="351" t="str">
        <f>IF(AND(RawData[[#This Row],[Num]]&lt;&gt;"",ED27&gt;$ED$34,EH27&gt;=$EH$38),1,EH27)</f>
        <v xml:space="preserve"> </v>
      </c>
      <c r="EJ27" s="316" t="str">
        <f>IFERROR(IF(EH27=EI27,VLOOKUP(RawData[[#This Row],[Num]],$A$3:$DP$30,7,FALSE),IF(EI27&lt;=2,VLOOKUP(RawData[[#This Row],[Num]],$A$3:$DP$30,7,FALSE)+EI27," "))," ")</f>
        <v xml:space="preserve"> </v>
      </c>
      <c r="EK27" s="355" t="str">
        <f t="shared" si="3"/>
        <v xml:space="preserve"> </v>
      </c>
      <c r="EL27" s="355" t="str">
        <f t="shared" si="4"/>
        <v xml:space="preserve"> </v>
      </c>
      <c r="EM27" s="326"/>
      <c r="EN27" s="355" t="str">
        <f t="shared" si="5"/>
        <v xml:space="preserve"> </v>
      </c>
      <c r="EO27" s="326"/>
      <c r="EP27" s="355" t="str">
        <f t="shared" si="6"/>
        <v xml:space="preserve"> </v>
      </c>
      <c r="EQ27" s="326"/>
      <c r="ER27" s="355" t="str">
        <f t="shared" si="7"/>
        <v xml:space="preserve"> </v>
      </c>
      <c r="ES27" s="326"/>
      <c r="ET27" s="355" t="str">
        <f t="shared" si="8"/>
        <v xml:space="preserve"> </v>
      </c>
      <c r="EU27" s="351" t="str">
        <f t="shared" si="9"/>
        <v xml:space="preserve"> </v>
      </c>
      <c r="EV27" s="351" t="str">
        <f t="shared" si="10"/>
        <v xml:space="preserve"> </v>
      </c>
      <c r="EW27" s="355" t="str">
        <f t="shared" si="11"/>
        <v xml:space="preserve"> </v>
      </c>
      <c r="EX27" s="355" t="str">
        <f t="shared" si="12"/>
        <v xml:space="preserve"> </v>
      </c>
    </row>
    <row r="28" spans="1:154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1"/>
        <v xml:space="preserve"> </v>
      </c>
      <c r="EA28" s="265" t="str">
        <f>IF(RawData[[#This Row],[Cohesion ROI]]=" "," ",RANK(RawData[[#This Row],[Cohesion ROI]],$DZ$3:$DZ$32,0))</f>
        <v xml:space="preserve"> </v>
      </c>
      <c r="EB28" s="326"/>
      <c r="EC28" s="355" t="str">
        <f>IF(A28="","",VLOOKUP(RawData[[#This Row],[Num]],$A$3:$DP$30,8,FALSE))</f>
        <v/>
      </c>
      <c r="ED28" s="354" t="str">
        <f t="shared" si="2"/>
        <v xml:space="preserve"> </v>
      </c>
      <c r="EE28" s="326"/>
      <c r="EF28" s="354" t="str">
        <f>IFERROR(IF(EC28=0,1,(VLOOKUP(RawData[[#This Row],[Num]],$A$3:$DP$30,6,FALSE)))," ")</f>
        <v xml:space="preserve"> </v>
      </c>
      <c r="EG28" s="326"/>
      <c r="EH28" s="262" t="str">
        <f>IFERROR(VLOOKUP(RawData[[#This Row],[Num]],$A$3:$DP$30,120,FALSE)," ")</f>
        <v xml:space="preserve"> </v>
      </c>
      <c r="EI28" s="352" t="str">
        <f>IF(AND(RawData[[#This Row],[Num]]&lt;&gt;"",ED28&gt;$ED$34,EH28&gt;=$EH$38),1,EH28)</f>
        <v xml:space="preserve"> </v>
      </c>
      <c r="EJ28" s="262" t="str">
        <f>IFERROR(IF(EH28=EI28,VLOOKUP(RawData[[#This Row],[Num]],$A$3:$DP$30,7,FALSE),IF(EI28&lt;=2,VLOOKUP(RawData[[#This Row],[Num]],$A$3:$DP$30,7,FALSE)+EI28," "))," ")</f>
        <v xml:space="preserve"> </v>
      </c>
      <c r="EK28" s="354" t="str">
        <f t="shared" si="3"/>
        <v xml:space="preserve"> </v>
      </c>
      <c r="EL28" s="354" t="str">
        <f t="shared" si="4"/>
        <v xml:space="preserve"> </v>
      </c>
      <c r="EM28" s="326"/>
      <c r="EN28" s="354" t="str">
        <f t="shared" si="5"/>
        <v xml:space="preserve"> </v>
      </c>
      <c r="EO28" s="326"/>
      <c r="EP28" s="354" t="str">
        <f t="shared" si="6"/>
        <v xml:space="preserve"> </v>
      </c>
      <c r="EQ28" s="326"/>
      <c r="ER28" s="354" t="str">
        <f t="shared" si="7"/>
        <v xml:space="preserve"> </v>
      </c>
      <c r="ES28" s="326"/>
      <c r="ET28" s="354" t="str">
        <f t="shared" si="8"/>
        <v xml:space="preserve"> </v>
      </c>
      <c r="EU28" s="352" t="str">
        <f t="shared" si="9"/>
        <v xml:space="preserve"> </v>
      </c>
      <c r="EV28" s="352" t="str">
        <f t="shared" si="10"/>
        <v xml:space="preserve"> </v>
      </c>
      <c r="EW28" s="354" t="str">
        <f t="shared" si="11"/>
        <v xml:space="preserve"> </v>
      </c>
      <c r="EX28" s="354" t="str">
        <f t="shared" si="12"/>
        <v xml:space="preserve"> </v>
      </c>
    </row>
    <row r="29" spans="1:154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1"/>
        <v xml:space="preserve"> </v>
      </c>
      <c r="EA29" s="265" t="str">
        <f>IF(RawData[[#This Row],[Cohesion ROI]]=" "," ",RANK(RawData[[#This Row],[Cohesion ROI]],$DZ$3:$DZ$32,0))</f>
        <v xml:space="preserve"> </v>
      </c>
      <c r="EB29" s="326"/>
      <c r="EC29" s="354" t="str">
        <f>IF(A29="","",VLOOKUP(RawData[[#This Row],[Num]],$A$3:$DP$30,8,FALSE))</f>
        <v/>
      </c>
      <c r="ED29" s="355" t="str">
        <f t="shared" si="2"/>
        <v xml:space="preserve"> </v>
      </c>
      <c r="EE29" s="326"/>
      <c r="EF29" s="355" t="str">
        <f>IFERROR(IF(EC29=0,1,(VLOOKUP(RawData[[#This Row],[Num]],$A$3:$DP$30,6,FALSE)))," ")</f>
        <v xml:space="preserve"> </v>
      </c>
      <c r="EG29" s="326"/>
      <c r="EH29" s="316" t="str">
        <f>IFERROR(VLOOKUP(RawData[[#This Row],[Num]],$A$3:$DP$30,120,FALSE)," ")</f>
        <v xml:space="preserve"> </v>
      </c>
      <c r="EI29" s="351" t="str">
        <f>IF(AND(RawData[[#This Row],[Num]]&lt;&gt;"",ED29&gt;$ED$34,EH29&gt;=$EH$38),1,EH29)</f>
        <v xml:space="preserve"> </v>
      </c>
      <c r="EJ29" s="316" t="str">
        <f>IFERROR(IF(EH29=EI29,VLOOKUP(RawData[[#This Row],[Num]],$A$3:$DP$30,7,FALSE),IF(EI29&lt;=2,VLOOKUP(RawData[[#This Row],[Num]],$A$3:$DP$30,7,FALSE)+EI29," "))," ")</f>
        <v xml:space="preserve"> </v>
      </c>
      <c r="EK29" s="355" t="str">
        <f t="shared" si="3"/>
        <v xml:space="preserve"> </v>
      </c>
      <c r="EL29" s="355" t="str">
        <f t="shared" si="4"/>
        <v xml:space="preserve"> </v>
      </c>
      <c r="EM29" s="326"/>
      <c r="EN29" s="355" t="str">
        <f t="shared" si="5"/>
        <v xml:space="preserve"> </v>
      </c>
      <c r="EO29" s="326"/>
      <c r="EP29" s="355" t="str">
        <f t="shared" si="6"/>
        <v xml:space="preserve"> </v>
      </c>
      <c r="EQ29" s="326"/>
      <c r="ER29" s="355" t="str">
        <f t="shared" si="7"/>
        <v xml:space="preserve"> </v>
      </c>
      <c r="ES29" s="326"/>
      <c r="ET29" s="355" t="str">
        <f t="shared" si="8"/>
        <v xml:space="preserve"> </v>
      </c>
      <c r="EU29" s="351" t="str">
        <f t="shared" si="9"/>
        <v xml:space="preserve"> </v>
      </c>
      <c r="EV29" s="351" t="str">
        <f t="shared" si="10"/>
        <v xml:space="preserve"> </v>
      </c>
      <c r="EW29" s="355" t="str">
        <f t="shared" si="11"/>
        <v xml:space="preserve"> </v>
      </c>
      <c r="EX29" s="355" t="str">
        <f t="shared" si="12"/>
        <v xml:space="preserve"> </v>
      </c>
    </row>
    <row r="30" spans="1:154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1"/>
        <v xml:space="preserve"> </v>
      </c>
      <c r="EA30" s="265" t="str">
        <f>IF(RawData[[#This Row],[Cohesion ROI]]=" "," ",RANK(RawData[[#This Row],[Cohesion ROI]],$DZ$3:$DZ$32,0))</f>
        <v xml:space="preserve"> </v>
      </c>
      <c r="EB30" s="326"/>
      <c r="EC30" s="355" t="str">
        <f>IF(A30="","",VLOOKUP(RawData[[#This Row],[Num]],$A$3:$DP$30,8,FALSE))</f>
        <v/>
      </c>
      <c r="ED30" s="354" t="str">
        <f t="shared" si="2"/>
        <v xml:space="preserve"> </v>
      </c>
      <c r="EE30" s="326"/>
      <c r="EF30" s="354" t="str">
        <f>IFERROR(IF(EC30=0,1,(VLOOKUP(RawData[[#This Row],[Num]],$A$3:$DP$30,6,FALSE)))," ")</f>
        <v xml:space="preserve"> </v>
      </c>
      <c r="EG30" s="326"/>
      <c r="EH30" s="262" t="str">
        <f>IFERROR(VLOOKUP(RawData[[#This Row],[Num]],$A$3:$DP$30,120,FALSE)," ")</f>
        <v xml:space="preserve"> </v>
      </c>
      <c r="EI30" s="352" t="str">
        <f>IF(AND(RawData[[#This Row],[Num]]&lt;&gt;"",ED30&gt;$ED$34,EH30&gt;=$EH$38),1,EH30)</f>
        <v xml:space="preserve"> </v>
      </c>
      <c r="EJ30" s="262" t="str">
        <f>IFERROR(IF(EH30=EI30,VLOOKUP(RawData[[#This Row],[Num]],$A$3:$DP$30,7,FALSE),IF(EI30&lt;=2,VLOOKUP(RawData[[#This Row],[Num]],$A$3:$DP$30,7,FALSE)+EI30," "))," ")</f>
        <v xml:space="preserve"> </v>
      </c>
      <c r="EK30" s="354" t="str">
        <f t="shared" si="3"/>
        <v xml:space="preserve"> </v>
      </c>
      <c r="EL30" s="354" t="str">
        <f t="shared" si="4"/>
        <v xml:space="preserve"> </v>
      </c>
      <c r="EM30" s="326"/>
      <c r="EN30" s="354" t="str">
        <f t="shared" si="5"/>
        <v xml:space="preserve"> </v>
      </c>
      <c r="EO30" s="326"/>
      <c r="EP30" s="354" t="str">
        <f t="shared" si="6"/>
        <v xml:space="preserve"> </v>
      </c>
      <c r="EQ30" s="326"/>
      <c r="ER30" s="354" t="str">
        <f t="shared" si="7"/>
        <v xml:space="preserve"> </v>
      </c>
      <c r="ES30" s="326"/>
      <c r="ET30" s="354" t="str">
        <f t="shared" si="8"/>
        <v xml:space="preserve"> </v>
      </c>
      <c r="EU30" s="352" t="str">
        <f t="shared" si="9"/>
        <v xml:space="preserve"> </v>
      </c>
      <c r="EV30" s="352" t="str">
        <f t="shared" si="10"/>
        <v xml:space="preserve"> </v>
      </c>
      <c r="EW30" s="354" t="str">
        <f t="shared" si="11"/>
        <v xml:space="preserve"> </v>
      </c>
      <c r="EX30" s="354" t="str">
        <f t="shared" si="12"/>
        <v xml:space="preserve"> </v>
      </c>
    </row>
    <row r="31" spans="1:154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1"/>
        <v xml:space="preserve"> </v>
      </c>
      <c r="EA31" s="265" t="str">
        <f>IF(RawData[[#This Row],[Cohesion ROI]]=" "," ",RANK(RawData[[#This Row],[Cohesion ROI]],$DZ$3:$DZ$32,0))</f>
        <v xml:space="preserve"> </v>
      </c>
      <c r="EB31" s="326"/>
      <c r="EC31" s="356" t="str">
        <f>IF(A31="","",VLOOKUP(RawData[[#This Row],[Num]],$A$3:$DP$30,8,FALSE))</f>
        <v/>
      </c>
      <c r="ED31" s="355" t="str">
        <f t="shared" si="2"/>
        <v xml:space="preserve"> </v>
      </c>
      <c r="EE31" s="326"/>
      <c r="EF31" s="355" t="str">
        <f>IFERROR(IF(EC31=0,1,(VLOOKUP(RawData[[#This Row],[Num]],$A$3:$DP$30,6,FALSE)))," ")</f>
        <v xml:space="preserve"> </v>
      </c>
      <c r="EG31" s="326"/>
      <c r="EH31" s="316" t="str">
        <f>IFERROR(VLOOKUP(RawData[[#This Row],[Num]],$A$3:$DP$30,120,FALSE)," ")</f>
        <v xml:space="preserve"> </v>
      </c>
      <c r="EI31" s="351" t="str">
        <f>IF(AND(RawData[[#This Row],[Num]]&lt;&gt;"",ED31&gt;$ED$34,EH31&gt;=$EH$38),1,EH31)</f>
        <v xml:space="preserve"> </v>
      </c>
      <c r="EJ31" s="316" t="str">
        <f>IFERROR(IF(EH31=EI31,VLOOKUP(RawData[[#This Row],[Num]],$A$3:$DP$30,7,FALSE),IF(EI31&lt;=2,VLOOKUP(RawData[[#This Row],[Num]],$A$3:$DP$30,7,FALSE)+EI31," "))," ")</f>
        <v xml:space="preserve"> </v>
      </c>
      <c r="EK31" s="355" t="str">
        <f t="shared" si="3"/>
        <v xml:space="preserve"> </v>
      </c>
      <c r="EL31" s="355" t="str">
        <f t="shared" si="4"/>
        <v xml:space="preserve"> </v>
      </c>
      <c r="EM31" s="326"/>
      <c r="EN31" s="355" t="str">
        <f t="shared" si="5"/>
        <v xml:space="preserve"> </v>
      </c>
      <c r="EO31" s="326"/>
      <c r="EP31" s="355" t="str">
        <f t="shared" si="6"/>
        <v xml:space="preserve"> </v>
      </c>
      <c r="EQ31" s="326"/>
      <c r="ER31" s="355" t="str">
        <f t="shared" si="7"/>
        <v xml:space="preserve"> </v>
      </c>
      <c r="ES31" s="326"/>
      <c r="ET31" s="355" t="str">
        <f t="shared" si="8"/>
        <v xml:space="preserve"> </v>
      </c>
      <c r="EU31" s="351" t="str">
        <f t="shared" ref="EU31" si="13">IF(ER31=" "," ",IF(AND($EV$43&lt;=1,EX31&lt;=5),1,IF(AND($EV$43&gt;1,EX31&lt;=3),1," ")))</f>
        <v xml:space="preserve"> </v>
      </c>
      <c r="EV31" s="351" t="str">
        <f t="shared" ref="EV31" si="14">IF(AND(A31&gt;0,EU31=1),"NOW"," ")</f>
        <v xml:space="preserve"> </v>
      </c>
      <c r="EW31" s="355" t="str">
        <f t="shared" si="11"/>
        <v xml:space="preserve"> </v>
      </c>
      <c r="EX31" s="355" t="str">
        <f t="shared" si="12"/>
        <v xml:space="preserve"> </v>
      </c>
    </row>
    <row r="32" spans="1:154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1"/>
        <v xml:space="preserve"> </v>
      </c>
      <c r="EA32" s="265" t="str">
        <f>IF(RawData[[#This Row],[Cohesion ROI]]=" "," ",RANK(RawData[[#This Row],[Cohesion ROI]],$DZ$3:$DZ$32,0))</f>
        <v xml:space="preserve"> </v>
      </c>
      <c r="EB32" s="326"/>
      <c r="EC32" s="316" t="str">
        <f>IF(A32="","",VLOOKUP(RawData[[#This Row],[Num]],$A$3:$DP$30,8,FALSE))</f>
        <v/>
      </c>
      <c r="ED32" s="356" t="str">
        <f t="shared" si="2"/>
        <v xml:space="preserve"> </v>
      </c>
      <c r="EE32" s="326"/>
      <c r="EF32" s="356" t="str">
        <f>IFERROR(IF(EC32=0,1,(VLOOKUP(RawData[[#This Row],[Num]],$A$3:$DP$30,6,FALSE)))," ")</f>
        <v xml:space="preserve"> </v>
      </c>
      <c r="EG32" s="326"/>
      <c r="EH32" s="341" t="str">
        <f>IFERROR(VLOOKUP(RawData[[#This Row],[Num]],$A$3:$DP$30,120,FALSE)," ")</f>
        <v xml:space="preserve"> </v>
      </c>
      <c r="EI32" s="352" t="str">
        <f>IF(AND(RawData[[#This Row],[Num]]&lt;&gt;"",ED32&gt;$ED$34,EH32&gt;=$EH$38),1,EH32)</f>
        <v xml:space="preserve"> </v>
      </c>
      <c r="EJ32" s="341" t="str">
        <f>IFERROR(IF(EH32=EI32,VLOOKUP(RawData[[#This Row],[Num]],$A$3:$DP$30,7,FALSE),IF(EI32&lt;=2,VLOOKUP(RawData[[#This Row],[Num]],$A$3:$DP$30,7,FALSE)+EI32," "))," ")</f>
        <v xml:space="preserve"> </v>
      </c>
      <c r="EK32" s="356" t="str">
        <f t="shared" si="3"/>
        <v xml:space="preserve"> </v>
      </c>
      <c r="EL32" s="356" t="str">
        <f t="shared" si="4"/>
        <v xml:space="preserve"> </v>
      </c>
      <c r="EM32" s="326"/>
      <c r="EN32" s="356" t="str">
        <f t="shared" si="5"/>
        <v xml:space="preserve"> </v>
      </c>
      <c r="EO32" s="326"/>
      <c r="EP32" s="356" t="str">
        <f t="shared" si="6"/>
        <v xml:space="preserve"> </v>
      </c>
      <c r="EQ32" s="326"/>
      <c r="ER32" s="356" t="str">
        <f t="shared" si="7"/>
        <v xml:space="preserve"> </v>
      </c>
      <c r="ES32" s="326"/>
      <c r="ET32" s="356" t="str">
        <f t="shared" si="8"/>
        <v xml:space="preserve"> </v>
      </c>
      <c r="EU32" s="352" t="str">
        <f t="shared" ref="EU32" si="15">IF(ER32=" "," ",IF(ET32&lt;=$ET$39,1," "))</f>
        <v xml:space="preserve"> </v>
      </c>
      <c r="EV32" s="352" t="str">
        <f t="shared" ref="EV32" si="16">IF(AND(A32&gt;0,EU32=1),"NOW"," ")</f>
        <v xml:space="preserve"> </v>
      </c>
      <c r="EW32" s="356" t="str">
        <f t="shared" si="11"/>
        <v xml:space="preserve"> </v>
      </c>
      <c r="EX32" s="356" t="str">
        <f t="shared" si="12"/>
        <v xml:space="preserve"> </v>
      </c>
    </row>
    <row r="33" spans="1:154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1"/>
        <v xml:space="preserve"> </v>
      </c>
      <c r="EA33" s="265" t="str">
        <f>IF(RawData[[#This Row],[Cohesion ROI]]=" "," ",RANK(RawData[[#This Row],[Cohesion ROI]],$DZ$3:$DZ$32,0))</f>
        <v xml:space="preserve"> </v>
      </c>
      <c r="EB33" s="326"/>
      <c r="EC33" s="316"/>
      <c r="ED33" s="316"/>
      <c r="EE33" s="326"/>
      <c r="EF33" s="316"/>
      <c r="EG33" s="326"/>
      <c r="EH33" s="316"/>
      <c r="EI33" s="351"/>
      <c r="EJ33" s="316"/>
      <c r="EK33" s="316"/>
      <c r="EL33" s="316"/>
      <c r="EM33" s="326"/>
      <c r="EN33" s="316"/>
      <c r="EO33" s="326"/>
      <c r="EP33" s="316"/>
      <c r="EQ33" s="326"/>
      <c r="ER33" s="316"/>
      <c r="ES33" s="326"/>
      <c r="ET33" s="316"/>
      <c r="EU33" s="351" t="str">
        <f t="shared" ref="EU33" si="17">IFERROR(100/EL33," ")</f>
        <v xml:space="preserve"> </v>
      </c>
      <c r="EV33" s="351"/>
      <c r="EW33" s="316"/>
      <c r="EX33" s="316"/>
    </row>
    <row r="34" spans="1:154" x14ac:dyDescent="0.3">
      <c r="A34" s="255" t="str">
        <f>IF(A33=RawData[[#Headers],[Num]],"Yes","no")</f>
        <v>Yes</v>
      </c>
      <c r="B34" s="255" t="str">
        <f>IF(B33=RawData[[#Headers],[Horse Name]],"Yes","no")</f>
        <v>Yes</v>
      </c>
      <c r="C34" s="255" t="str">
        <f>IF(C33=RawData[[#Headers],[Age]],"Yes","no")</f>
        <v>Yes</v>
      </c>
      <c r="D34" s="255" t="str">
        <f>IF(D33=RawData[[#Headers],[Gender]],"Yes","no")</f>
        <v>Yes</v>
      </c>
      <c r="E34" s="255" t="str">
        <f>IF(E33=RawData[[#Headers],[Handicap Rating]],"Yes","no")</f>
        <v>Yes</v>
      </c>
      <c r="F34" s="255" t="str">
        <f>IF(F33=RawData[[#Headers],[Career Runs]],"Yes","no")</f>
        <v>Yes</v>
      </c>
      <c r="G34" s="255" t="str">
        <f>IF(G33=RawData[[#Headers],[Career Wins]],"Yes","no")</f>
        <v>Yes</v>
      </c>
      <c r="H34" s="255" t="str">
        <f>IF(H33=RawData[[#Headers],[Career Strike Rate]],"Yes","no")</f>
        <v>Yes</v>
      </c>
      <c r="I34" s="255" t="str">
        <f>IF(I33=RawData[[#Headers],[Career ROI]],"Yes","no")</f>
        <v>Yes</v>
      </c>
      <c r="J34" s="255" t="str">
        <f>IF(J33=RawData[[#Headers],[Career Placings]],"Yes","no")</f>
        <v>Yes</v>
      </c>
      <c r="K34" s="255" t="str">
        <f>IF(K33=RawData[[#Headers],[Career Place Strike Rate]],"Yes","no")</f>
        <v>Yes</v>
      </c>
      <c r="L34" s="255" t="str">
        <f>IF(L33=RawData[[#Headers],[Dry Track Runs]],"Yes","no")</f>
        <v>Yes</v>
      </c>
      <c r="M34" s="255" t="str">
        <f>IF(M33=RawData[[#Headers],[Dry Track Wins]],"Yes","no")</f>
        <v>Yes</v>
      </c>
      <c r="N34" s="255" t="str">
        <f>IF(N33=RawData[[#Headers],[Dry Track Strike Rate]],"Yes","no")</f>
        <v>Yes</v>
      </c>
      <c r="O34" s="255" t="str">
        <f>IF(O33=RawData[[#Headers],[Dry Track ROI]],"Yes","no")</f>
        <v>Yes</v>
      </c>
      <c r="P34" s="255" t="str">
        <f>IF(P33=RawData[[#Headers],[Wet Track Runs]],"Yes","no")</f>
        <v>Yes</v>
      </c>
      <c r="Q34" s="255" t="str">
        <f>IF(Q33=RawData[[#Headers],[Wet Track Wins]],"Yes","no")</f>
        <v>Yes</v>
      </c>
      <c r="R34" s="255" t="str">
        <f>IF(R33=RawData[[#Headers],[Wet Track Strike Rate]],"Yes","no")</f>
        <v>Yes</v>
      </c>
      <c r="S34" s="255" t="str">
        <f>IF(S33=RawData[[#Headers],[Wet Track ROI]],"Yes","no")</f>
        <v>Yes</v>
      </c>
      <c r="T34" s="255" t="str">
        <f>IF(T33=RawData[[#Headers],[Average Prize Money]],"Yes","no")</f>
        <v>Yes</v>
      </c>
      <c r="U34" s="255" t="str">
        <f>IF(U33=RawData[[#Headers],[Career Prize Money]],"Yes","no")</f>
        <v>Yes</v>
      </c>
      <c r="V34" s="255" t="str">
        <f>IF(V33=RawData[[#Headers],[Best Fixed Odds]],"Yes","no")</f>
        <v>Yes</v>
      </c>
      <c r="W34" s="255" t="str">
        <f>IF(W33=RawData[[#Headers],[BetEasy Odds]],"Yes","no")</f>
        <v>no</v>
      </c>
      <c r="X34" s="255" t="str">
        <f>IF(X33=RawData[[#Headers],[Weight]],"Yes","no")</f>
        <v>Yes</v>
      </c>
      <c r="Y34" s="255" t="str">
        <f>IF(Y33=RawData[[#Headers],[Weight Carried]],"Yes","no")</f>
        <v>Yes</v>
      </c>
      <c r="Z34" s="255" t="str">
        <f>IF(Z33=RawData[[#Headers],[Barrier]],"Yes","no")</f>
        <v>Yes</v>
      </c>
      <c r="AA34" s="255" t="str">
        <f>IF(AA33=RawData[[#Headers],[Prize Money]],"Yes","no")</f>
        <v>Yes</v>
      </c>
      <c r="AB34" s="255" t="str">
        <f>IF(AB33=RawData[[#Headers],[This Track Runs]],"Yes","no")</f>
        <v>Yes</v>
      </c>
      <c r="AC34" s="255" t="str">
        <f>IF(AC33=RawData[[#Headers],[This Track Wins]],"Yes","no")</f>
        <v>Yes</v>
      </c>
      <c r="AD34" s="255" t="str">
        <f>IF(AD33=RawData[[#Headers],[This Track Strike Rate]],"Yes","no")</f>
        <v>Yes</v>
      </c>
      <c r="AE34" s="255" t="str">
        <f>IF(AE33=RawData[[#Headers],[This Track ROI]],"Yes","no")</f>
        <v>Yes</v>
      </c>
      <c r="AF34" s="255" t="str">
        <f>IF(AF33=RawData[[#Headers],[This Track Places]],"Yes","no")</f>
        <v>Yes</v>
      </c>
      <c r="AG34" s="255" t="str">
        <f>IF(AG33=RawData[[#Headers],[This Track Place Strike Rate]],"Yes","no")</f>
        <v>Yes</v>
      </c>
      <c r="AH34" s="255" t="str">
        <f>IF(AH33=RawData[[#Headers],[This Distance Runs]],"Yes","no")</f>
        <v>Yes</v>
      </c>
      <c r="AI34" s="255" t="str">
        <f>IF(AI33=RawData[[#Headers],[This Distance Wins]],"Yes","no")</f>
        <v>Yes</v>
      </c>
      <c r="AJ34" s="255" t="str">
        <f>IF(AJ33=RawData[[#Headers],[This Distance Strike Rate]],"Yes","no")</f>
        <v>Yes</v>
      </c>
      <c r="AK34" s="255" t="str">
        <f>IF(AK33=RawData[[#Headers],[This Distance ROI]],"Yes","no")</f>
        <v>Yes</v>
      </c>
      <c r="AL34" s="255" t="str">
        <f>IF(AL33=RawData[[#Headers],[This Distance Places]],"Yes","no")</f>
        <v>Yes</v>
      </c>
      <c r="AM34" s="255" t="str">
        <f>IF(AM33=RawData[[#Headers],[This Distance Place Strike Rate]],"Yes","no")</f>
        <v>Yes</v>
      </c>
      <c r="AN34" s="255" t="str">
        <f>IF(AN33=RawData[[#Headers],[This Track Distance Runs]],"Yes","no")</f>
        <v>Yes</v>
      </c>
      <c r="AO34" s="255" t="str">
        <f>IF(AO33=RawData[[#Headers],[This Track Distance Wins]],"Yes","no")</f>
        <v>Yes</v>
      </c>
      <c r="AP34" s="255" t="str">
        <f>IF(AP33=RawData[[#Headers],[This Track Distance Strike Rate]],"Yes","no")</f>
        <v>Yes</v>
      </c>
      <c r="AQ34" s="255" t="str">
        <f>IF(AQ33=RawData[[#Headers],[This Track Distance ROI]],"Yes","no")</f>
        <v>Yes</v>
      </c>
      <c r="AR34" s="255" t="str">
        <f>IF(AR33=RawData[[#Headers],[This Track Distance Places]],"Yes","no")</f>
        <v>Yes</v>
      </c>
      <c r="AS34" s="255" t="str">
        <f>IF(AS33=RawData[[#Headers],[This Track Distance Place Strike Rate]],"Yes","no")</f>
        <v>Yes</v>
      </c>
      <c r="AT34" s="255" t="str">
        <f>IF(AT33=RawData[[#Headers],[This Condition Runs]],"Yes","no")</f>
        <v>Yes</v>
      </c>
      <c r="AU34" s="255" t="str">
        <f>IF(AU33=RawData[[#Headers],[This Condition Wins]],"Yes","no")</f>
        <v>Yes</v>
      </c>
      <c r="AV34" s="255" t="str">
        <f>IF(AV33=RawData[[#Headers],[This Condition Strike Rate]],"Yes","no")</f>
        <v>Yes</v>
      </c>
      <c r="AW34" s="255" t="str">
        <f>IF(AW33=RawData[[#Headers],[This Condition ROI]],"Yes","no")</f>
        <v>Yes</v>
      </c>
      <c r="AX34" s="255" t="str">
        <f>IF(AX33=RawData[[#Headers],[This Condition Places]],"Yes","no")</f>
        <v>Yes</v>
      </c>
      <c r="AY34" s="255" t="str">
        <f>IF(AY33=RawData[[#Headers],[This Condition Place Strike Rate]],"Yes","no")</f>
        <v>Yes</v>
      </c>
      <c r="AZ34" s="255" t="str">
        <f>IF(AZ33=RawData[[#Headers],[Jockey]],"Yes","no")</f>
        <v>Yes</v>
      </c>
      <c r="BA34" s="255" t="str">
        <f>IF(BA33=RawData[[#Headers],[Apprentice]],"Yes","no")</f>
        <v>Yes</v>
      </c>
      <c r="BB34" s="255" t="str">
        <f>IF(BB33=RawData[[#Headers],[Jockey Weight Claim]],"Yes","no")</f>
        <v>Yes</v>
      </c>
      <c r="BC34" s="255" t="str">
        <f>IF(BC33=RawData[[#Headers],[Jockey Last 100 Horse Earnings]],"Yes","no")</f>
        <v>Yes</v>
      </c>
      <c r="BD34" s="255" t="str">
        <f>IF(BD33=RawData[[#Headers],[Jockey Last 100 Avg Horse Earnings]],"Yes","no")</f>
        <v>Yes</v>
      </c>
      <c r="BE34" s="255" t="str">
        <f>IF(BE33=RawData[[#Headers],[Jockey Last 100 Starts]],"Yes","no")</f>
        <v>Yes</v>
      </c>
      <c r="BF34" s="255" t="str">
        <f>IF(BF33=RawData[[#Headers],[Jockey Last 100 Wins]],"Yes","no")</f>
        <v>Yes</v>
      </c>
      <c r="BG34" s="255" t="str">
        <f>IF(BG33=RawData[[#Headers],[Jockey Last 100 Strike Rate]],"Yes","no")</f>
        <v>Yes</v>
      </c>
      <c r="BH34" s="255" t="str">
        <f>IF(BH33=RawData[[#Headers],[Jockey Last 100 ROI]],"Yes","no")</f>
        <v>Yes</v>
      </c>
      <c r="BI34" s="255" t="str">
        <f>IF(BI33=RawData[[#Headers],[Jockey Last 100 Places]],"Yes","no")</f>
        <v>Yes</v>
      </c>
      <c r="BJ34" s="255" t="str">
        <f>IF(BJ33=RawData[[#Headers],[Jockey Last 100 Place Strike Rate]],"Yes","no")</f>
        <v>Yes</v>
      </c>
      <c r="BK34" s="255" t="str">
        <f>IF(BK33=RawData[[#Headers],[Jockey 12 Month Horse Earnings]],"Yes","no")</f>
        <v>Yes</v>
      </c>
      <c r="BL34" s="255" t="str">
        <f>IF(BL33=RawData[[#Headers],[Jockey 12 Month Avg Horse Earnings]],"Yes","no")</f>
        <v>Yes</v>
      </c>
      <c r="BM34" s="255" t="str">
        <f>IF(BM33=RawData[[#Headers],[Jockey 12 Months Starts]],"Yes","no")</f>
        <v>Yes</v>
      </c>
      <c r="BN34" s="255" t="str">
        <f>IF(BN33=RawData[[#Headers],[Jockey 12 Months Wins]],"Yes","no")</f>
        <v>Yes</v>
      </c>
      <c r="BO34" s="255" t="str">
        <f>IF(BO33=RawData[[#Headers],[Jockey 12 Months Strike Rate]],"Yes","no")</f>
        <v>Yes</v>
      </c>
      <c r="BP34" s="255" t="str">
        <f>IF(BP33=RawData[[#Headers],[Jockey 12 Months ROI]],"Yes","no")</f>
        <v>Yes</v>
      </c>
      <c r="BQ34" s="255" t="str">
        <f>IF(BQ33=RawData[[#Headers],[Jockey 12 Months Places]],"Yes","no")</f>
        <v>Yes</v>
      </c>
      <c r="BR34" s="255" t="str">
        <f>IF(BR33=RawData[[#Headers],[Jockey 12 Months Place Strike Rate]],"Yes","no")</f>
        <v>Yes</v>
      </c>
      <c r="BS34" s="255" t="str">
        <f>IF(BS33=RawData[[#Headers],[Jockey This Season Horse Earnings]],"Yes","no")</f>
        <v>Yes</v>
      </c>
      <c r="BT34" s="255" t="str">
        <f>IF(BT33=RawData[[#Headers],[Jockey This Season Avg Horse Earnings]],"Yes","no")</f>
        <v>Yes</v>
      </c>
      <c r="BU34" s="255" t="str">
        <f>IF(BU33=RawData[[#Headers],[Jockey This Season Starts]],"Yes","no")</f>
        <v>Yes</v>
      </c>
      <c r="BV34" s="255" t="str">
        <f>IF(BV33=RawData[[#Headers],[Jockey This Season Wins]],"Yes","no")</f>
        <v>Yes</v>
      </c>
      <c r="BW34" s="255" t="str">
        <f>IF(BW33=RawData[[#Headers],[Jockey This Season Strike Rate]],"Yes","no")</f>
        <v>Yes</v>
      </c>
      <c r="BX34" s="255" t="str">
        <f>IF(BX33=RawData[[#Headers],[Jockey This Season ROI]],"Yes","no")</f>
        <v>Yes</v>
      </c>
      <c r="BY34" s="255" t="str">
        <f>IF(BY33=RawData[[#Headers],[Jockey This Season Places]],"Yes","no")</f>
        <v>Yes</v>
      </c>
      <c r="BZ34" s="255" t="str">
        <f>IF(BZ33=RawData[[#Headers],[Jockey This Season Place Strike Rate]],"Yes","no")</f>
        <v>Yes</v>
      </c>
      <c r="CA34" s="255" t="str">
        <f>IF(CA33=RawData[[#Headers],[Jockey Last Season Horse Earnings]],"Yes","no")</f>
        <v>Yes</v>
      </c>
      <c r="CB34" s="255" t="str">
        <f>IF(CB33=RawData[[#Headers],[Jockey Last Season Avg Horse Earnings]],"Yes","no")</f>
        <v>Yes</v>
      </c>
      <c r="CC34" s="255" t="str">
        <f>IF(CC33=RawData[[#Headers],[Jockey Last Season Starts]],"Yes","no")</f>
        <v>Yes</v>
      </c>
      <c r="CD34" s="255" t="str">
        <f>IF(CD33=RawData[[#Headers],[Jockey Last Season Wins]],"Yes","no")</f>
        <v>Yes</v>
      </c>
      <c r="CE34" s="255" t="str">
        <f>IF(CE33=RawData[[#Headers],[Jockey Last Season Strike Rate]],"Yes","no")</f>
        <v>Yes</v>
      </c>
      <c r="CF34" s="255" t="str">
        <f>IF(CF33=RawData[[#Headers],[Jockey Last Season ROI]],"Yes","no")</f>
        <v>Yes</v>
      </c>
      <c r="CG34" s="255" t="str">
        <f>IF(CG33=RawData[[#Headers],[Jockey Last Season Places]],"Yes","no")</f>
        <v>Yes</v>
      </c>
      <c r="CH34" s="255" t="str">
        <f>IF(CH33=RawData[[#Headers],[Jockey Last Season Place Strike Rate]],"Yes","no")</f>
        <v>Yes</v>
      </c>
      <c r="CI34" s="255" t="str">
        <f>IF(CI33=RawData[[#Headers],[Trainer]],"Yes","no")</f>
        <v>Yes</v>
      </c>
      <c r="CJ34" s="255" t="str">
        <f>IF(CJ33=RawData[[#Headers],[Trainer Last 100 Horse Earnings]],"Yes","no")</f>
        <v>Yes</v>
      </c>
      <c r="CK34" s="255" t="str">
        <f>IF(CK33=RawData[[#Headers],[Trainer Last 100 Avg Horse Earnings]],"Yes","no")</f>
        <v>Yes</v>
      </c>
      <c r="CL34" s="255" t="str">
        <f>IF(CL33=RawData[[#Headers],[Trainer Last 100 Starts]],"Yes","no")</f>
        <v>Yes</v>
      </c>
      <c r="CM34" s="255" t="str">
        <f>IF(CM33=RawData[[#Headers],[Trainer Last 100 Wins]],"Yes","no")</f>
        <v>Yes</v>
      </c>
      <c r="CN34" s="255" t="str">
        <f>IF(CN33=RawData[[#Headers],[Trainer Last 100 Strike Rate]],"Yes","no")</f>
        <v>Yes</v>
      </c>
      <c r="CO34" s="255" t="str">
        <f>IF(CO33=RawData[[#Headers],[Trainer Last 100 ROI]],"Yes","no")</f>
        <v>Yes</v>
      </c>
      <c r="CP34" s="255" t="str">
        <f>IF(CP33=RawData[[#Headers],[Trainer Last 100 Places]],"Yes","no")</f>
        <v>Yes</v>
      </c>
      <c r="CQ34" s="255" t="str">
        <f>IF(CQ33=RawData[[#Headers],[Trainer Last 100 Place Strike Rate]],"Yes","no")</f>
        <v>Yes</v>
      </c>
      <c r="CR34" s="255" t="str">
        <f>IF(CR33=RawData[[#Headers],[Trainer 12 Month Horse Earnings]],"Yes","no")</f>
        <v>Yes</v>
      </c>
      <c r="CS34" s="255" t="str">
        <f>IF(CS33=RawData[[#Headers],[Trainer 12 Month Avg Horse Earnings]],"Yes","no")</f>
        <v>Yes</v>
      </c>
      <c r="CT34" s="255" t="str">
        <f>IF(CT33=RawData[[#Headers],[Trainer 12 Months Starts]],"Yes","no")</f>
        <v>Yes</v>
      </c>
      <c r="CU34" s="255" t="str">
        <f>IF(CU33=RawData[[#Headers],[Trainer 12 Months Wins]],"Yes","no")</f>
        <v>Yes</v>
      </c>
      <c r="CV34" s="255" t="str">
        <f>IF(CV33=RawData[[#Headers],[Trainer 12 Months Strike Rate]],"Yes","no")</f>
        <v>Yes</v>
      </c>
      <c r="CW34" s="255" t="str">
        <f>IF(CW33=RawData[[#Headers],[Trainer 12 Months ROI]],"Yes","no")</f>
        <v>Yes</v>
      </c>
      <c r="CX34" s="255" t="str">
        <f>IF(CX33=RawData[[#Headers],[Trainer 12 Months Places]],"Yes","no")</f>
        <v>Yes</v>
      </c>
      <c r="CY34" s="255" t="str">
        <f>IF(CY33=RawData[[#Headers],[Trainer 12 Months Place Strike Rate]],"Yes","no")</f>
        <v>Yes</v>
      </c>
      <c r="CZ34" s="255" t="str">
        <f>IF(CZ33=RawData[[#Headers],[Trainer This Season Horse Earnings]],"Yes","no")</f>
        <v>Yes</v>
      </c>
      <c r="DA34" s="255" t="str">
        <f>IF(DA33=RawData[[#Headers],[Trainer This Season Avg Horse Earnings]],"Yes","no")</f>
        <v>Yes</v>
      </c>
      <c r="DB34" s="255" t="str">
        <f>IF(DB33=RawData[[#Headers],[Trainer This Season Starts]],"Yes","no")</f>
        <v>Yes</v>
      </c>
      <c r="DC34" s="255" t="str">
        <f>IF(DC33=RawData[[#Headers],[Trainer This Season Wins]],"Yes","no")</f>
        <v>Yes</v>
      </c>
      <c r="DD34" s="255" t="str">
        <f>IF(DD33=RawData[[#Headers],[Trainer This Season Strike Rate]],"Yes","no")</f>
        <v>Yes</v>
      </c>
      <c r="DE34" s="255" t="str">
        <f>IF(DE33=RawData[[#Headers],[Trainer This Season ROI]],"Yes","no")</f>
        <v>Yes</v>
      </c>
      <c r="DF34" s="255" t="str">
        <f>IF(DF33=RawData[[#Headers],[Trainer This Season Places]],"Yes","no")</f>
        <v>Yes</v>
      </c>
      <c r="DG34" s="255" t="str">
        <f>IF(DG33=RawData[[#Headers],[Trainer This Season Place Strike Rate]],"Yes","no")</f>
        <v>Yes</v>
      </c>
      <c r="DH34" s="255" t="str">
        <f>IF(DH33=RawData[[#Headers],[Trainer Last Season Horse Earnings]],"Yes","no")</f>
        <v>Yes</v>
      </c>
      <c r="DI34" s="255" t="str">
        <f>IF(DI33=RawData[[#Headers],[Trainer Last Season Avg Horse Earnings]],"Yes","no")</f>
        <v>Yes</v>
      </c>
      <c r="DJ34" s="255" t="str">
        <f>IF(DJ33=RawData[[#Headers],[Trainer Last Season Starts]],"Yes","no")</f>
        <v>Yes</v>
      </c>
      <c r="DK34" s="255" t="str">
        <f>IF(DK33=RawData[[#Headers],[Trainer Last Season Wins]],"Yes","no")</f>
        <v>Yes</v>
      </c>
      <c r="DL34" s="255" t="str">
        <f>IF(DL33=RawData[[#Headers],[Trainer Last Season Strike Rate]],"Yes","no")</f>
        <v>Yes</v>
      </c>
      <c r="DM34" s="255" t="str">
        <f>IF(DM33=RawData[[#Headers],[Trainer Last Season ROI]],"Yes","no")</f>
        <v>Yes</v>
      </c>
      <c r="DN34" s="255" t="str">
        <f>IF(DN33=RawData[[#Headers],[Trainer Last Season Places]],"Yes","no")</f>
        <v>Yes</v>
      </c>
      <c r="DO34" s="255" t="str">
        <f>IF(DO33=RawData[[#Headers],[Trainer Last Season Place Strike Rate]],"Yes","no")</f>
        <v>Yes</v>
      </c>
      <c r="DP34" s="255" t="str">
        <f>IF(DP33=RawData[[#Headers],[Last Start Finish Position]],"Yes","no")</f>
        <v>Yes</v>
      </c>
      <c r="DQ34" s="255" t="str">
        <f>IF(DQ33=RawData[[#Headers],[Last Start Margin]],"Yes","no")</f>
        <v>Yes</v>
      </c>
      <c r="DR34" s="255" t="str">
        <f>IF(DR33=RawData[[#Headers],[Last Start Distance]],"Yes","no")</f>
        <v>Yes</v>
      </c>
      <c r="DS34" s="255" t="str">
        <f>IF(DS33=RawData[[#Headers],[Last Start Distance Change]],"Yes","no")</f>
        <v>Yes</v>
      </c>
      <c r="DT34" s="255" t="str">
        <f>IF(DT33=RawData[[#Headers],[Last Start Prize Money]],"Yes","no")</f>
        <v>Yes</v>
      </c>
      <c r="DU34" s="255" t="str">
        <f>IF(DU33=RawData[[#Headers],[Column1]],"Yes","no")</f>
        <v>no</v>
      </c>
      <c r="DV34" s="255" t="str">
        <f>IF(DV33=RawData[[#Headers],[Column2]],"Yes","no")</f>
        <v>no</v>
      </c>
      <c r="DW34" s="255" t="str">
        <f>IF(DW33=RawData[[#Headers],[Column3]],"Yes","no")</f>
        <v>no</v>
      </c>
      <c r="DX34" s="255" t="str">
        <f>IF(DX33=RawData[[#Headers],[Column4]],"Yes","no")</f>
        <v>no</v>
      </c>
      <c r="DY34" s="255" t="str">
        <f>IF(DY33=RawData[[#Headers],[Finish Result (Updates after race)2]],"Yes","no")</f>
        <v>no</v>
      </c>
      <c r="DZ34" s="255" t="s">
        <v>197</v>
      </c>
      <c r="EA34" s="255">
        <f>AVERAGE($EA$3:$EA$32)</f>
        <v>4.5</v>
      </c>
      <c r="EC34" s="312" t="s">
        <v>197</v>
      </c>
      <c r="ED34" s="312">
        <f>AVERAGE(ED$3:ED$32)</f>
        <v>0.14573750000000002</v>
      </c>
      <c r="EE34" s="276"/>
      <c r="EF34" s="276"/>
      <c r="EG34" s="312" t="s">
        <v>197</v>
      </c>
      <c r="EH34" s="312">
        <f>AVERAGE(EH$3:EH$32)</f>
        <v>5.25</v>
      </c>
      <c r="EI34" s="312">
        <f t="shared" ref="EI34:EL34" si="18">AVERAGE(EI$3:EI$32)</f>
        <v>4.25</v>
      </c>
      <c r="EJ34" s="312">
        <f t="shared" si="18"/>
        <v>7.375</v>
      </c>
      <c r="EK34" s="312">
        <f t="shared" si="18"/>
        <v>0.15711534488014006</v>
      </c>
      <c r="EL34" s="312">
        <f t="shared" si="18"/>
        <v>52.25</v>
      </c>
      <c r="EM34" s="312" t="s">
        <v>197</v>
      </c>
      <c r="EN34" s="312">
        <f>AVERAGE(EN$3:EN$32)</f>
        <v>6.8718750000000002</v>
      </c>
      <c r="EO34" s="312" t="s">
        <v>197</v>
      </c>
      <c r="EP34" s="312">
        <f>AVERAGE(EP$3:EP$32)</f>
        <v>8.25</v>
      </c>
      <c r="EQ34" s="312" t="s">
        <v>197</v>
      </c>
      <c r="ER34" s="312">
        <f>AVERAGE(ER$3:ER$32)</f>
        <v>57.663541666666674</v>
      </c>
      <c r="ES34" s="312" t="s">
        <v>197</v>
      </c>
      <c r="ET34" s="312">
        <f>AVERAGE(ET$3:ET$32)</f>
        <v>5.4135416666666671</v>
      </c>
      <c r="EU34" s="312"/>
      <c r="EV34" s="276"/>
      <c r="EW34" s="312">
        <f>AVERAGE(EW$3:EW$32)</f>
        <v>5.6635416666666671</v>
      </c>
    </row>
    <row r="35" spans="1:154" x14ac:dyDescent="0.3">
      <c r="DZ35" s="255" t="s">
        <v>28</v>
      </c>
      <c r="EA35" s="255">
        <f>MEDIAN($EA$3:$EA$32)</f>
        <v>4.5</v>
      </c>
      <c r="EC35" s="312" t="s">
        <v>28</v>
      </c>
      <c r="ED35" s="312">
        <f>MEDIAN(ED$3:ED$32)</f>
        <v>0.14585000000000001</v>
      </c>
      <c r="EE35" s="276"/>
      <c r="EF35" s="276"/>
      <c r="EG35" s="312" t="s">
        <v>28</v>
      </c>
      <c r="EH35" s="312">
        <f>MEDIAN(EH$3:EH$32)</f>
        <v>5.5</v>
      </c>
      <c r="EI35" s="312">
        <f t="shared" ref="EI35:EL35" si="19">MEDIAN(EI$3:EI$32)</f>
        <v>4</v>
      </c>
      <c r="EJ35" s="312">
        <f t="shared" si="19"/>
        <v>7</v>
      </c>
      <c r="EK35" s="312">
        <f t="shared" si="19"/>
        <v>0.14588859416445624</v>
      </c>
      <c r="EL35" s="312">
        <f t="shared" si="19"/>
        <v>57.5</v>
      </c>
      <c r="EM35" s="312" t="s">
        <v>28</v>
      </c>
      <c r="EN35" s="312">
        <f>MEDIAN(EN$3:EN$32)</f>
        <v>6.875</v>
      </c>
      <c r="EO35" s="312" t="s">
        <v>28</v>
      </c>
      <c r="EP35" s="312">
        <f>MEDIAN(EP$3:EP$32)</f>
        <v>8</v>
      </c>
      <c r="EQ35" s="312" t="s">
        <v>28</v>
      </c>
      <c r="ER35" s="312">
        <f>MEDIAN(ER$3:ER$32)</f>
        <v>64.708333333333343</v>
      </c>
      <c r="ES35" s="312" t="s">
        <v>28</v>
      </c>
      <c r="ET35" s="312">
        <f>MEDIAN(ET$3:ET$32)</f>
        <v>5.875</v>
      </c>
      <c r="EU35" s="312"/>
      <c r="EV35" s="276"/>
      <c r="EW35" s="312">
        <f>MEDIAN(EW$3:EW$32)</f>
        <v>5.875</v>
      </c>
    </row>
    <row r="36" spans="1:154" x14ac:dyDescent="0.3">
      <c r="CF36" s="255" t="s">
        <v>394</v>
      </c>
      <c r="EC36" s="312" t="s">
        <v>25</v>
      </c>
      <c r="ED36" s="312">
        <f>STDEV(ED$3:ED$32)</f>
        <v>2.8046030404115404E-2</v>
      </c>
      <c r="EE36" s="276"/>
      <c r="EF36" s="276"/>
      <c r="EG36" s="312" t="s">
        <v>25</v>
      </c>
      <c r="EH36" s="312">
        <f>STDEV(EH$3:EH$32)</f>
        <v>2.712405363721075</v>
      </c>
      <c r="EI36" s="312">
        <f t="shared" ref="EI36:EL36" si="20">STDEV(EI$3:EI$32)</f>
        <v>2.6049403612586386</v>
      </c>
      <c r="EJ36" s="312">
        <f t="shared" si="20"/>
        <v>2.7742437837054932</v>
      </c>
      <c r="EK36" s="312">
        <f t="shared" si="20"/>
        <v>5.2503943537926E-2</v>
      </c>
      <c r="EL36" s="312">
        <f t="shared" si="20"/>
        <v>19.703154207240164</v>
      </c>
      <c r="EM36" s="312" t="s">
        <v>25</v>
      </c>
      <c r="EN36" s="312">
        <f>STDEV(EN$3:EN$32)</f>
        <v>1.8260077533998016</v>
      </c>
      <c r="EO36" s="312" t="s">
        <v>25</v>
      </c>
      <c r="EP36" s="312">
        <f>STDEV(EP$3:EP$32)</f>
        <v>3.0118812346154309</v>
      </c>
      <c r="EQ36" s="312" t="s">
        <v>25</v>
      </c>
      <c r="ER36" s="312">
        <f>STDEV(ER$3:ER$32)</f>
        <v>22.024190316045225</v>
      </c>
      <c r="ES36" s="312" t="s">
        <v>25</v>
      </c>
      <c r="ET36" s="312">
        <f>STDEV(ET$3:ET$32)</f>
        <v>2.8935613303711136</v>
      </c>
      <c r="EU36" s="312"/>
      <c r="EV36" s="276"/>
      <c r="EW36" s="312">
        <f>STDEV(EW$3:EW$32)</f>
        <v>2.2820640263231224</v>
      </c>
    </row>
    <row r="37" spans="1:154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0.1091</v>
      </c>
      <c r="EE37" s="276"/>
      <c r="EF37" s="276"/>
      <c r="EG37" s="312" t="s">
        <v>191</v>
      </c>
      <c r="EH37" s="312">
        <f>EH34-EH36</f>
        <v>2.537594636278925</v>
      </c>
      <c r="EI37" s="312"/>
      <c r="EJ37" s="312"/>
      <c r="EK37" s="312">
        <f>EK$34-EK$36</f>
        <v>0.10461140134221406</v>
      </c>
      <c r="EL37" s="312"/>
      <c r="EM37" s="312" t="s">
        <v>191</v>
      </c>
      <c r="EN37" s="312">
        <f>MIN(EN$3:EN$32)</f>
        <v>3.666666666666667</v>
      </c>
      <c r="EO37" s="312" t="s">
        <v>191</v>
      </c>
      <c r="EP37" s="312">
        <f>MIN(EP$3:EP$32)</f>
        <v>3</v>
      </c>
      <c r="EQ37" s="312" t="s">
        <v>191</v>
      </c>
      <c r="ER37" s="312">
        <f>MIN(ER$3:ER$32)</f>
        <v>11</v>
      </c>
      <c r="ES37" s="312" t="s">
        <v>191</v>
      </c>
      <c r="ET37" s="312">
        <f>ET34-ET36</f>
        <v>2.5199803362955535</v>
      </c>
      <c r="EU37" s="312"/>
      <c r="EV37" s="276"/>
      <c r="EW37" s="312">
        <f>MIN(EW$3:EW$32)</f>
        <v>1</v>
      </c>
    </row>
    <row r="38" spans="1:154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0.16390000000000002</v>
      </c>
      <c r="EE38" s="276"/>
      <c r="EF38" s="276"/>
      <c r="EG38" s="312" t="s">
        <v>214</v>
      </c>
      <c r="EH38" s="312">
        <f>EH34+EH36</f>
        <v>7.962405363721075</v>
      </c>
      <c r="EI38" s="312"/>
      <c r="EJ38" s="312"/>
      <c r="EK38" s="312">
        <f>EK$34+EK$36</f>
        <v>0.20961928841806607</v>
      </c>
      <c r="EL38" s="312"/>
      <c r="EM38" s="312" t="s">
        <v>214</v>
      </c>
      <c r="EN38" s="312">
        <f>MAX(EN$3:EN$32)</f>
        <v>9.1666666666666679</v>
      </c>
      <c r="EO38" s="312" t="s">
        <v>214</v>
      </c>
      <c r="EP38" s="312">
        <f>MAX(EP$3:EP$32)</f>
        <v>13</v>
      </c>
      <c r="EQ38" s="312" t="s">
        <v>214</v>
      </c>
      <c r="ER38" s="312">
        <f>MAX(ER$3:ER$32)</f>
        <v>82.125</v>
      </c>
      <c r="ES38" s="312" t="s">
        <v>214</v>
      </c>
      <c r="ET38" s="312">
        <f>ET34+ET36</f>
        <v>8.3071029970377808</v>
      </c>
      <c r="EU38" s="312"/>
      <c r="EV38" s="276"/>
      <c r="EW38" s="312">
        <f>MAX(EW$3:EW$32)</f>
        <v>8.1666666666666714</v>
      </c>
    </row>
    <row r="39" spans="1:154" x14ac:dyDescent="0.3">
      <c r="EC39" s="312" t="s">
        <v>22</v>
      </c>
      <c r="ED39" s="312">
        <f>KURT(ED$3:ED$32)</f>
        <v>-1.4449775076997713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 t="s">
        <v>23</v>
      </c>
      <c r="ET39" s="276">
        <f>AVERAGE(ET34:ET35)</f>
        <v>5.6442708333333336</v>
      </c>
      <c r="EU39" s="276"/>
      <c r="EV39" s="276" t="s">
        <v>23</v>
      </c>
      <c r="EW39" s="276">
        <f>IF(EW40&gt;0,EW35,AVERAGE(EW34:EW35))</f>
        <v>5.7692708333333336</v>
      </c>
    </row>
    <row r="40" spans="1:154" x14ac:dyDescent="0.3">
      <c r="EC40" s="312" t="s">
        <v>21</v>
      </c>
      <c r="ED40" s="312">
        <f>SKEW(ED$3:ED$32)</f>
        <v>-0.14031047571543606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 t="s">
        <v>21</v>
      </c>
      <c r="ET40" s="312">
        <f>ABS(SKEW(ET$3:ET$32))</f>
        <v>1.7421642867106426</v>
      </c>
      <c r="EU40" s="276">
        <f>IF(ET40&gt;0.5,1,0)</f>
        <v>1</v>
      </c>
      <c r="EV40" s="276" t="s">
        <v>21</v>
      </c>
      <c r="EW40" s="312">
        <f>SKEW(EW$3:EW$32)</f>
        <v>-1.1413849042941218</v>
      </c>
    </row>
    <row r="41" spans="1:154" ht="15.6" x14ac:dyDescent="0.3">
      <c r="EC41" s="357" t="s">
        <v>704</v>
      </c>
      <c r="ED41" s="111">
        <f>(ED39+ED40)^2</f>
        <v>2.5131379903606548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 t="s">
        <v>22</v>
      </c>
      <c r="ET41" s="312">
        <f>KURT(ET$3:ET$32)</f>
        <v>3.9312406001985671</v>
      </c>
      <c r="EU41" s="276">
        <f>IF(ET41&gt;0,1,0)</f>
        <v>1</v>
      </c>
      <c r="EV41" s="276" t="s">
        <v>22</v>
      </c>
      <c r="EW41" s="312">
        <f>KURT(EW$3:EW$32)</f>
        <v>2.061302298365348</v>
      </c>
    </row>
    <row r="42" spans="1:154" x14ac:dyDescent="0.3">
      <c r="EG42" s="255" t="s">
        <v>848</v>
      </c>
      <c r="ES42" s="326" t="s">
        <v>850</v>
      </c>
      <c r="ET42" s="276">
        <f>ET34+(ET40)</f>
        <v>7.1557059533773097</v>
      </c>
      <c r="EU42" s="326" t="s">
        <v>847</v>
      </c>
      <c r="EV42" s="326">
        <f>COUNTIF($EV$3:$EV$32,"NOW")</f>
        <v>3</v>
      </c>
      <c r="EW42" s="276">
        <f>EW34+EW40</f>
        <v>4.5221567623725454</v>
      </c>
    </row>
    <row r="43" spans="1:154" x14ac:dyDescent="0.3">
      <c r="ES43" s="326" t="s">
        <v>849</v>
      </c>
      <c r="ET43" s="276">
        <f>ET34+ABS(ET41)</f>
        <v>9.3447822668652343</v>
      </c>
      <c r="EU43" s="326" t="s">
        <v>847</v>
      </c>
      <c r="EV43" s="276">
        <f>SUM(EU40:EU41)</f>
        <v>2</v>
      </c>
      <c r="EW43" s="276">
        <f>EW34+EW41</f>
        <v>7.7248439650320151</v>
      </c>
    </row>
  </sheetData>
  <phoneticPr fontId="8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040E9-7CDA-4081-A02B-4E243063D6DF}">
  <sheetPr codeName="Sheet10"/>
  <dimension ref="A1:EV41"/>
  <sheetViews>
    <sheetView zoomScale="70" zoomScaleNormal="70" workbookViewId="0">
      <pane xSplit="3" ySplit="4" topLeftCell="DW5" activePane="bottomRight" state="frozen"/>
      <selection pane="topRight" activeCell="D1" sqref="D1"/>
      <selection pane="bottomLeft" activeCell="A5" sqref="A5"/>
      <selection pane="bottomRight" activeCell="DY7" sqref="DY7"/>
    </sheetView>
  </sheetViews>
  <sheetFormatPr defaultColWidth="9.109375" defaultRowHeight="14.4" x14ac:dyDescent="0.3"/>
  <cols>
    <col min="1" max="1" width="10" style="326" bestFit="1" customWidth="1"/>
    <col min="2" max="2" width="22.109375" style="326" bestFit="1" customWidth="1"/>
    <col min="3" max="3" width="9.5546875" style="326" bestFit="1" customWidth="1"/>
    <col min="4" max="4" width="9.5546875" style="326" customWidth="1"/>
    <col min="5" max="5" width="28.33203125" style="326" bestFit="1" customWidth="1"/>
    <col min="6" max="6" width="18.88671875" style="326" bestFit="1" customWidth="1"/>
    <col min="7" max="7" width="18.5546875" style="326" bestFit="1" customWidth="1"/>
    <col min="8" max="8" width="26" style="326" bestFit="1" customWidth="1"/>
    <col min="9" max="9" width="17.33203125" style="326" bestFit="1" customWidth="1"/>
    <col min="10" max="10" width="23.109375" style="326" bestFit="1" customWidth="1"/>
    <col min="11" max="11" width="33.44140625" style="326" bestFit="1" customWidth="1"/>
    <col min="12" max="12" width="22.109375" style="326" bestFit="1" customWidth="1"/>
    <col min="13" max="13" width="21.6640625" style="326" bestFit="1" customWidth="1"/>
    <col min="14" max="14" width="29.109375" style="326" bestFit="1" customWidth="1"/>
    <col min="15" max="15" width="20.5546875" style="326" bestFit="1" customWidth="1"/>
    <col min="16" max="16" width="22.88671875" style="326" bestFit="1" customWidth="1"/>
    <col min="17" max="17" width="22.44140625" style="326" bestFit="1" customWidth="1"/>
    <col min="18" max="18" width="30" style="326" bestFit="1" customWidth="1"/>
    <col min="19" max="19" width="21.109375" style="326" bestFit="1" customWidth="1"/>
    <col min="20" max="20" width="29.109375" style="326" bestFit="1" customWidth="1"/>
    <col min="21" max="21" width="27.33203125" style="326" bestFit="1" customWidth="1"/>
    <col min="22" max="22" width="23.5546875" style="326" bestFit="1" customWidth="1"/>
    <col min="23" max="23" width="22.88671875" style="326" bestFit="1" customWidth="1"/>
    <col min="24" max="24" width="12.88671875" style="326" bestFit="1" customWidth="1"/>
    <col min="25" max="25" width="13.109375" style="326" bestFit="1" customWidth="1"/>
    <col min="26" max="26" width="12.5546875" style="326" bestFit="1" customWidth="1"/>
    <col min="27" max="27" width="12.44140625" style="326" bestFit="1" customWidth="1"/>
    <col min="28" max="29" width="11.44140625" style="326" bestFit="1" customWidth="1"/>
    <col min="30" max="30" width="16.6640625" style="326" bestFit="1" customWidth="1"/>
    <col min="31" max="31" width="16" style="326" bestFit="1" customWidth="1"/>
    <col min="32" max="32" width="12.88671875" style="326" bestFit="1" customWidth="1"/>
    <col min="33" max="33" width="17.44140625" style="326" bestFit="1" customWidth="1"/>
    <col min="34" max="34" width="27.109375" style="326" bestFit="1" customWidth="1"/>
    <col min="35" max="35" width="15" style="326" bestFit="1" customWidth="1"/>
    <col min="36" max="36" width="17.44140625" style="326" bestFit="1" customWidth="1"/>
    <col min="37" max="37" width="15" style="326" bestFit="1" customWidth="1"/>
    <col min="38" max="38" width="29.109375" style="326" bestFit="1" customWidth="1"/>
    <col min="39" max="39" width="41.5546875" style="326" bestFit="1" customWidth="1"/>
    <col min="40" max="40" width="34.33203125" style="326" bestFit="1" customWidth="1"/>
    <col min="41" max="41" width="33.88671875" style="326" bestFit="1" customWidth="1"/>
    <col min="42" max="42" width="17.44140625" style="326" bestFit="1" customWidth="1"/>
    <col min="43" max="44" width="16.6640625" style="326" bestFit="1" customWidth="1"/>
    <col min="45" max="45" width="22.44140625" style="326" bestFit="1" customWidth="1"/>
    <col min="46" max="46" width="27.88671875" style="326" bestFit="1" customWidth="1"/>
    <col min="47" max="47" width="15.88671875" style="326" bestFit="1" customWidth="1"/>
    <col min="48" max="48" width="28.6640625" style="326" bestFit="1" customWidth="1"/>
    <col min="49" max="49" width="21.44140625" style="326" bestFit="1" customWidth="1"/>
    <col min="50" max="50" width="30.109375" style="326" bestFit="1" customWidth="1"/>
    <col min="51" max="51" width="21.44140625" style="326" bestFit="1" customWidth="1"/>
    <col min="52" max="52" width="13" style="326" bestFit="1" customWidth="1"/>
    <col min="53" max="53" width="16" style="326" bestFit="1" customWidth="1"/>
    <col min="54" max="54" width="13" style="326" bestFit="1" customWidth="1"/>
    <col min="55" max="55" width="18.5546875" style="326" bestFit="1" customWidth="1"/>
    <col min="56" max="56" width="21.109375" style="326" bestFit="1" customWidth="1"/>
    <col min="57" max="58" width="14.44140625" style="326" bestFit="1" customWidth="1"/>
    <col min="59" max="59" width="17.44140625" style="326" bestFit="1" customWidth="1"/>
    <col min="60" max="61" width="14.44140625" style="326" bestFit="1" customWidth="1"/>
    <col min="62" max="62" width="18.5546875" style="326" bestFit="1" customWidth="1"/>
    <col min="63" max="63" width="19.109375" style="326" bestFit="1" customWidth="1"/>
    <col min="64" max="64" width="22.109375" style="326" bestFit="1" customWidth="1"/>
    <col min="65" max="65" width="16" style="326" bestFit="1" customWidth="1"/>
    <col min="66" max="66" width="31.44140625" style="326" bestFit="1" customWidth="1"/>
    <col min="67" max="67" width="38.6640625" style="326" bestFit="1" customWidth="1"/>
    <col min="68" max="68" width="30.109375" style="326" bestFit="1" customWidth="1"/>
    <col min="69" max="69" width="33.88671875" style="326" bestFit="1" customWidth="1"/>
    <col min="70" max="70" width="20.5546875" style="326" bestFit="1" customWidth="1"/>
    <col min="71" max="71" width="21" style="326" bestFit="1" customWidth="1"/>
    <col min="72" max="72" width="22.109375" style="326" bestFit="1" customWidth="1"/>
    <col min="73" max="77" width="18.33203125" style="326" bestFit="1" customWidth="1"/>
    <col min="78" max="79" width="21" style="326" bestFit="1" customWidth="1"/>
    <col min="80" max="80" width="22.109375" style="326" bestFit="1" customWidth="1"/>
    <col min="81" max="81" width="29.6640625" style="326" bestFit="1" customWidth="1"/>
    <col min="82" max="82" width="34.33203125" style="326" bestFit="1" customWidth="1"/>
    <col min="83" max="83" width="41.6640625" style="326" bestFit="1" customWidth="1"/>
    <col min="84" max="84" width="33" style="326" bestFit="1" customWidth="1"/>
    <col min="85" max="85" width="36.88671875" style="326" bestFit="1" customWidth="1"/>
    <col min="86" max="86" width="21" style="326" bestFit="1" customWidth="1"/>
    <col min="87" max="87" width="13" style="326" bestFit="1" customWidth="1"/>
    <col min="88" max="88" width="18.5546875" style="326" bestFit="1" customWidth="1"/>
    <col min="89" max="89" width="21.109375" style="326" bestFit="1" customWidth="1"/>
    <col min="90" max="91" width="14.44140625" style="326" bestFit="1" customWidth="1"/>
    <col min="92" max="92" width="17.44140625" style="326" bestFit="1" customWidth="1"/>
    <col min="93" max="94" width="14.44140625" style="326" bestFit="1" customWidth="1"/>
    <col min="95" max="95" width="18.5546875" style="326" bestFit="1" customWidth="1"/>
    <col min="96" max="96" width="19.109375" style="326" bestFit="1" customWidth="1"/>
    <col min="97" max="97" width="22.109375" style="326" bestFit="1" customWidth="1"/>
    <col min="98" max="98" width="16" style="326" bestFit="1" customWidth="1"/>
    <col min="99" max="99" width="31.44140625" style="326" bestFit="1" customWidth="1"/>
    <col min="100" max="100" width="38.6640625" style="326" bestFit="1" customWidth="1"/>
    <col min="101" max="101" width="30.109375" style="326" bestFit="1" customWidth="1"/>
    <col min="102" max="102" width="33.88671875" style="326" bestFit="1" customWidth="1"/>
    <col min="103" max="103" width="20.5546875" style="326" bestFit="1" customWidth="1"/>
    <col min="104" max="104" width="21" style="326" bestFit="1" customWidth="1"/>
    <col min="105" max="105" width="22.109375" style="326" bestFit="1" customWidth="1"/>
    <col min="106" max="110" width="18.33203125" style="326" bestFit="1" customWidth="1"/>
    <col min="111" max="112" width="21" style="326" bestFit="1" customWidth="1"/>
    <col min="113" max="113" width="22.109375" style="326" bestFit="1" customWidth="1"/>
    <col min="114" max="115" width="18.5546875" style="326" bestFit="1" customWidth="1"/>
    <col min="116" max="116" width="41.6640625" style="326" bestFit="1" customWidth="1"/>
    <col min="117" max="117" width="33" style="326" bestFit="1" customWidth="1"/>
    <col min="118" max="118" width="36.88671875" style="326" bestFit="1" customWidth="1"/>
    <col min="119" max="119" width="49.109375" style="326" bestFit="1" customWidth="1"/>
    <col min="120" max="120" width="42.109375" style="326" bestFit="1" customWidth="1"/>
    <col min="121" max="121" width="24.44140625" style="326" bestFit="1" customWidth="1"/>
    <col min="122" max="123" width="27.109375" style="326" bestFit="1" customWidth="1"/>
    <col min="124" max="124" width="31" style="326" bestFit="1" customWidth="1"/>
    <col min="125" max="125" width="136.44140625" style="326" bestFit="1" customWidth="1"/>
    <col min="126" max="126" width="64.5546875" style="326" bestFit="1" customWidth="1"/>
    <col min="127" max="127" width="63.44140625" style="326" bestFit="1" customWidth="1"/>
    <col min="128" max="128" width="59.6640625" style="326" bestFit="1" customWidth="1"/>
    <col min="129" max="129" width="19.109375" style="326" bestFit="1" customWidth="1"/>
    <col min="130" max="131" width="12.33203125" style="326" bestFit="1" customWidth="1"/>
    <col min="132" max="132" width="2.88671875" style="326" customWidth="1"/>
    <col min="133" max="134" width="16.109375" style="326" customWidth="1"/>
    <col min="135" max="137" width="9.109375" style="326"/>
    <col min="138" max="141" width="12.33203125" style="326" customWidth="1"/>
    <col min="142" max="142" width="14.33203125" style="326" customWidth="1"/>
    <col min="143" max="143" width="9.109375" style="326"/>
    <col min="144" max="144" width="13" style="326" customWidth="1"/>
    <col min="145" max="145" width="9.109375" style="326"/>
    <col min="146" max="146" width="13" style="326" customWidth="1"/>
    <col min="147" max="147" width="9.109375" style="326"/>
    <col min="148" max="148" width="13.5546875" style="326" customWidth="1"/>
    <col min="149" max="149" width="9.109375" style="326"/>
    <col min="150" max="152" width="11.109375" style="326" customWidth="1"/>
    <col min="153" max="16384" width="9.109375" style="326"/>
  </cols>
  <sheetData>
    <row r="1" spans="1:15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</row>
    <row r="2" spans="1:152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39</v>
      </c>
      <c r="EK2" s="339" t="s">
        <v>700</v>
      </c>
      <c r="EL2" s="339" t="s">
        <v>683</v>
      </c>
      <c r="EN2" s="339" t="s">
        <v>684</v>
      </c>
      <c r="EP2" s="339" t="s">
        <v>707</v>
      </c>
      <c r="ER2" s="339" t="s">
        <v>743</v>
      </c>
      <c r="ET2" s="339" t="s">
        <v>685</v>
      </c>
      <c r="EU2" s="339" t="s">
        <v>602</v>
      </c>
      <c r="EV2" s="339" t="s">
        <v>686</v>
      </c>
    </row>
    <row r="3" spans="1:152" x14ac:dyDescent="0.3">
      <c r="A3" s="261">
        <v>1</v>
      </c>
      <c r="B3" s="262" t="s">
        <v>492</v>
      </c>
      <c r="C3" s="262">
        <v>7</v>
      </c>
      <c r="D3" s="262" t="s">
        <v>387</v>
      </c>
      <c r="E3" s="262">
        <v>68</v>
      </c>
      <c r="F3" s="262">
        <v>45</v>
      </c>
      <c r="G3" s="262">
        <v>6</v>
      </c>
      <c r="H3" s="262">
        <v>13.33</v>
      </c>
      <c r="I3" s="262">
        <v>5</v>
      </c>
      <c r="J3" s="262">
        <v>18</v>
      </c>
      <c r="K3" s="262">
        <v>40</v>
      </c>
      <c r="L3" s="262">
        <v>34</v>
      </c>
      <c r="M3" s="262">
        <v>4</v>
      </c>
      <c r="N3" s="262">
        <v>11.76</v>
      </c>
      <c r="O3" s="262">
        <v>-5</v>
      </c>
      <c r="P3" s="262">
        <v>11</v>
      </c>
      <c r="Q3" s="262">
        <v>2</v>
      </c>
      <c r="R3" s="263">
        <v>18.18</v>
      </c>
      <c r="S3" s="262">
        <v>38</v>
      </c>
      <c r="T3" s="262">
        <v>1887</v>
      </c>
      <c r="U3" s="262">
        <v>84925</v>
      </c>
      <c r="V3" s="262">
        <v>21</v>
      </c>
      <c r="W3" s="262">
        <v>20</v>
      </c>
      <c r="X3" s="262">
        <v>60.5</v>
      </c>
      <c r="Y3" s="262">
        <v>60.5</v>
      </c>
      <c r="Z3" s="262">
        <v>7</v>
      </c>
      <c r="AA3" s="262">
        <v>14000</v>
      </c>
      <c r="AB3" s="262">
        <v>5</v>
      </c>
      <c r="AC3" s="262">
        <v>1</v>
      </c>
      <c r="AD3" s="262">
        <v>20</v>
      </c>
      <c r="AE3" s="262">
        <v>-16</v>
      </c>
      <c r="AF3" s="262">
        <v>4</v>
      </c>
      <c r="AG3" s="262">
        <v>80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10</v>
      </c>
      <c r="AU3" s="262">
        <v>2</v>
      </c>
      <c r="AV3" s="262">
        <v>20</v>
      </c>
      <c r="AW3" s="262">
        <v>52</v>
      </c>
      <c r="AX3" s="262">
        <v>5</v>
      </c>
      <c r="AY3" s="262">
        <v>50</v>
      </c>
      <c r="AZ3" s="262" t="s">
        <v>493</v>
      </c>
      <c r="BA3" s="262" t="s">
        <v>388</v>
      </c>
      <c r="BB3" s="262"/>
      <c r="BC3" s="262">
        <v>232765</v>
      </c>
      <c r="BD3" s="262">
        <v>2328</v>
      </c>
      <c r="BE3" s="262">
        <v>100</v>
      </c>
      <c r="BF3" s="262">
        <v>11</v>
      </c>
      <c r="BG3" s="262">
        <v>11</v>
      </c>
      <c r="BH3" s="262">
        <v>-7</v>
      </c>
      <c r="BI3" s="262">
        <v>30</v>
      </c>
      <c r="BJ3" s="262">
        <v>30</v>
      </c>
      <c r="BK3" s="262">
        <v>823425</v>
      </c>
      <c r="BL3" s="262">
        <v>2973</v>
      </c>
      <c r="BM3" s="262">
        <v>277</v>
      </c>
      <c r="BN3" s="262">
        <v>30</v>
      </c>
      <c r="BO3" s="262">
        <v>10.83</v>
      </c>
      <c r="BP3" s="262">
        <v>-28</v>
      </c>
      <c r="BQ3" s="262">
        <v>88</v>
      </c>
      <c r="BR3" s="262">
        <v>31.77</v>
      </c>
      <c r="BS3" s="262">
        <v>823425</v>
      </c>
      <c r="BT3" s="262">
        <v>2973</v>
      </c>
      <c r="BU3" s="262">
        <v>277</v>
      </c>
      <c r="BV3" s="262">
        <v>30</v>
      </c>
      <c r="BW3" s="262">
        <v>10.83</v>
      </c>
      <c r="BX3" s="262">
        <v>-28</v>
      </c>
      <c r="BY3" s="262">
        <v>88</v>
      </c>
      <c r="BZ3" s="262">
        <v>31.77</v>
      </c>
      <c r="CA3" s="262">
        <v>487925</v>
      </c>
      <c r="CB3" s="262">
        <v>3275</v>
      </c>
      <c r="CC3" s="262">
        <v>149</v>
      </c>
      <c r="CD3" s="262">
        <v>15</v>
      </c>
      <c r="CE3" s="262">
        <v>10.07</v>
      </c>
      <c r="CF3" s="262">
        <v>-6</v>
      </c>
      <c r="CG3" s="262">
        <v>52</v>
      </c>
      <c r="CH3" s="262">
        <v>34.9</v>
      </c>
      <c r="CI3" s="262" t="s">
        <v>494</v>
      </c>
      <c r="CJ3" s="262">
        <v>125775</v>
      </c>
      <c r="CK3" s="262">
        <v>1258</v>
      </c>
      <c r="CL3" s="262">
        <v>100</v>
      </c>
      <c r="CM3" s="262">
        <v>11</v>
      </c>
      <c r="CN3" s="262">
        <v>11</v>
      </c>
      <c r="CO3" s="262">
        <v>-17</v>
      </c>
      <c r="CP3" s="262">
        <v>29</v>
      </c>
      <c r="CQ3" s="262">
        <v>29</v>
      </c>
      <c r="CR3" s="262">
        <v>85150</v>
      </c>
      <c r="CS3" s="262">
        <v>1078</v>
      </c>
      <c r="CT3" s="262">
        <v>79</v>
      </c>
      <c r="CU3" s="262">
        <v>9</v>
      </c>
      <c r="CV3" s="262">
        <v>11.39</v>
      </c>
      <c r="CW3" s="262">
        <v>-22</v>
      </c>
      <c r="CX3" s="262">
        <v>21</v>
      </c>
      <c r="CY3" s="262">
        <v>26.58</v>
      </c>
      <c r="CZ3" s="262">
        <v>80350</v>
      </c>
      <c r="DA3" s="262">
        <v>1164</v>
      </c>
      <c r="DB3" s="262">
        <v>69</v>
      </c>
      <c r="DC3" s="262">
        <v>9</v>
      </c>
      <c r="DD3" s="262">
        <v>13.04</v>
      </c>
      <c r="DE3" s="262">
        <v>-11</v>
      </c>
      <c r="DF3" s="262">
        <v>18</v>
      </c>
      <c r="DG3" s="262">
        <v>26.09</v>
      </c>
      <c r="DH3" s="262">
        <v>120110</v>
      </c>
      <c r="DI3" s="262">
        <v>1082</v>
      </c>
      <c r="DJ3" s="262">
        <v>111</v>
      </c>
      <c r="DK3" s="262">
        <v>6</v>
      </c>
      <c r="DL3" s="262">
        <v>5.41</v>
      </c>
      <c r="DM3" s="262">
        <v>-57</v>
      </c>
      <c r="DN3" s="262">
        <v>38</v>
      </c>
      <c r="DO3" s="262">
        <v>34.229999999999997</v>
      </c>
      <c r="DP3" s="262">
        <v>2</v>
      </c>
      <c r="DQ3" s="262">
        <v>1</v>
      </c>
      <c r="DR3" s="262" t="s">
        <v>389</v>
      </c>
      <c r="DS3" s="262">
        <v>330</v>
      </c>
      <c r="DT3" s="264">
        <v>20000</v>
      </c>
      <c r="DU3" s="265" t="s">
        <v>495</v>
      </c>
      <c r="DV3" s="265" t="s">
        <v>496</v>
      </c>
      <c r="DW3" s="265" t="s">
        <v>497</v>
      </c>
      <c r="DX3" s="265" t="s">
        <v>498</v>
      </c>
      <c r="DY3" s="265"/>
      <c r="DZ3" s="265">
        <f t="shared" ref="DZ3:DZ33" si="0">IFERROR(AVERAGE(DP3,DQ3,DS3)^2," ")</f>
        <v>12321</v>
      </c>
      <c r="EA3" s="265">
        <f>IF(RawData7[[#This Row],[Cohesion ROI]]=" "," ",RANK(RawData7[[#This Row],[Cohesion ROI]],$DZ$3:$DZ$32,0))</f>
        <v>2</v>
      </c>
      <c r="EC3" s="354">
        <f>IF(A3="","",VLOOKUP(RawData7[[#This Row],[Num]],$A$3:$DP$30,8,FALSE))</f>
        <v>13.33</v>
      </c>
      <c r="ED3" s="353">
        <f>IFERROR(IF(AND(EC3=0,V3&gt;100),0.4,IF(AND(EC3=0,V3&lt;100),1-(V3/100),(EC3/100)))," ")</f>
        <v>0.1333</v>
      </c>
      <c r="EF3" s="353">
        <f>IFERROR(IF(EC3=0,1,(VLOOKUP(RawData7[[#This Row],[Num]],$A$3:$DP$30,6,FALSE)))," ")</f>
        <v>45</v>
      </c>
      <c r="EH3" s="340">
        <f>IFERROR(VLOOKUP(RawData7[[#This Row],[Num]],$A$3:$DP$30,120,FALSE)," ")</f>
        <v>2</v>
      </c>
      <c r="EI3" s="351">
        <f>IF(AND(RawData7[[#This Row],[Num]]&lt;&gt;"",ED3&gt;$ED$34,EH3&gt;=$EH$38),1,IF(AND(RawData7[[#This Row],[Num]]&lt;&gt;"",ED3&gt;$ED$34,EH3&lt;=$EH$34),1,EH3))</f>
        <v>2</v>
      </c>
      <c r="EJ3" s="340">
        <f>IFERROR(IF(EH3=EI3,VLOOKUP(RawData7[[#This Row],[Num]],$A$3:$DP$30,10,FALSE),IF(EI3&lt;=2,VLOOKUP(RawData7[[#This Row],[Num]],$A$3:$DP$30,10,FALSE)+EI3," "))," ")</f>
        <v>18</v>
      </c>
      <c r="EK3" s="353">
        <f>IFERROR(IF(EJ3=0,ED3,(EJ3/EF3))," ")</f>
        <v>0.4</v>
      </c>
      <c r="EL3" s="353">
        <f>IFERROR(IF(ED3=0,1,(EF3+1))," ")</f>
        <v>46</v>
      </c>
      <c r="EN3" s="353">
        <f>IFERROR((1/ED3)," ")</f>
        <v>7.5018754688672171</v>
      </c>
      <c r="EP3" s="353">
        <f>IF(RawData7[[#This Row],[Num]]&lt;&gt;"",IF(EH3=0,0,IF(AND(EH3&gt;0,EH3&lt;=2),EN3-EN3,EN3-EI3))," ")</f>
        <v>0</v>
      </c>
      <c r="ER3" s="351">
        <f>IFERROR(ROUND(STANDARDIZE(EP3,$EP$34,$EP$36)^2,0)," ")</f>
        <v>1</v>
      </c>
      <c r="ET3" s="353">
        <f>IFERROR(IF(EI3=1,EF3+EI3,EF3+ER3)," ")</f>
        <v>46</v>
      </c>
      <c r="EU3" s="351">
        <f>IFERROR(1/EL3," ")</f>
        <v>2.1739130434782608E-2</v>
      </c>
      <c r="EV3" s="351" t="str">
        <f>IF(AND(A3&gt;0,ET3=EL3),"NOW"," ")</f>
        <v>NOW</v>
      </c>
    </row>
    <row r="4" spans="1:152" x14ac:dyDescent="0.3">
      <c r="A4" s="266">
        <v>2</v>
      </c>
      <c r="B4" s="262" t="s">
        <v>499</v>
      </c>
      <c r="C4" s="262">
        <v>6</v>
      </c>
      <c r="D4" s="262" t="s">
        <v>387</v>
      </c>
      <c r="E4" s="262">
        <v>66</v>
      </c>
      <c r="F4" s="262">
        <v>58</v>
      </c>
      <c r="G4" s="262">
        <v>8</v>
      </c>
      <c r="H4" s="262">
        <v>13.79</v>
      </c>
      <c r="I4" s="262">
        <v>-32</v>
      </c>
      <c r="J4" s="262">
        <v>27</v>
      </c>
      <c r="K4" s="262">
        <v>46.55</v>
      </c>
      <c r="L4" s="262">
        <v>40</v>
      </c>
      <c r="M4" s="262">
        <v>6</v>
      </c>
      <c r="N4" s="262">
        <v>15</v>
      </c>
      <c r="O4" s="262">
        <v>-21</v>
      </c>
      <c r="P4" s="262">
        <v>17</v>
      </c>
      <c r="Q4" s="262">
        <v>1</v>
      </c>
      <c r="R4" s="263">
        <v>5.88</v>
      </c>
      <c r="S4" s="262">
        <v>-65</v>
      </c>
      <c r="T4" s="262">
        <v>2721</v>
      </c>
      <c r="U4" s="262">
        <v>157800</v>
      </c>
      <c r="V4" s="262">
        <v>3.25</v>
      </c>
      <c r="W4" s="262">
        <v>3.1</v>
      </c>
      <c r="X4" s="262">
        <v>59.5</v>
      </c>
      <c r="Y4" s="262">
        <v>58</v>
      </c>
      <c r="Z4" s="262">
        <v>6</v>
      </c>
      <c r="AA4" s="262">
        <v>14000</v>
      </c>
      <c r="AB4" s="262">
        <v>24</v>
      </c>
      <c r="AC4" s="262">
        <v>4</v>
      </c>
      <c r="AD4" s="262">
        <v>16.670000000000002</v>
      </c>
      <c r="AE4" s="262">
        <v>-5</v>
      </c>
      <c r="AF4" s="262">
        <v>13</v>
      </c>
      <c r="AG4" s="262">
        <v>54.17</v>
      </c>
      <c r="AH4" s="262">
        <v>2</v>
      </c>
      <c r="AI4" s="262">
        <v>0</v>
      </c>
      <c r="AJ4" s="262">
        <v>0</v>
      </c>
      <c r="AK4" s="262">
        <v>-100</v>
      </c>
      <c r="AL4" s="262">
        <v>1</v>
      </c>
      <c r="AM4" s="262">
        <v>50</v>
      </c>
      <c r="AN4" s="262">
        <v>1</v>
      </c>
      <c r="AO4" s="262">
        <v>0</v>
      </c>
      <c r="AP4" s="262">
        <v>0</v>
      </c>
      <c r="AQ4" s="262">
        <v>-100</v>
      </c>
      <c r="AR4" s="262">
        <v>0</v>
      </c>
      <c r="AS4" s="262">
        <v>0</v>
      </c>
      <c r="AT4" s="262">
        <v>13</v>
      </c>
      <c r="AU4" s="262">
        <v>1</v>
      </c>
      <c r="AV4" s="262">
        <v>7.69</v>
      </c>
      <c r="AW4" s="262">
        <v>-54</v>
      </c>
      <c r="AX4" s="262">
        <v>7</v>
      </c>
      <c r="AY4" s="262">
        <v>53.85</v>
      </c>
      <c r="AZ4" s="262" t="s">
        <v>500</v>
      </c>
      <c r="BA4" s="262" t="s">
        <v>391</v>
      </c>
      <c r="BB4" s="262">
        <v>1.5</v>
      </c>
      <c r="BC4" s="262">
        <v>153805</v>
      </c>
      <c r="BD4" s="262">
        <v>1538</v>
      </c>
      <c r="BE4" s="262">
        <v>100</v>
      </c>
      <c r="BF4" s="262">
        <v>7</v>
      </c>
      <c r="BG4" s="262">
        <v>7</v>
      </c>
      <c r="BH4" s="262">
        <v>-55</v>
      </c>
      <c r="BI4" s="262">
        <v>35</v>
      </c>
      <c r="BJ4" s="262">
        <v>35</v>
      </c>
      <c r="BK4" s="262">
        <v>304610</v>
      </c>
      <c r="BL4" s="262">
        <v>1360</v>
      </c>
      <c r="BM4" s="262">
        <v>224</v>
      </c>
      <c r="BN4" s="262">
        <v>18</v>
      </c>
      <c r="BO4" s="262">
        <v>8.0399999999999991</v>
      </c>
      <c r="BP4" s="262">
        <v>-50</v>
      </c>
      <c r="BQ4" s="262">
        <v>72</v>
      </c>
      <c r="BR4" s="262">
        <v>32.14</v>
      </c>
      <c r="BS4" s="262">
        <v>244260</v>
      </c>
      <c r="BT4" s="262">
        <v>1313</v>
      </c>
      <c r="BU4" s="262">
        <v>186</v>
      </c>
      <c r="BV4" s="262">
        <v>14</v>
      </c>
      <c r="BW4" s="262">
        <v>7.53</v>
      </c>
      <c r="BX4" s="262">
        <v>-55</v>
      </c>
      <c r="BY4" s="262">
        <v>58</v>
      </c>
      <c r="BZ4" s="262">
        <v>31.18</v>
      </c>
      <c r="CA4" s="262">
        <v>455836</v>
      </c>
      <c r="CB4" s="262">
        <v>2425</v>
      </c>
      <c r="CC4" s="262">
        <v>188</v>
      </c>
      <c r="CD4" s="262">
        <v>34</v>
      </c>
      <c r="CE4" s="262">
        <v>18.09</v>
      </c>
      <c r="CF4" s="262">
        <v>-1</v>
      </c>
      <c r="CG4" s="262">
        <v>77</v>
      </c>
      <c r="CH4" s="262">
        <v>40.96</v>
      </c>
      <c r="CI4" s="262" t="s">
        <v>501</v>
      </c>
      <c r="CJ4" s="262">
        <v>422425</v>
      </c>
      <c r="CK4" s="262">
        <v>4224</v>
      </c>
      <c r="CL4" s="262">
        <v>100</v>
      </c>
      <c r="CM4" s="262">
        <v>11</v>
      </c>
      <c r="CN4" s="262">
        <v>11</v>
      </c>
      <c r="CO4" s="262">
        <v>-58</v>
      </c>
      <c r="CP4" s="262">
        <v>41</v>
      </c>
      <c r="CQ4" s="262">
        <v>41</v>
      </c>
      <c r="CR4" s="262">
        <v>915145</v>
      </c>
      <c r="CS4" s="262">
        <v>3211</v>
      </c>
      <c r="CT4" s="262">
        <v>285</v>
      </c>
      <c r="CU4" s="262">
        <v>41</v>
      </c>
      <c r="CV4" s="262">
        <v>14.39</v>
      </c>
      <c r="CW4" s="262">
        <v>-23</v>
      </c>
      <c r="CX4" s="262">
        <v>111</v>
      </c>
      <c r="CY4" s="262">
        <v>38.950000000000003</v>
      </c>
      <c r="CZ4" s="262">
        <v>841545</v>
      </c>
      <c r="DA4" s="262">
        <v>3313</v>
      </c>
      <c r="DB4" s="262">
        <v>254</v>
      </c>
      <c r="DC4" s="262">
        <v>36</v>
      </c>
      <c r="DD4" s="262">
        <v>14.17</v>
      </c>
      <c r="DE4" s="262">
        <v>-26</v>
      </c>
      <c r="DF4" s="262">
        <v>99</v>
      </c>
      <c r="DG4" s="262">
        <v>38.979999999999997</v>
      </c>
      <c r="DH4" s="262">
        <v>811675</v>
      </c>
      <c r="DI4" s="262">
        <v>2230</v>
      </c>
      <c r="DJ4" s="262">
        <v>364</v>
      </c>
      <c r="DK4" s="262">
        <v>41</v>
      </c>
      <c r="DL4" s="262">
        <v>11.26</v>
      </c>
      <c r="DM4" s="262">
        <v>-22</v>
      </c>
      <c r="DN4" s="262">
        <v>135</v>
      </c>
      <c r="DO4" s="262">
        <v>37.090000000000003</v>
      </c>
      <c r="DP4" s="262">
        <v>6</v>
      </c>
      <c r="DQ4" s="262">
        <v>5.0999999999999996</v>
      </c>
      <c r="DR4" s="262" t="s">
        <v>393</v>
      </c>
      <c r="DS4" s="262">
        <v>430</v>
      </c>
      <c r="DT4" s="264"/>
      <c r="DU4" s="262" t="s">
        <v>495</v>
      </c>
      <c r="DV4" s="262" t="s">
        <v>502</v>
      </c>
      <c r="DW4" s="262" t="s">
        <v>503</v>
      </c>
      <c r="DX4" s="262" t="s">
        <v>504</v>
      </c>
      <c r="DY4" s="262"/>
      <c r="DZ4" s="265">
        <f t="shared" si="0"/>
        <v>21618.801111111112</v>
      </c>
      <c r="EA4" s="265">
        <f>IF(RawData7[[#This Row],[Cohesion ROI]]=" "," ",RANK(RawData7[[#This Row],[Cohesion ROI]],$DZ$3:$DZ$32,0))</f>
        <v>1</v>
      </c>
      <c r="EC4" s="355">
        <f>IF(A4="","",VLOOKUP(RawData7[[#This Row],[Num]],$A$3:$DP$30,8,FALSE))</f>
        <v>13.79</v>
      </c>
      <c r="ED4" s="354">
        <f t="shared" ref="ED4:ED32" si="1">IFERROR(IF(AND(EC4=0,V4&gt;100),0.4,IF(AND(EC4=0,V4&lt;100),1-(V4/100),(EC4/100)))," ")</f>
        <v>0.13789999999999999</v>
      </c>
      <c r="EF4" s="354">
        <f>IFERROR(IF(EC4=0,1,(VLOOKUP(RawData7[[#This Row],[Num]],$A$3:$DP$30,6,FALSE)))," ")</f>
        <v>58</v>
      </c>
      <c r="EH4" s="262">
        <f>IFERROR(VLOOKUP(RawData7[[#This Row],[Num]],$A$3:$DP$30,120,FALSE)," ")</f>
        <v>6</v>
      </c>
      <c r="EI4" s="352">
        <f>IF(AND(RawData7[[#This Row],[Num]]&lt;&gt;"",ED4&gt;$ED$34,EH4&gt;=$EH$38),1,IF(AND(RawData7[[#This Row],[Num]]&lt;&gt;"",ED4&gt;$ED$34,EH4&lt;=$EH$34),1,EH4))</f>
        <v>6</v>
      </c>
      <c r="EJ4" s="262">
        <f>IFERROR(IF(EH4=EI4,VLOOKUP(RawData7[[#This Row],[Num]],$A$3:$DP$30,10,FALSE),IF(EI4&lt;=2,VLOOKUP(RawData7[[#This Row],[Num]],$A$3:$DP$30,10,FALSE)+EI4," "))," ")</f>
        <v>27</v>
      </c>
      <c r="EK4" s="354">
        <f t="shared" ref="EK4:EK32" si="2">IFERROR(IF(EJ4=0,ED4,(EJ4/EF4))," ")</f>
        <v>0.46551724137931033</v>
      </c>
      <c r="EL4" s="354">
        <f t="shared" ref="EL4:EL32" si="3">IFERROR(IF(ED4=0,1,(EF4+1))," ")</f>
        <v>59</v>
      </c>
      <c r="EN4" s="354">
        <f t="shared" ref="EN4:EN32" si="4">IFERROR((1/ED4)," ")</f>
        <v>7.2516316171138513</v>
      </c>
      <c r="EP4" s="354">
        <f>IF(RawData7[[#This Row],[Num]]&lt;&gt;"",IF(EH4=0,0,IF(AND(EH4&gt;0,EH4&lt;=2),EN4-EN4,EN4-EI4))," ")</f>
        <v>1.2516316171138513</v>
      </c>
      <c r="ER4" s="352">
        <f t="shared" ref="ER4:ER32" si="5">IFERROR(ROUND(STANDARDIZE(EP4,$EP$34,$EP$36)^2,0)," ")</f>
        <v>0</v>
      </c>
      <c r="ET4" s="354">
        <f t="shared" ref="ET4:ET32" si="6">IFERROR(IF(EI4=1,EF4+EI4,EF4+ER4)," ")</f>
        <v>58</v>
      </c>
      <c r="EU4" s="352">
        <f t="shared" ref="EU4:EU32" si="7">IFERROR(1/EL4," ")</f>
        <v>1.6949152542372881E-2</v>
      </c>
      <c r="EV4" s="352" t="str">
        <f t="shared" ref="EV4:EV32" si="8">IF(AND(A4&gt;0,ET4=EL4),"NOW"," ")</f>
        <v xml:space="preserve"> </v>
      </c>
    </row>
    <row r="5" spans="1:152" x14ac:dyDescent="0.3">
      <c r="A5" s="266">
        <v>3</v>
      </c>
      <c r="B5" s="262" t="s">
        <v>505</v>
      </c>
      <c r="C5" s="262">
        <v>6</v>
      </c>
      <c r="D5" s="262" t="s">
        <v>387</v>
      </c>
      <c r="E5" s="262">
        <v>64</v>
      </c>
      <c r="F5" s="262">
        <v>55</v>
      </c>
      <c r="G5" s="262">
        <v>6</v>
      </c>
      <c r="H5" s="262">
        <v>10.91</v>
      </c>
      <c r="I5" s="262">
        <v>-20</v>
      </c>
      <c r="J5" s="262">
        <v>23</v>
      </c>
      <c r="K5" s="262">
        <v>41.82</v>
      </c>
      <c r="L5" s="262">
        <v>40</v>
      </c>
      <c r="M5" s="262">
        <v>4</v>
      </c>
      <c r="N5" s="262">
        <v>10</v>
      </c>
      <c r="O5" s="262">
        <v>-49</v>
      </c>
      <c r="P5" s="262">
        <v>15</v>
      </c>
      <c r="Q5" s="262">
        <v>2</v>
      </c>
      <c r="R5" s="263">
        <v>13.33</v>
      </c>
      <c r="S5" s="262">
        <v>60</v>
      </c>
      <c r="T5" s="262">
        <v>1705</v>
      </c>
      <c r="U5" s="262">
        <v>93755</v>
      </c>
      <c r="V5" s="262">
        <v>3</v>
      </c>
      <c r="W5" s="262">
        <v>2.8</v>
      </c>
      <c r="X5" s="262">
        <v>58.5</v>
      </c>
      <c r="Y5" s="262">
        <v>58.5</v>
      </c>
      <c r="Z5" s="262">
        <v>1</v>
      </c>
      <c r="AA5" s="262">
        <v>14000</v>
      </c>
      <c r="AB5" s="262">
        <v>15</v>
      </c>
      <c r="AC5" s="262">
        <v>2</v>
      </c>
      <c r="AD5" s="262">
        <v>13.33</v>
      </c>
      <c r="AE5" s="262">
        <v>60</v>
      </c>
      <c r="AF5" s="262">
        <v>9</v>
      </c>
      <c r="AG5" s="262">
        <v>60</v>
      </c>
      <c r="AH5" s="262">
        <v>3</v>
      </c>
      <c r="AI5" s="262">
        <v>0</v>
      </c>
      <c r="AJ5" s="262">
        <v>0</v>
      </c>
      <c r="AK5" s="262">
        <v>-100</v>
      </c>
      <c r="AL5" s="262">
        <v>2</v>
      </c>
      <c r="AM5" s="262">
        <v>66.67</v>
      </c>
      <c r="AN5" s="262">
        <v>1</v>
      </c>
      <c r="AO5" s="262">
        <v>0</v>
      </c>
      <c r="AP5" s="262">
        <v>0</v>
      </c>
      <c r="AQ5" s="262">
        <v>-100</v>
      </c>
      <c r="AR5" s="262">
        <v>1</v>
      </c>
      <c r="AS5" s="262">
        <v>100</v>
      </c>
      <c r="AT5" s="262">
        <v>14</v>
      </c>
      <c r="AU5" s="262">
        <v>2</v>
      </c>
      <c r="AV5" s="262">
        <v>14.29</v>
      </c>
      <c r="AW5" s="262">
        <v>71</v>
      </c>
      <c r="AX5" s="262">
        <v>7</v>
      </c>
      <c r="AY5" s="262">
        <v>50</v>
      </c>
      <c r="AZ5" s="262" t="s">
        <v>506</v>
      </c>
      <c r="BA5" s="262" t="s">
        <v>388</v>
      </c>
      <c r="BB5" s="262"/>
      <c r="BC5" s="262">
        <v>166550</v>
      </c>
      <c r="BD5" s="262">
        <v>1666</v>
      </c>
      <c r="BE5" s="262">
        <v>100</v>
      </c>
      <c r="BF5" s="262">
        <v>10</v>
      </c>
      <c r="BG5" s="262">
        <v>10</v>
      </c>
      <c r="BH5" s="262">
        <v>7</v>
      </c>
      <c r="BI5" s="262">
        <v>33</v>
      </c>
      <c r="BJ5" s="262">
        <v>33</v>
      </c>
      <c r="BK5" s="262">
        <v>221350</v>
      </c>
      <c r="BL5" s="262">
        <v>1537</v>
      </c>
      <c r="BM5" s="262">
        <v>144</v>
      </c>
      <c r="BN5" s="262">
        <v>13</v>
      </c>
      <c r="BO5" s="262">
        <v>9.0299999999999994</v>
      </c>
      <c r="BP5" s="262">
        <v>-19</v>
      </c>
      <c r="BQ5" s="262">
        <v>49</v>
      </c>
      <c r="BR5" s="262">
        <v>34.03</v>
      </c>
      <c r="BS5" s="262">
        <v>221350</v>
      </c>
      <c r="BT5" s="262">
        <v>1537</v>
      </c>
      <c r="BU5" s="262">
        <v>144</v>
      </c>
      <c r="BV5" s="262">
        <v>13</v>
      </c>
      <c r="BW5" s="262">
        <v>9.0299999999999994</v>
      </c>
      <c r="BX5" s="262">
        <v>-19</v>
      </c>
      <c r="BY5" s="262">
        <v>49</v>
      </c>
      <c r="BZ5" s="262">
        <v>34.03</v>
      </c>
      <c r="CA5" s="262">
        <v>131650</v>
      </c>
      <c r="CB5" s="262">
        <v>1317</v>
      </c>
      <c r="CC5" s="262">
        <v>100</v>
      </c>
      <c r="CD5" s="262">
        <v>9</v>
      </c>
      <c r="CE5" s="262">
        <v>9</v>
      </c>
      <c r="CF5" s="262">
        <v>-55</v>
      </c>
      <c r="CG5" s="262">
        <v>33</v>
      </c>
      <c r="CH5" s="262">
        <v>33</v>
      </c>
      <c r="CI5" s="262" t="s">
        <v>507</v>
      </c>
      <c r="CJ5" s="262">
        <v>260563</v>
      </c>
      <c r="CK5" s="262">
        <v>2606</v>
      </c>
      <c r="CL5" s="262">
        <v>100</v>
      </c>
      <c r="CM5" s="262">
        <v>16</v>
      </c>
      <c r="CN5" s="262">
        <v>16</v>
      </c>
      <c r="CO5" s="262">
        <v>-38</v>
      </c>
      <c r="CP5" s="262">
        <v>39</v>
      </c>
      <c r="CQ5" s="262">
        <v>39</v>
      </c>
      <c r="CR5" s="262">
        <v>165563</v>
      </c>
      <c r="CS5" s="262">
        <v>2471</v>
      </c>
      <c r="CT5" s="262">
        <v>67</v>
      </c>
      <c r="CU5" s="262">
        <v>10</v>
      </c>
      <c r="CV5" s="262">
        <v>14.93</v>
      </c>
      <c r="CW5" s="262">
        <v>-39</v>
      </c>
      <c r="CX5" s="262">
        <v>25</v>
      </c>
      <c r="CY5" s="262">
        <v>37.31</v>
      </c>
      <c r="CZ5" s="262">
        <v>153963</v>
      </c>
      <c r="DA5" s="262">
        <v>2483</v>
      </c>
      <c r="DB5" s="262">
        <v>62</v>
      </c>
      <c r="DC5" s="262">
        <v>9</v>
      </c>
      <c r="DD5" s="262">
        <v>14.52</v>
      </c>
      <c r="DE5" s="262">
        <v>-39</v>
      </c>
      <c r="DF5" s="262">
        <v>24</v>
      </c>
      <c r="DG5" s="262">
        <v>38.71</v>
      </c>
      <c r="DH5" s="262">
        <v>168475</v>
      </c>
      <c r="DI5" s="262">
        <v>2553</v>
      </c>
      <c r="DJ5" s="262">
        <v>66</v>
      </c>
      <c r="DK5" s="262">
        <v>12</v>
      </c>
      <c r="DL5" s="262">
        <v>18.18</v>
      </c>
      <c r="DM5" s="262">
        <v>2</v>
      </c>
      <c r="DN5" s="262">
        <v>28</v>
      </c>
      <c r="DO5" s="262">
        <v>42.42</v>
      </c>
      <c r="DP5" s="262">
        <v>7</v>
      </c>
      <c r="DQ5" s="262">
        <v>2.8</v>
      </c>
      <c r="DR5" s="262" t="s">
        <v>508</v>
      </c>
      <c r="DS5" s="262">
        <v>-10</v>
      </c>
      <c r="DT5" s="264"/>
      <c r="DU5" s="262" t="s">
        <v>495</v>
      </c>
      <c r="DV5" s="262" t="s">
        <v>509</v>
      </c>
      <c r="DW5" s="262" t="s">
        <v>510</v>
      </c>
      <c r="DX5" s="262" t="s">
        <v>511</v>
      </c>
      <c r="DY5" s="262"/>
      <c r="DZ5" s="265">
        <f t="shared" si="0"/>
        <v>4.4444444444444132E-3</v>
      </c>
      <c r="EA5" s="265">
        <f>IF(RawData7[[#This Row],[Cohesion ROI]]=" "," ",RANK(RawData7[[#This Row],[Cohesion ROI]],$DZ$3:$DZ$32,0))</f>
        <v>8</v>
      </c>
      <c r="EC5" s="354">
        <f>IF(A5="","",VLOOKUP(RawData7[[#This Row],[Num]],$A$3:$DP$30,8,FALSE))</f>
        <v>10.91</v>
      </c>
      <c r="ED5" s="355">
        <f t="shared" si="1"/>
        <v>0.1091</v>
      </c>
      <c r="EF5" s="355">
        <f>IFERROR(IF(EC5=0,1,(VLOOKUP(RawData7[[#This Row],[Num]],$A$3:$DP$30,6,FALSE)))," ")</f>
        <v>55</v>
      </c>
      <c r="EH5" s="316">
        <f>IFERROR(VLOOKUP(RawData7[[#This Row],[Num]],$A$3:$DP$30,120,FALSE)," ")</f>
        <v>7</v>
      </c>
      <c r="EI5" s="351">
        <f>IF(AND(RawData7[[#This Row],[Num]]&lt;&gt;"",ED5&gt;$ED$34,EH5&gt;=$EH$38),1,IF(AND(RawData7[[#This Row],[Num]]&lt;&gt;"",ED5&gt;$ED$34,EH5&lt;=$EH$34),1,EH5))</f>
        <v>7</v>
      </c>
      <c r="EJ5" s="316">
        <f>IFERROR(IF(EH5=EI5,VLOOKUP(RawData7[[#This Row],[Num]],$A$3:$DP$30,10,FALSE),IF(EI5&lt;=2,VLOOKUP(RawData7[[#This Row],[Num]],$A$3:$DP$30,10,FALSE)+EI5," "))," ")</f>
        <v>23</v>
      </c>
      <c r="EK5" s="355">
        <f t="shared" si="2"/>
        <v>0.41818181818181815</v>
      </c>
      <c r="EL5" s="355">
        <f t="shared" si="3"/>
        <v>56</v>
      </c>
      <c r="EN5" s="355">
        <f t="shared" si="4"/>
        <v>9.1659028414298813</v>
      </c>
      <c r="EP5" s="355">
        <f>IF(RawData7[[#This Row],[Num]]&lt;&gt;"",IF(EH5=0,0,IF(AND(EH5&gt;0,EH5&lt;=2),EN5-EN5,EN5-EI5))," ")</f>
        <v>2.1659028414298813</v>
      </c>
      <c r="ER5" s="351">
        <f t="shared" si="5"/>
        <v>0</v>
      </c>
      <c r="ET5" s="355">
        <f t="shared" si="6"/>
        <v>55</v>
      </c>
      <c r="EU5" s="351">
        <f t="shared" si="7"/>
        <v>1.7857142857142856E-2</v>
      </c>
      <c r="EV5" s="351" t="str">
        <f t="shared" si="8"/>
        <v xml:space="preserve"> </v>
      </c>
    </row>
    <row r="6" spans="1:152" x14ac:dyDescent="0.3">
      <c r="A6" s="266">
        <v>5</v>
      </c>
      <c r="B6" s="262" t="s">
        <v>512</v>
      </c>
      <c r="C6" s="262">
        <v>7</v>
      </c>
      <c r="D6" s="262" t="s">
        <v>387</v>
      </c>
      <c r="E6" s="262">
        <v>63</v>
      </c>
      <c r="F6" s="262">
        <v>61</v>
      </c>
      <c r="G6" s="262">
        <v>10</v>
      </c>
      <c r="H6" s="262">
        <v>16.39</v>
      </c>
      <c r="I6" s="262">
        <v>-36</v>
      </c>
      <c r="J6" s="262">
        <v>24</v>
      </c>
      <c r="K6" s="262">
        <v>39.340000000000003</v>
      </c>
      <c r="L6" s="262">
        <v>45</v>
      </c>
      <c r="M6" s="262">
        <v>8</v>
      </c>
      <c r="N6" s="262">
        <v>17.78</v>
      </c>
      <c r="O6" s="262">
        <v>-33</v>
      </c>
      <c r="P6" s="262">
        <v>16</v>
      </c>
      <c r="Q6" s="262">
        <v>2</v>
      </c>
      <c r="R6" s="263">
        <v>12.5</v>
      </c>
      <c r="S6" s="262">
        <v>-44</v>
      </c>
      <c r="T6" s="262">
        <v>1920</v>
      </c>
      <c r="U6" s="262">
        <v>117150</v>
      </c>
      <c r="V6" s="262">
        <v>7.1</v>
      </c>
      <c r="W6" s="262">
        <v>6.5</v>
      </c>
      <c r="X6" s="262">
        <v>58</v>
      </c>
      <c r="Y6" s="262">
        <v>58</v>
      </c>
      <c r="Z6" s="262">
        <v>5</v>
      </c>
      <c r="AA6" s="262">
        <v>14000</v>
      </c>
      <c r="AB6" s="262">
        <v>6</v>
      </c>
      <c r="AC6" s="262">
        <v>0</v>
      </c>
      <c r="AD6" s="262">
        <v>0</v>
      </c>
      <c r="AE6" s="262">
        <v>-100</v>
      </c>
      <c r="AF6" s="262">
        <v>1</v>
      </c>
      <c r="AG6" s="262">
        <v>16.670000000000002</v>
      </c>
      <c r="AH6" s="262">
        <v>12</v>
      </c>
      <c r="AI6" s="262">
        <v>0</v>
      </c>
      <c r="AJ6" s="262">
        <v>0</v>
      </c>
      <c r="AK6" s="262">
        <v>-100</v>
      </c>
      <c r="AL6" s="262">
        <v>4</v>
      </c>
      <c r="AM6" s="262">
        <v>33.33</v>
      </c>
      <c r="AN6" s="262">
        <v>3</v>
      </c>
      <c r="AO6" s="262">
        <v>0</v>
      </c>
      <c r="AP6" s="262">
        <v>0</v>
      </c>
      <c r="AQ6" s="262">
        <v>-100</v>
      </c>
      <c r="AR6" s="262">
        <v>1</v>
      </c>
      <c r="AS6" s="262">
        <v>33.33</v>
      </c>
      <c r="AT6" s="262">
        <v>11</v>
      </c>
      <c r="AU6" s="262">
        <v>1</v>
      </c>
      <c r="AV6" s="262">
        <v>9.09</v>
      </c>
      <c r="AW6" s="262">
        <v>-50</v>
      </c>
      <c r="AX6" s="262">
        <v>4</v>
      </c>
      <c r="AY6" s="262">
        <v>36.36</v>
      </c>
      <c r="AZ6" s="262" t="s">
        <v>513</v>
      </c>
      <c r="BA6" s="262" t="s">
        <v>388</v>
      </c>
      <c r="BB6" s="262"/>
      <c r="BC6" s="262">
        <v>359425</v>
      </c>
      <c r="BD6" s="262">
        <v>3594</v>
      </c>
      <c r="BE6" s="262">
        <v>100</v>
      </c>
      <c r="BF6" s="262">
        <v>11</v>
      </c>
      <c r="BG6" s="262">
        <v>11</v>
      </c>
      <c r="BH6" s="262">
        <v>-39</v>
      </c>
      <c r="BI6" s="262">
        <v>47</v>
      </c>
      <c r="BJ6" s="262">
        <v>47</v>
      </c>
      <c r="BK6" s="262">
        <v>1214890</v>
      </c>
      <c r="BL6" s="262">
        <v>2241</v>
      </c>
      <c r="BM6" s="262">
        <v>542</v>
      </c>
      <c r="BN6" s="262">
        <v>63</v>
      </c>
      <c r="BO6" s="262">
        <v>11.62</v>
      </c>
      <c r="BP6" s="262">
        <v>-24</v>
      </c>
      <c r="BQ6" s="262">
        <v>172</v>
      </c>
      <c r="BR6" s="262">
        <v>31.73</v>
      </c>
      <c r="BS6" s="262">
        <v>1124900</v>
      </c>
      <c r="BT6" s="262">
        <v>2286</v>
      </c>
      <c r="BU6" s="262">
        <v>492</v>
      </c>
      <c r="BV6" s="262">
        <v>57</v>
      </c>
      <c r="BW6" s="262">
        <v>11.59</v>
      </c>
      <c r="BX6" s="262">
        <v>-24</v>
      </c>
      <c r="BY6" s="262">
        <v>162</v>
      </c>
      <c r="BZ6" s="262">
        <v>32.93</v>
      </c>
      <c r="CA6" s="262">
        <v>964890</v>
      </c>
      <c r="CB6" s="262">
        <v>1911</v>
      </c>
      <c r="CC6" s="262">
        <v>505</v>
      </c>
      <c r="CD6" s="262">
        <v>58</v>
      </c>
      <c r="CE6" s="262">
        <v>11.49</v>
      </c>
      <c r="CF6" s="262">
        <v>-35</v>
      </c>
      <c r="CG6" s="262">
        <v>167</v>
      </c>
      <c r="CH6" s="262">
        <v>33.07</v>
      </c>
      <c r="CI6" s="262" t="s">
        <v>514</v>
      </c>
      <c r="CJ6" s="262">
        <v>48580</v>
      </c>
      <c r="CK6" s="262">
        <v>486</v>
      </c>
      <c r="CL6" s="262">
        <v>100</v>
      </c>
      <c r="CM6" s="262">
        <v>4</v>
      </c>
      <c r="CN6" s="262">
        <v>4</v>
      </c>
      <c r="CO6" s="262">
        <v>-69</v>
      </c>
      <c r="CP6" s="262">
        <v>15</v>
      </c>
      <c r="CQ6" s="262">
        <v>15</v>
      </c>
      <c r="CR6" s="262">
        <v>48580</v>
      </c>
      <c r="CS6" s="262">
        <v>476</v>
      </c>
      <c r="CT6" s="262">
        <v>102</v>
      </c>
      <c r="CU6" s="262">
        <v>4</v>
      </c>
      <c r="CV6" s="262">
        <v>3.92</v>
      </c>
      <c r="CW6" s="262">
        <v>-70</v>
      </c>
      <c r="CX6" s="262">
        <v>15</v>
      </c>
      <c r="CY6" s="262">
        <v>14.71</v>
      </c>
      <c r="CZ6" s="262">
        <v>44030</v>
      </c>
      <c r="DA6" s="262">
        <v>449</v>
      </c>
      <c r="DB6" s="262">
        <v>98</v>
      </c>
      <c r="DC6" s="262">
        <v>3</v>
      </c>
      <c r="DD6" s="262">
        <v>3.06</v>
      </c>
      <c r="DE6" s="262">
        <v>-78</v>
      </c>
      <c r="DF6" s="262">
        <v>14</v>
      </c>
      <c r="DG6" s="262">
        <v>14.29</v>
      </c>
      <c r="DH6" s="262">
        <v>41030</v>
      </c>
      <c r="DI6" s="262">
        <v>410</v>
      </c>
      <c r="DJ6" s="262">
        <v>100</v>
      </c>
      <c r="DK6" s="262">
        <v>4</v>
      </c>
      <c r="DL6" s="262">
        <v>4</v>
      </c>
      <c r="DM6" s="262">
        <v>-74</v>
      </c>
      <c r="DN6" s="262">
        <v>16</v>
      </c>
      <c r="DO6" s="262">
        <v>16</v>
      </c>
      <c r="DP6" s="262">
        <v>2</v>
      </c>
      <c r="DQ6" s="262">
        <v>4.5</v>
      </c>
      <c r="DR6" s="262" t="s">
        <v>515</v>
      </c>
      <c r="DS6" s="262">
        <v>160</v>
      </c>
      <c r="DT6" s="264">
        <v>1600</v>
      </c>
      <c r="DU6" s="262" t="s">
        <v>495</v>
      </c>
      <c r="DV6" s="262" t="s">
        <v>516</v>
      </c>
      <c r="DW6" s="262" t="s">
        <v>517</v>
      </c>
      <c r="DX6" s="262" t="s">
        <v>518</v>
      </c>
      <c r="DY6" s="262"/>
      <c r="DZ6" s="265">
        <f t="shared" si="0"/>
        <v>3080.25</v>
      </c>
      <c r="EA6" s="265">
        <f>IF(RawData7[[#This Row],[Cohesion ROI]]=" "," ",RANK(RawData7[[#This Row],[Cohesion ROI]],$DZ$3:$DZ$32,0))</f>
        <v>6</v>
      </c>
      <c r="EC6" s="355">
        <f>IF(A6="","",VLOOKUP(RawData7[[#This Row],[Num]],$A$3:$DP$30,8,FALSE))</f>
        <v>16.39</v>
      </c>
      <c r="ED6" s="354">
        <f t="shared" si="1"/>
        <v>0.16390000000000002</v>
      </c>
      <c r="EF6" s="354">
        <f>IFERROR(IF(EC6=0,1,(VLOOKUP(RawData7[[#This Row],[Num]],$A$3:$DP$30,6,FALSE)))," ")</f>
        <v>61</v>
      </c>
      <c r="EH6" s="262">
        <f>IFERROR(VLOOKUP(RawData7[[#This Row],[Num]],$A$3:$DP$30,120,FALSE)," ")</f>
        <v>2</v>
      </c>
      <c r="EI6" s="352">
        <f>IF(AND(RawData7[[#This Row],[Num]]&lt;&gt;"",ED6&gt;$ED$34,EH6&gt;=$EH$38),1,IF(AND(RawData7[[#This Row],[Num]]&lt;&gt;"",ED6&gt;$ED$34,EH6&lt;=$EH$34),1,EH6))</f>
        <v>1</v>
      </c>
      <c r="EJ6" s="262">
        <f>IFERROR(IF(EH6=EI6,VLOOKUP(RawData7[[#This Row],[Num]],$A$3:$DP$30,10,FALSE),IF(EI6&lt;=2,VLOOKUP(RawData7[[#This Row],[Num]],$A$3:$DP$30,10,FALSE)+EI6," "))," ")</f>
        <v>25</v>
      </c>
      <c r="EK6" s="354">
        <f t="shared" si="2"/>
        <v>0.4098360655737705</v>
      </c>
      <c r="EL6" s="354">
        <f t="shared" si="3"/>
        <v>62</v>
      </c>
      <c r="EN6" s="354">
        <f t="shared" si="4"/>
        <v>6.1012812690665035</v>
      </c>
      <c r="EP6" s="354">
        <f>IF(RawData7[[#This Row],[Num]]&lt;&gt;"",IF(EH6=0,0,IF(AND(EH6&gt;0,EH6&lt;=2),EN6-EN6,EN6-EI6))," ")</f>
        <v>0</v>
      </c>
      <c r="ER6" s="352">
        <f t="shared" si="5"/>
        <v>1</v>
      </c>
      <c r="ET6" s="354">
        <f t="shared" si="6"/>
        <v>62</v>
      </c>
      <c r="EU6" s="352">
        <f t="shared" si="7"/>
        <v>1.6129032258064516E-2</v>
      </c>
      <c r="EV6" s="352" t="str">
        <f t="shared" si="8"/>
        <v>NOW</v>
      </c>
    </row>
    <row r="7" spans="1:152" x14ac:dyDescent="0.3">
      <c r="A7" s="266">
        <v>6</v>
      </c>
      <c r="B7" s="262" t="s">
        <v>519</v>
      </c>
      <c r="C7" s="262">
        <v>6</v>
      </c>
      <c r="D7" s="262" t="s">
        <v>390</v>
      </c>
      <c r="E7" s="262">
        <v>65</v>
      </c>
      <c r="F7" s="262">
        <v>68</v>
      </c>
      <c r="G7" s="262">
        <v>12</v>
      </c>
      <c r="H7" s="262">
        <v>17.649999999999999</v>
      </c>
      <c r="I7" s="262">
        <v>14</v>
      </c>
      <c r="J7" s="262">
        <v>27</v>
      </c>
      <c r="K7" s="262">
        <v>39.71</v>
      </c>
      <c r="L7" s="262">
        <v>55</v>
      </c>
      <c r="M7" s="262">
        <v>11</v>
      </c>
      <c r="N7" s="262">
        <v>20</v>
      </c>
      <c r="O7" s="262">
        <v>34</v>
      </c>
      <c r="P7" s="262">
        <v>11</v>
      </c>
      <c r="Q7" s="262">
        <v>0</v>
      </c>
      <c r="R7" s="263">
        <v>0</v>
      </c>
      <c r="S7" s="262">
        <v>-100</v>
      </c>
      <c r="T7" s="262">
        <v>1841</v>
      </c>
      <c r="U7" s="262">
        <v>125200</v>
      </c>
      <c r="V7" s="262">
        <v>21</v>
      </c>
      <c r="W7" s="262">
        <v>17</v>
      </c>
      <c r="X7" s="262">
        <v>57</v>
      </c>
      <c r="Y7" s="262">
        <v>54</v>
      </c>
      <c r="Z7" s="262">
        <v>9</v>
      </c>
      <c r="AA7" s="262">
        <v>14000</v>
      </c>
      <c r="AB7" s="262">
        <v>4</v>
      </c>
      <c r="AC7" s="262">
        <v>2</v>
      </c>
      <c r="AD7" s="262">
        <v>50</v>
      </c>
      <c r="AE7" s="262">
        <v>158</v>
      </c>
      <c r="AF7" s="262">
        <v>2</v>
      </c>
      <c r="AG7" s="262">
        <v>50</v>
      </c>
      <c r="AH7" s="262">
        <v>6</v>
      </c>
      <c r="AI7" s="262">
        <v>1</v>
      </c>
      <c r="AJ7" s="262">
        <v>16.670000000000002</v>
      </c>
      <c r="AK7" s="262">
        <v>-37</v>
      </c>
      <c r="AL7" s="262">
        <v>3</v>
      </c>
      <c r="AM7" s="262">
        <v>50</v>
      </c>
      <c r="AN7" s="262">
        <v>2</v>
      </c>
      <c r="AO7" s="262">
        <v>1</v>
      </c>
      <c r="AP7" s="262">
        <v>50</v>
      </c>
      <c r="AQ7" s="262">
        <v>90</v>
      </c>
      <c r="AR7" s="262">
        <v>1</v>
      </c>
      <c r="AS7" s="262">
        <v>50</v>
      </c>
      <c r="AT7" s="262">
        <v>8</v>
      </c>
      <c r="AU7" s="262">
        <v>0</v>
      </c>
      <c r="AV7" s="262">
        <v>0</v>
      </c>
      <c r="AW7" s="262">
        <v>-100</v>
      </c>
      <c r="AX7" s="262">
        <v>3</v>
      </c>
      <c r="AY7" s="262">
        <v>37.5</v>
      </c>
      <c r="AZ7" s="262" t="s">
        <v>520</v>
      </c>
      <c r="BA7" s="262" t="s">
        <v>391</v>
      </c>
      <c r="BB7" s="262">
        <v>3</v>
      </c>
      <c r="BC7" s="262">
        <v>120930</v>
      </c>
      <c r="BD7" s="262">
        <v>1209</v>
      </c>
      <c r="BE7" s="262">
        <v>100</v>
      </c>
      <c r="BF7" s="262">
        <v>10</v>
      </c>
      <c r="BG7" s="262">
        <v>10</v>
      </c>
      <c r="BH7" s="262">
        <v>-56</v>
      </c>
      <c r="BI7" s="262">
        <v>29</v>
      </c>
      <c r="BJ7" s="262">
        <v>29</v>
      </c>
      <c r="BK7" s="262">
        <v>71525</v>
      </c>
      <c r="BL7" s="262">
        <v>1703</v>
      </c>
      <c r="BM7" s="262">
        <v>42</v>
      </c>
      <c r="BN7" s="262">
        <v>6</v>
      </c>
      <c r="BO7" s="262">
        <v>14.29</v>
      </c>
      <c r="BP7" s="262">
        <v>-20</v>
      </c>
      <c r="BQ7" s="262">
        <v>12</v>
      </c>
      <c r="BR7" s="262">
        <v>28.57</v>
      </c>
      <c r="BS7" s="262">
        <v>71525</v>
      </c>
      <c r="BT7" s="262">
        <v>1703</v>
      </c>
      <c r="BU7" s="262">
        <v>42</v>
      </c>
      <c r="BV7" s="262">
        <v>6</v>
      </c>
      <c r="BW7" s="262">
        <v>14.29</v>
      </c>
      <c r="BX7" s="262">
        <v>-20</v>
      </c>
      <c r="BY7" s="262">
        <v>12</v>
      </c>
      <c r="BZ7" s="262">
        <v>28.57</v>
      </c>
      <c r="CA7" s="262">
        <v>20755</v>
      </c>
      <c r="CB7" s="262">
        <v>741</v>
      </c>
      <c r="CC7" s="262">
        <v>28</v>
      </c>
      <c r="CD7" s="262">
        <v>1</v>
      </c>
      <c r="CE7" s="262">
        <v>3.57</v>
      </c>
      <c r="CF7" s="262">
        <v>-88</v>
      </c>
      <c r="CG7" s="262">
        <v>7</v>
      </c>
      <c r="CH7" s="262">
        <v>25</v>
      </c>
      <c r="CI7" s="262" t="s">
        <v>521</v>
      </c>
      <c r="CJ7" s="262">
        <v>41150</v>
      </c>
      <c r="CK7" s="262">
        <v>957</v>
      </c>
      <c r="CL7" s="262">
        <v>43</v>
      </c>
      <c r="CM7" s="262">
        <v>2</v>
      </c>
      <c r="CN7" s="262">
        <v>4.6500000000000004</v>
      </c>
      <c r="CO7" s="262">
        <v>-42</v>
      </c>
      <c r="CP7" s="262">
        <v>14</v>
      </c>
      <c r="CQ7" s="262">
        <v>32.56</v>
      </c>
      <c r="CR7" s="262">
        <v>28100</v>
      </c>
      <c r="CS7" s="262">
        <v>781</v>
      </c>
      <c r="CT7" s="262">
        <v>36</v>
      </c>
      <c r="CU7" s="262">
        <v>1</v>
      </c>
      <c r="CV7" s="262">
        <v>2.78</v>
      </c>
      <c r="CW7" s="262">
        <v>-53</v>
      </c>
      <c r="CX7" s="262">
        <v>10</v>
      </c>
      <c r="CY7" s="262">
        <v>27.78</v>
      </c>
      <c r="CZ7" s="262">
        <v>26700</v>
      </c>
      <c r="DA7" s="262">
        <v>763</v>
      </c>
      <c r="DB7" s="262">
        <v>35</v>
      </c>
      <c r="DC7" s="262">
        <v>1</v>
      </c>
      <c r="DD7" s="262">
        <v>2.86</v>
      </c>
      <c r="DE7" s="262">
        <v>-51</v>
      </c>
      <c r="DF7" s="262">
        <v>9</v>
      </c>
      <c r="DG7" s="262">
        <v>25.71</v>
      </c>
      <c r="DH7" s="262">
        <v>23550</v>
      </c>
      <c r="DI7" s="262">
        <v>2617</v>
      </c>
      <c r="DJ7" s="262">
        <v>9</v>
      </c>
      <c r="DK7" s="262">
        <v>2</v>
      </c>
      <c r="DL7" s="262">
        <v>22.22</v>
      </c>
      <c r="DM7" s="262">
        <v>178</v>
      </c>
      <c r="DN7" s="262">
        <v>6</v>
      </c>
      <c r="DO7" s="262">
        <v>66.67</v>
      </c>
      <c r="DP7" s="262">
        <v>3</v>
      </c>
      <c r="DQ7" s="262">
        <v>2.85</v>
      </c>
      <c r="DR7" s="262" t="s">
        <v>522</v>
      </c>
      <c r="DS7" s="262">
        <v>130</v>
      </c>
      <c r="DT7" s="264">
        <v>700</v>
      </c>
      <c r="DU7" s="262" t="s">
        <v>495</v>
      </c>
      <c r="DV7" s="262" t="s">
        <v>523</v>
      </c>
      <c r="DW7" s="262" t="s">
        <v>524</v>
      </c>
      <c r="DX7" s="262" t="s">
        <v>525</v>
      </c>
      <c r="DY7" s="262"/>
      <c r="DZ7" s="265">
        <f t="shared" si="0"/>
        <v>2050.5802777777776</v>
      </c>
      <c r="EA7" s="265">
        <f>IF(RawData7[[#This Row],[Cohesion ROI]]=" "," ",RANK(RawData7[[#This Row],[Cohesion ROI]],$DZ$3:$DZ$32,0))</f>
        <v>7</v>
      </c>
      <c r="EC7" s="354">
        <f>IF(A7="","",VLOOKUP(RawData7[[#This Row],[Num]],$A$3:$DP$30,8,FALSE))</f>
        <v>17.649999999999999</v>
      </c>
      <c r="ED7" s="355">
        <f t="shared" si="1"/>
        <v>0.17649999999999999</v>
      </c>
      <c r="EF7" s="355">
        <f>IFERROR(IF(EC7=0,1,(VLOOKUP(RawData7[[#This Row],[Num]],$A$3:$DP$30,6,FALSE)))," ")</f>
        <v>68</v>
      </c>
      <c r="EH7" s="316">
        <f>IFERROR(VLOOKUP(RawData7[[#This Row],[Num]],$A$3:$DP$30,120,FALSE)," ")</f>
        <v>3</v>
      </c>
      <c r="EI7" s="351">
        <f>IF(AND(RawData7[[#This Row],[Num]]&lt;&gt;"",ED7&gt;$ED$34,EH7&gt;=$EH$38),1,IF(AND(RawData7[[#This Row],[Num]]&lt;&gt;"",ED7&gt;$ED$34,EH7&lt;=$EH$34),1,EH7))</f>
        <v>1</v>
      </c>
      <c r="EJ7" s="316">
        <f>IFERROR(IF(EH7=EI7,VLOOKUP(RawData7[[#This Row],[Num]],$A$3:$DP$30,10,FALSE),IF(EI7&lt;=2,VLOOKUP(RawData7[[#This Row],[Num]],$A$3:$DP$30,10,FALSE)+EI7," "))," ")</f>
        <v>28</v>
      </c>
      <c r="EK7" s="355">
        <f t="shared" si="2"/>
        <v>0.41176470588235292</v>
      </c>
      <c r="EL7" s="355">
        <f t="shared" si="3"/>
        <v>69</v>
      </c>
      <c r="EN7" s="355">
        <f t="shared" si="4"/>
        <v>5.6657223796034</v>
      </c>
      <c r="EP7" s="355">
        <f>IF(RawData7[[#This Row],[Num]]&lt;&gt;"",IF(EH7=0,0,IF(AND(EH7&gt;0,EH7&lt;=2),EN7-EN7,EN7-EI7))," ")</f>
        <v>4.6657223796034</v>
      </c>
      <c r="ER7" s="351">
        <f t="shared" si="5"/>
        <v>1</v>
      </c>
      <c r="ET7" s="355">
        <f t="shared" si="6"/>
        <v>69</v>
      </c>
      <c r="EU7" s="351">
        <f t="shared" si="7"/>
        <v>1.4492753623188406E-2</v>
      </c>
      <c r="EV7" s="351" t="str">
        <f t="shared" si="8"/>
        <v>NOW</v>
      </c>
    </row>
    <row r="8" spans="1:152" x14ac:dyDescent="0.3">
      <c r="A8" s="266">
        <v>7</v>
      </c>
      <c r="B8" s="262" t="s">
        <v>526</v>
      </c>
      <c r="C8" s="262">
        <v>7</v>
      </c>
      <c r="D8" s="262" t="s">
        <v>387</v>
      </c>
      <c r="E8" s="262">
        <v>58</v>
      </c>
      <c r="F8" s="262">
        <v>73</v>
      </c>
      <c r="G8" s="262">
        <v>8</v>
      </c>
      <c r="H8" s="262">
        <v>10.96</v>
      </c>
      <c r="I8" s="262">
        <v>-32</v>
      </c>
      <c r="J8" s="262">
        <v>24</v>
      </c>
      <c r="K8" s="262">
        <v>32.880000000000003</v>
      </c>
      <c r="L8" s="262">
        <v>60</v>
      </c>
      <c r="M8" s="262">
        <v>7</v>
      </c>
      <c r="N8" s="262">
        <v>11.67</v>
      </c>
      <c r="O8" s="262">
        <v>-22</v>
      </c>
      <c r="P8" s="262">
        <v>12</v>
      </c>
      <c r="Q8" s="262">
        <v>1</v>
      </c>
      <c r="R8" s="263">
        <v>8.33</v>
      </c>
      <c r="S8" s="262">
        <v>-78</v>
      </c>
      <c r="T8" s="262">
        <v>1511</v>
      </c>
      <c r="U8" s="262">
        <v>110325</v>
      </c>
      <c r="V8" s="262">
        <v>23.5</v>
      </c>
      <c r="W8" s="262">
        <v>20</v>
      </c>
      <c r="X8" s="262">
        <v>55.5</v>
      </c>
      <c r="Y8" s="262">
        <v>55.5</v>
      </c>
      <c r="Z8" s="262">
        <v>4</v>
      </c>
      <c r="AA8" s="262">
        <v>14000</v>
      </c>
      <c r="AB8" s="262">
        <v>6</v>
      </c>
      <c r="AC8" s="262">
        <v>0</v>
      </c>
      <c r="AD8" s="262">
        <v>0</v>
      </c>
      <c r="AE8" s="262">
        <v>-100</v>
      </c>
      <c r="AF8" s="262">
        <v>3</v>
      </c>
      <c r="AG8" s="262">
        <v>50</v>
      </c>
      <c r="AH8" s="262">
        <v>5</v>
      </c>
      <c r="AI8" s="262">
        <v>0</v>
      </c>
      <c r="AJ8" s="262">
        <v>0</v>
      </c>
      <c r="AK8" s="262">
        <v>-100</v>
      </c>
      <c r="AL8" s="262">
        <v>2</v>
      </c>
      <c r="AM8" s="262">
        <v>40</v>
      </c>
      <c r="AN8" s="262">
        <v>2</v>
      </c>
      <c r="AO8" s="262">
        <v>0</v>
      </c>
      <c r="AP8" s="262">
        <v>0</v>
      </c>
      <c r="AQ8" s="262">
        <v>-100</v>
      </c>
      <c r="AR8" s="262">
        <v>1</v>
      </c>
      <c r="AS8" s="262">
        <v>50</v>
      </c>
      <c r="AT8" s="262">
        <v>10</v>
      </c>
      <c r="AU8" s="262">
        <v>1</v>
      </c>
      <c r="AV8" s="262">
        <v>10</v>
      </c>
      <c r="AW8" s="262">
        <v>-74</v>
      </c>
      <c r="AX8" s="262">
        <v>2</v>
      </c>
      <c r="AY8" s="262">
        <v>20</v>
      </c>
      <c r="AZ8" s="262" t="s">
        <v>527</v>
      </c>
      <c r="BA8" s="262" t="s">
        <v>388</v>
      </c>
      <c r="BB8" s="262"/>
      <c r="BC8" s="262">
        <v>125765</v>
      </c>
      <c r="BD8" s="262">
        <v>1258</v>
      </c>
      <c r="BE8" s="262">
        <v>100</v>
      </c>
      <c r="BF8" s="262">
        <v>11</v>
      </c>
      <c r="BG8" s="262">
        <v>11</v>
      </c>
      <c r="BH8" s="262">
        <v>-62</v>
      </c>
      <c r="BI8" s="262">
        <v>51</v>
      </c>
      <c r="BJ8" s="262">
        <v>51</v>
      </c>
      <c r="BK8" s="262">
        <v>153315</v>
      </c>
      <c r="BL8" s="262">
        <v>1357</v>
      </c>
      <c r="BM8" s="262">
        <v>113</v>
      </c>
      <c r="BN8" s="262">
        <v>15</v>
      </c>
      <c r="BO8" s="262">
        <v>13.27</v>
      </c>
      <c r="BP8" s="262">
        <v>-46</v>
      </c>
      <c r="BQ8" s="262">
        <v>59</v>
      </c>
      <c r="BR8" s="262">
        <v>52.21</v>
      </c>
      <c r="BS8" s="262">
        <v>114565</v>
      </c>
      <c r="BT8" s="262">
        <v>1193</v>
      </c>
      <c r="BU8" s="262">
        <v>96</v>
      </c>
      <c r="BV8" s="262">
        <v>9</v>
      </c>
      <c r="BW8" s="262">
        <v>9.3800000000000008</v>
      </c>
      <c r="BX8" s="262">
        <v>-68</v>
      </c>
      <c r="BY8" s="262">
        <v>50</v>
      </c>
      <c r="BZ8" s="262">
        <v>52.08</v>
      </c>
      <c r="CA8" s="262">
        <v>164810</v>
      </c>
      <c r="CB8" s="262">
        <v>1472</v>
      </c>
      <c r="CC8" s="262">
        <v>112</v>
      </c>
      <c r="CD8" s="262">
        <v>19</v>
      </c>
      <c r="CE8" s="262">
        <v>16.96</v>
      </c>
      <c r="CF8" s="262">
        <v>5</v>
      </c>
      <c r="CG8" s="262">
        <v>45</v>
      </c>
      <c r="CH8" s="262">
        <v>40.18</v>
      </c>
      <c r="CI8" s="262" t="s">
        <v>528</v>
      </c>
      <c r="CJ8" s="262">
        <v>62750</v>
      </c>
      <c r="CK8" s="262">
        <v>628</v>
      </c>
      <c r="CL8" s="262">
        <v>100</v>
      </c>
      <c r="CM8" s="262">
        <v>5</v>
      </c>
      <c r="CN8" s="262">
        <v>5</v>
      </c>
      <c r="CO8" s="262">
        <v>-56</v>
      </c>
      <c r="CP8" s="262">
        <v>21</v>
      </c>
      <c r="CQ8" s="262">
        <v>21</v>
      </c>
      <c r="CR8" s="262">
        <v>31525</v>
      </c>
      <c r="CS8" s="262">
        <v>671</v>
      </c>
      <c r="CT8" s="262">
        <v>47</v>
      </c>
      <c r="CU8" s="262">
        <v>4</v>
      </c>
      <c r="CV8" s="262">
        <v>8.51</v>
      </c>
      <c r="CW8" s="262">
        <v>-12</v>
      </c>
      <c r="CX8" s="262">
        <v>9</v>
      </c>
      <c r="CY8" s="262">
        <v>19.149999999999999</v>
      </c>
      <c r="CZ8" s="262">
        <v>30825</v>
      </c>
      <c r="DA8" s="262">
        <v>790</v>
      </c>
      <c r="DB8" s="262">
        <v>39</v>
      </c>
      <c r="DC8" s="262">
        <v>4</v>
      </c>
      <c r="DD8" s="262">
        <v>10.26</v>
      </c>
      <c r="DE8" s="262">
        <v>6</v>
      </c>
      <c r="DF8" s="262">
        <v>8</v>
      </c>
      <c r="DG8" s="262">
        <v>20.51</v>
      </c>
      <c r="DH8" s="262">
        <v>31925</v>
      </c>
      <c r="DI8" s="262">
        <v>507</v>
      </c>
      <c r="DJ8" s="262">
        <v>63</v>
      </c>
      <c r="DK8" s="262">
        <v>1</v>
      </c>
      <c r="DL8" s="262">
        <v>1.59</v>
      </c>
      <c r="DM8" s="262">
        <v>-96</v>
      </c>
      <c r="DN8" s="262">
        <v>13</v>
      </c>
      <c r="DO8" s="262">
        <v>20.63</v>
      </c>
      <c r="DP8" s="262">
        <v>8</v>
      </c>
      <c r="DQ8" s="262">
        <v>2.75</v>
      </c>
      <c r="DR8" s="262" t="s">
        <v>392</v>
      </c>
      <c r="DS8" s="262">
        <v>180</v>
      </c>
      <c r="DT8" s="264"/>
      <c r="DU8" s="262" t="s">
        <v>495</v>
      </c>
      <c r="DV8" s="262" t="s">
        <v>529</v>
      </c>
      <c r="DW8" s="262" t="s">
        <v>530</v>
      </c>
      <c r="DX8" s="262" t="s">
        <v>531</v>
      </c>
      <c r="DY8" s="262"/>
      <c r="DZ8" s="265">
        <f t="shared" si="0"/>
        <v>4042.8402777777783</v>
      </c>
      <c r="EA8" s="265">
        <f>IF(RawData7[[#This Row],[Cohesion ROI]]=" "," ",RANK(RawData7[[#This Row],[Cohesion ROI]],$DZ$3:$DZ$32,0))</f>
        <v>4</v>
      </c>
      <c r="EC8" s="355">
        <f>IF(A8="","",VLOOKUP(RawData7[[#This Row],[Num]],$A$3:$DP$30,8,FALSE))</f>
        <v>10.96</v>
      </c>
      <c r="ED8" s="354">
        <f t="shared" si="1"/>
        <v>0.1096</v>
      </c>
      <c r="EF8" s="354">
        <f>IFERROR(IF(EC8=0,1,(VLOOKUP(RawData7[[#This Row],[Num]],$A$3:$DP$30,6,FALSE)))," ")</f>
        <v>73</v>
      </c>
      <c r="EH8" s="262">
        <f>IFERROR(VLOOKUP(RawData7[[#This Row],[Num]],$A$3:$DP$30,120,FALSE)," ")</f>
        <v>8</v>
      </c>
      <c r="EI8" s="352">
        <f>IF(AND(RawData7[[#This Row],[Num]]&lt;&gt;"",ED8&gt;$ED$34,EH8&gt;=$EH$38),1,IF(AND(RawData7[[#This Row],[Num]]&lt;&gt;"",ED8&gt;$ED$34,EH8&lt;=$EH$34),1,EH8))</f>
        <v>8</v>
      </c>
      <c r="EJ8" s="262">
        <f>IFERROR(IF(EH8=EI8,VLOOKUP(RawData7[[#This Row],[Num]],$A$3:$DP$30,10,FALSE),IF(EI8&lt;=2,VLOOKUP(RawData7[[#This Row],[Num]],$A$3:$DP$30,10,FALSE)+EI8," "))," ")</f>
        <v>24</v>
      </c>
      <c r="EK8" s="354">
        <f t="shared" si="2"/>
        <v>0.32876712328767121</v>
      </c>
      <c r="EL8" s="354">
        <f t="shared" si="3"/>
        <v>74</v>
      </c>
      <c r="EN8" s="354">
        <f t="shared" si="4"/>
        <v>9.1240875912408761</v>
      </c>
      <c r="EP8" s="354">
        <f>IF(RawData7[[#This Row],[Num]]&lt;&gt;"",IF(EH8=0,0,IF(AND(EH8&gt;0,EH8&lt;=2),EN8-EN8,EN8-EI8))," ")</f>
        <v>1.1240875912408761</v>
      </c>
      <c r="ER8" s="352">
        <f t="shared" si="5"/>
        <v>0</v>
      </c>
      <c r="ET8" s="354">
        <f t="shared" si="6"/>
        <v>73</v>
      </c>
      <c r="EU8" s="352">
        <f t="shared" si="7"/>
        <v>1.3513513513513514E-2</v>
      </c>
      <c r="EV8" s="352" t="str">
        <f t="shared" si="8"/>
        <v xml:space="preserve"> </v>
      </c>
    </row>
    <row r="9" spans="1:152" x14ac:dyDescent="0.3">
      <c r="A9" s="266">
        <v>8</v>
      </c>
      <c r="B9" s="262" t="s">
        <v>532</v>
      </c>
      <c r="C9" s="262">
        <v>6</v>
      </c>
      <c r="D9" s="262" t="s">
        <v>390</v>
      </c>
      <c r="E9" s="262">
        <v>60</v>
      </c>
      <c r="F9" s="262">
        <v>39</v>
      </c>
      <c r="G9" s="262">
        <v>6</v>
      </c>
      <c r="H9" s="262">
        <v>15.38</v>
      </c>
      <c r="I9" s="262">
        <v>-26</v>
      </c>
      <c r="J9" s="262">
        <v>18</v>
      </c>
      <c r="K9" s="262">
        <v>46.15</v>
      </c>
      <c r="L9" s="262">
        <v>29</v>
      </c>
      <c r="M9" s="262">
        <v>5</v>
      </c>
      <c r="N9" s="262">
        <v>17.239999999999998</v>
      </c>
      <c r="O9" s="262">
        <v>-14</v>
      </c>
      <c r="P9" s="262">
        <v>10</v>
      </c>
      <c r="Q9" s="262">
        <v>1</v>
      </c>
      <c r="R9" s="263">
        <v>10</v>
      </c>
      <c r="S9" s="262">
        <v>-60</v>
      </c>
      <c r="T9" s="262">
        <v>1592</v>
      </c>
      <c r="U9" s="262">
        <v>62100</v>
      </c>
      <c r="V9" s="262">
        <v>13</v>
      </c>
      <c r="W9" s="262">
        <v>12</v>
      </c>
      <c r="X9" s="262">
        <v>54.5</v>
      </c>
      <c r="Y9" s="262">
        <v>54.5</v>
      </c>
      <c r="Z9" s="262">
        <v>2</v>
      </c>
      <c r="AA9" s="262">
        <v>14000</v>
      </c>
      <c r="AB9" s="262">
        <v>1</v>
      </c>
      <c r="AC9" s="262">
        <v>0</v>
      </c>
      <c r="AD9" s="262">
        <v>0</v>
      </c>
      <c r="AE9" s="262">
        <v>-100</v>
      </c>
      <c r="AF9" s="262">
        <v>0</v>
      </c>
      <c r="AG9" s="262">
        <v>0</v>
      </c>
      <c r="AH9" s="262">
        <v>6</v>
      </c>
      <c r="AI9" s="262">
        <v>1</v>
      </c>
      <c r="AJ9" s="262">
        <v>16.670000000000002</v>
      </c>
      <c r="AK9" s="262">
        <v>0</v>
      </c>
      <c r="AL9" s="262">
        <v>1</v>
      </c>
      <c r="AM9" s="262">
        <v>16.670000000000002</v>
      </c>
      <c r="AN9" s="262">
        <v>1</v>
      </c>
      <c r="AO9" s="262">
        <v>0</v>
      </c>
      <c r="AP9" s="262">
        <v>0</v>
      </c>
      <c r="AQ9" s="262">
        <v>-100</v>
      </c>
      <c r="AR9" s="262">
        <v>0</v>
      </c>
      <c r="AS9" s="262">
        <v>0</v>
      </c>
      <c r="AT9" s="262">
        <v>7</v>
      </c>
      <c r="AU9" s="262">
        <v>0</v>
      </c>
      <c r="AV9" s="262">
        <v>0</v>
      </c>
      <c r="AW9" s="262">
        <v>-100</v>
      </c>
      <c r="AX9" s="262">
        <v>3</v>
      </c>
      <c r="AY9" s="262">
        <v>42.86</v>
      </c>
      <c r="AZ9" s="262" t="s">
        <v>533</v>
      </c>
      <c r="BA9" s="262" t="s">
        <v>388</v>
      </c>
      <c r="BB9" s="262"/>
      <c r="BC9" s="262">
        <v>132881</v>
      </c>
      <c r="BD9" s="262">
        <v>1329</v>
      </c>
      <c r="BE9" s="262">
        <v>100</v>
      </c>
      <c r="BF9" s="262">
        <v>13</v>
      </c>
      <c r="BG9" s="262">
        <v>13</v>
      </c>
      <c r="BH9" s="262">
        <v>-9</v>
      </c>
      <c r="BI9" s="262">
        <v>22</v>
      </c>
      <c r="BJ9" s="262">
        <v>22</v>
      </c>
      <c r="BK9" s="262">
        <v>518924</v>
      </c>
      <c r="BL9" s="262">
        <v>1247</v>
      </c>
      <c r="BM9" s="262">
        <v>416</v>
      </c>
      <c r="BN9" s="262">
        <v>42</v>
      </c>
      <c r="BO9" s="262">
        <v>10.1</v>
      </c>
      <c r="BP9" s="262">
        <v>-28</v>
      </c>
      <c r="BQ9" s="262">
        <v>119</v>
      </c>
      <c r="BR9" s="262">
        <v>28.61</v>
      </c>
      <c r="BS9" s="262">
        <v>424575</v>
      </c>
      <c r="BT9" s="262">
        <v>1264</v>
      </c>
      <c r="BU9" s="262">
        <v>336</v>
      </c>
      <c r="BV9" s="262">
        <v>33</v>
      </c>
      <c r="BW9" s="262">
        <v>9.82</v>
      </c>
      <c r="BX9" s="262">
        <v>-34</v>
      </c>
      <c r="BY9" s="262">
        <v>92</v>
      </c>
      <c r="BZ9" s="262">
        <v>27.38</v>
      </c>
      <c r="CA9" s="262">
        <v>873276</v>
      </c>
      <c r="CB9" s="262">
        <v>1296</v>
      </c>
      <c r="CC9" s="262">
        <v>674</v>
      </c>
      <c r="CD9" s="262">
        <v>71</v>
      </c>
      <c r="CE9" s="262">
        <v>10.53</v>
      </c>
      <c r="CF9" s="262">
        <v>-33</v>
      </c>
      <c r="CG9" s="262">
        <v>238</v>
      </c>
      <c r="CH9" s="262">
        <v>35.31</v>
      </c>
      <c r="CI9" s="262" t="s">
        <v>534</v>
      </c>
      <c r="CJ9" s="262">
        <v>92675</v>
      </c>
      <c r="CK9" s="262">
        <v>927</v>
      </c>
      <c r="CL9" s="262">
        <v>100</v>
      </c>
      <c r="CM9" s="262">
        <v>7</v>
      </c>
      <c r="CN9" s="262">
        <v>7</v>
      </c>
      <c r="CO9" s="262">
        <v>-51</v>
      </c>
      <c r="CP9" s="262">
        <v>37</v>
      </c>
      <c r="CQ9" s="262">
        <v>37</v>
      </c>
      <c r="CR9" s="262">
        <v>55400</v>
      </c>
      <c r="CS9" s="262">
        <v>1154</v>
      </c>
      <c r="CT9" s="262">
        <v>48</v>
      </c>
      <c r="CU9" s="262">
        <v>4</v>
      </c>
      <c r="CV9" s="262">
        <v>8.33</v>
      </c>
      <c r="CW9" s="262">
        <v>-34</v>
      </c>
      <c r="CX9" s="262">
        <v>21</v>
      </c>
      <c r="CY9" s="262">
        <v>43.75</v>
      </c>
      <c r="CZ9" s="262">
        <v>49450</v>
      </c>
      <c r="DA9" s="262">
        <v>1099</v>
      </c>
      <c r="DB9" s="262">
        <v>45</v>
      </c>
      <c r="DC9" s="262">
        <v>3</v>
      </c>
      <c r="DD9" s="262">
        <v>6.67</v>
      </c>
      <c r="DE9" s="262">
        <v>-54</v>
      </c>
      <c r="DF9" s="262">
        <v>19</v>
      </c>
      <c r="DG9" s="262">
        <v>42.22</v>
      </c>
      <c r="DH9" s="262">
        <v>26525</v>
      </c>
      <c r="DI9" s="262">
        <v>663</v>
      </c>
      <c r="DJ9" s="262">
        <v>40</v>
      </c>
      <c r="DK9" s="262">
        <v>3</v>
      </c>
      <c r="DL9" s="262">
        <v>7.5</v>
      </c>
      <c r="DM9" s="262">
        <v>-43</v>
      </c>
      <c r="DN9" s="262">
        <v>12</v>
      </c>
      <c r="DO9" s="262">
        <v>30</v>
      </c>
      <c r="DP9" s="262">
        <v>5</v>
      </c>
      <c r="DQ9" s="262">
        <v>3.2</v>
      </c>
      <c r="DR9" s="262" t="s">
        <v>392</v>
      </c>
      <c r="DS9" s="262">
        <v>180</v>
      </c>
      <c r="DT9" s="264"/>
      <c r="DU9" s="262" t="s">
        <v>495</v>
      </c>
      <c r="DV9" s="262" t="s">
        <v>535</v>
      </c>
      <c r="DW9" s="262" t="s">
        <v>536</v>
      </c>
      <c r="DX9" s="262" t="s">
        <v>537</v>
      </c>
      <c r="DY9" s="262"/>
      <c r="DZ9" s="265">
        <f t="shared" si="0"/>
        <v>3935.4711111111105</v>
      </c>
      <c r="EA9" s="265">
        <f>IF(RawData7[[#This Row],[Cohesion ROI]]=" "," ",RANK(RawData7[[#This Row],[Cohesion ROI]],$DZ$3:$DZ$32,0))</f>
        <v>5</v>
      </c>
      <c r="EC9" s="354">
        <f>IF(A9="","",VLOOKUP(RawData7[[#This Row],[Num]],$A$3:$DP$30,8,FALSE))</f>
        <v>15.38</v>
      </c>
      <c r="ED9" s="355">
        <f t="shared" si="1"/>
        <v>0.15380000000000002</v>
      </c>
      <c r="EF9" s="355">
        <f>IFERROR(IF(EC9=0,1,(VLOOKUP(RawData7[[#This Row],[Num]],$A$3:$DP$30,6,FALSE)))," ")</f>
        <v>39</v>
      </c>
      <c r="EH9" s="316">
        <f>IFERROR(VLOOKUP(RawData7[[#This Row],[Num]],$A$3:$DP$30,120,FALSE)," ")</f>
        <v>5</v>
      </c>
      <c r="EI9" s="351">
        <f>IF(AND(RawData7[[#This Row],[Num]]&lt;&gt;"",ED9&gt;$ED$34,EH9&gt;=$EH$38),1,IF(AND(RawData7[[#This Row],[Num]]&lt;&gt;"",ED9&gt;$ED$34,EH9&lt;=$EH$34),1,EH9))</f>
        <v>1</v>
      </c>
      <c r="EJ9" s="316">
        <f>IFERROR(IF(EH9=EI9,VLOOKUP(RawData7[[#This Row],[Num]],$A$3:$DP$30,10,FALSE),IF(EI9&lt;=2,VLOOKUP(RawData7[[#This Row],[Num]],$A$3:$DP$30,10,FALSE)+EI9," "))," ")</f>
        <v>19</v>
      </c>
      <c r="EK9" s="355">
        <f t="shared" si="2"/>
        <v>0.48717948717948717</v>
      </c>
      <c r="EL9" s="355">
        <f t="shared" si="3"/>
        <v>40</v>
      </c>
      <c r="EN9" s="355">
        <f t="shared" si="4"/>
        <v>6.5019505851755515</v>
      </c>
      <c r="EP9" s="355">
        <f>IF(RawData7[[#This Row],[Num]]&lt;&gt;"",IF(EH9=0,0,IF(AND(EH9&gt;0,EH9&lt;=2),EN9-EN9,EN9-EI9))," ")</f>
        <v>5.5019505851755515</v>
      </c>
      <c r="ER9" s="351">
        <f t="shared" si="5"/>
        <v>2</v>
      </c>
      <c r="ET9" s="355">
        <f t="shared" si="6"/>
        <v>40</v>
      </c>
      <c r="EU9" s="351">
        <f t="shared" si="7"/>
        <v>2.5000000000000001E-2</v>
      </c>
      <c r="EV9" s="351" t="str">
        <f t="shared" si="8"/>
        <v>NOW</v>
      </c>
    </row>
    <row r="10" spans="1:152" x14ac:dyDescent="0.3">
      <c r="A10" s="266">
        <v>9</v>
      </c>
      <c r="B10" s="262" t="s">
        <v>538</v>
      </c>
      <c r="C10" s="262">
        <v>4</v>
      </c>
      <c r="D10" s="262" t="s">
        <v>387</v>
      </c>
      <c r="E10" s="262">
        <v>52</v>
      </c>
      <c r="F10" s="262">
        <v>11</v>
      </c>
      <c r="G10" s="262">
        <v>2</v>
      </c>
      <c r="H10" s="262">
        <v>18.18</v>
      </c>
      <c r="I10" s="262">
        <v>-40</v>
      </c>
      <c r="J10" s="262">
        <v>3</v>
      </c>
      <c r="K10" s="262">
        <v>27.27</v>
      </c>
      <c r="L10" s="262">
        <v>7</v>
      </c>
      <c r="M10" s="262">
        <v>2</v>
      </c>
      <c r="N10" s="262">
        <v>28.57</v>
      </c>
      <c r="O10" s="262">
        <v>-6</v>
      </c>
      <c r="P10" s="262">
        <v>4</v>
      </c>
      <c r="Q10" s="262">
        <v>0</v>
      </c>
      <c r="R10" s="263">
        <v>0</v>
      </c>
      <c r="S10" s="262">
        <v>-100</v>
      </c>
      <c r="T10" s="262">
        <v>1114</v>
      </c>
      <c r="U10" s="262">
        <v>12250</v>
      </c>
      <c r="V10" s="262">
        <v>8.5</v>
      </c>
      <c r="W10" s="262">
        <v>8</v>
      </c>
      <c r="X10" s="262">
        <v>54</v>
      </c>
      <c r="Y10" s="262">
        <v>54</v>
      </c>
      <c r="Z10" s="262">
        <v>3</v>
      </c>
      <c r="AA10" s="262">
        <v>14000</v>
      </c>
      <c r="AB10" s="262">
        <v>2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1</v>
      </c>
      <c r="AI10" s="262">
        <v>0</v>
      </c>
      <c r="AJ10" s="262">
        <v>0</v>
      </c>
      <c r="AK10" s="262">
        <v>-100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3</v>
      </c>
      <c r="AU10" s="262">
        <v>0</v>
      </c>
      <c r="AV10" s="262">
        <v>0</v>
      </c>
      <c r="AW10" s="262">
        <v>-100</v>
      </c>
      <c r="AX10" s="262">
        <v>1</v>
      </c>
      <c r="AY10" s="262">
        <v>33.33</v>
      </c>
      <c r="AZ10" s="262" t="s">
        <v>539</v>
      </c>
      <c r="BA10" s="262" t="s">
        <v>391</v>
      </c>
      <c r="BB10" s="262"/>
      <c r="BC10" s="262">
        <v>182150</v>
      </c>
      <c r="BD10" s="262">
        <v>1822</v>
      </c>
      <c r="BE10" s="262">
        <v>100</v>
      </c>
      <c r="BF10" s="262">
        <v>9</v>
      </c>
      <c r="BG10" s="262">
        <v>9</v>
      </c>
      <c r="BH10" s="262">
        <v>-35</v>
      </c>
      <c r="BI10" s="262">
        <v>24</v>
      </c>
      <c r="BJ10" s="262">
        <v>24</v>
      </c>
      <c r="BK10" s="262">
        <v>483260</v>
      </c>
      <c r="BL10" s="262">
        <v>1972</v>
      </c>
      <c r="BM10" s="262">
        <v>245</v>
      </c>
      <c r="BN10" s="262">
        <v>30</v>
      </c>
      <c r="BO10" s="262">
        <v>12.24</v>
      </c>
      <c r="BP10" s="262">
        <v>-21</v>
      </c>
      <c r="BQ10" s="262">
        <v>85</v>
      </c>
      <c r="BR10" s="262">
        <v>34.69</v>
      </c>
      <c r="BS10" s="262">
        <v>469060</v>
      </c>
      <c r="BT10" s="262">
        <v>2013</v>
      </c>
      <c r="BU10" s="262">
        <v>233</v>
      </c>
      <c r="BV10" s="262">
        <v>29</v>
      </c>
      <c r="BW10" s="262">
        <v>12.45</v>
      </c>
      <c r="BX10" s="262">
        <v>-19</v>
      </c>
      <c r="BY10" s="262">
        <v>81</v>
      </c>
      <c r="BZ10" s="262">
        <v>34.76</v>
      </c>
      <c r="CA10" s="262">
        <v>24800</v>
      </c>
      <c r="CB10" s="262">
        <v>1181</v>
      </c>
      <c r="CC10" s="262">
        <v>21</v>
      </c>
      <c r="CD10" s="262">
        <v>2</v>
      </c>
      <c r="CE10" s="262">
        <v>9.52</v>
      </c>
      <c r="CF10" s="262">
        <v>-65</v>
      </c>
      <c r="CG10" s="262">
        <v>6</v>
      </c>
      <c r="CH10" s="262">
        <v>28.57</v>
      </c>
      <c r="CI10" s="262" t="s">
        <v>540</v>
      </c>
      <c r="CJ10" s="262">
        <v>238550</v>
      </c>
      <c r="CK10" s="262">
        <v>2386</v>
      </c>
      <c r="CL10" s="262">
        <v>100</v>
      </c>
      <c r="CM10" s="262">
        <v>14</v>
      </c>
      <c r="CN10" s="262">
        <v>14</v>
      </c>
      <c r="CO10" s="262">
        <v>68</v>
      </c>
      <c r="CP10" s="262">
        <v>31</v>
      </c>
      <c r="CQ10" s="262">
        <v>31</v>
      </c>
      <c r="CR10" s="262">
        <v>45000</v>
      </c>
      <c r="CS10" s="262">
        <v>3000</v>
      </c>
      <c r="CT10" s="262">
        <v>15</v>
      </c>
      <c r="CU10" s="262">
        <v>1</v>
      </c>
      <c r="CV10" s="262">
        <v>6.67</v>
      </c>
      <c r="CW10" s="262">
        <v>240</v>
      </c>
      <c r="CX10" s="262">
        <v>3</v>
      </c>
      <c r="CY10" s="262">
        <v>20</v>
      </c>
      <c r="CZ10" s="262">
        <v>45000</v>
      </c>
      <c r="DA10" s="262">
        <v>4500</v>
      </c>
      <c r="DB10" s="262">
        <v>10</v>
      </c>
      <c r="DC10" s="262">
        <v>1</v>
      </c>
      <c r="DD10" s="262">
        <v>10</v>
      </c>
      <c r="DE10" s="262">
        <v>410</v>
      </c>
      <c r="DF10" s="262">
        <v>3</v>
      </c>
      <c r="DG10" s="262">
        <v>30</v>
      </c>
      <c r="DH10" s="262">
        <v>84950</v>
      </c>
      <c r="DI10" s="262">
        <v>2296</v>
      </c>
      <c r="DJ10" s="262">
        <v>37</v>
      </c>
      <c r="DK10" s="262">
        <v>8</v>
      </c>
      <c r="DL10" s="262">
        <v>21.62</v>
      </c>
      <c r="DM10" s="262">
        <v>88</v>
      </c>
      <c r="DN10" s="262">
        <v>13</v>
      </c>
      <c r="DO10" s="262">
        <v>35.14</v>
      </c>
      <c r="DP10" s="262">
        <v>9</v>
      </c>
      <c r="DQ10" s="262">
        <v>9</v>
      </c>
      <c r="DR10" s="262" t="s">
        <v>392</v>
      </c>
      <c r="DS10" s="262">
        <v>180</v>
      </c>
      <c r="DT10" s="264"/>
      <c r="DU10" s="262" t="s">
        <v>495</v>
      </c>
      <c r="DV10" s="262" t="s">
        <v>541</v>
      </c>
      <c r="DW10" s="262" t="s">
        <v>542</v>
      </c>
      <c r="DX10" s="262" t="s">
        <v>543</v>
      </c>
      <c r="DY10" s="262"/>
      <c r="DZ10" s="265">
        <f t="shared" si="0"/>
        <v>4356</v>
      </c>
      <c r="EA10" s="265">
        <f>IF(RawData7[[#This Row],[Cohesion ROI]]=" "," ",RANK(RawData7[[#This Row],[Cohesion ROI]],$DZ$3:$DZ$32,0))</f>
        <v>3</v>
      </c>
      <c r="EC10" s="355">
        <f>IF(A10="","",VLOOKUP(RawData7[[#This Row],[Num]],$A$3:$DP$30,8,FALSE))</f>
        <v>18.18</v>
      </c>
      <c r="ED10" s="354">
        <f t="shared" si="1"/>
        <v>0.18179999999999999</v>
      </c>
      <c r="EF10" s="354">
        <f>IFERROR(IF(EC10=0,1,(VLOOKUP(RawData7[[#This Row],[Num]],$A$3:$DP$30,6,FALSE)))," ")</f>
        <v>11</v>
      </c>
      <c r="EH10" s="262">
        <f>IFERROR(VLOOKUP(RawData7[[#This Row],[Num]],$A$3:$DP$30,120,FALSE)," ")</f>
        <v>9</v>
      </c>
      <c r="EI10" s="352">
        <f>IF(AND(RawData7[[#This Row],[Num]]&lt;&gt;"",ED10&gt;$ED$34,EH10&gt;=$EH$38),1,IF(AND(RawData7[[#This Row],[Num]]&lt;&gt;"",ED10&gt;$ED$34,EH10&lt;=$EH$34),1,EH10))</f>
        <v>1</v>
      </c>
      <c r="EJ10" s="262">
        <f>IFERROR(IF(EH10=EI10,VLOOKUP(RawData7[[#This Row],[Num]],$A$3:$DP$30,10,FALSE),IF(EI10&lt;=2,VLOOKUP(RawData7[[#This Row],[Num]],$A$3:$DP$30,10,FALSE)+EI10," "))," ")</f>
        <v>4</v>
      </c>
      <c r="EK10" s="354">
        <f t="shared" si="2"/>
        <v>0.36363636363636365</v>
      </c>
      <c r="EL10" s="354">
        <f t="shared" si="3"/>
        <v>12</v>
      </c>
      <c r="EN10" s="354">
        <f t="shared" si="4"/>
        <v>5.5005500550055011</v>
      </c>
      <c r="EP10" s="354">
        <f>IF(RawData7[[#This Row],[Num]]&lt;&gt;"",IF(EH10=0,0,IF(AND(EH10&gt;0,EH10&lt;=2),EN10-EN10,EN10-EI10))," ")</f>
        <v>4.5005500550055011</v>
      </c>
      <c r="ER10" s="352">
        <f t="shared" si="5"/>
        <v>1</v>
      </c>
      <c r="ET10" s="354">
        <f t="shared" si="6"/>
        <v>12</v>
      </c>
      <c r="EU10" s="352">
        <f t="shared" si="7"/>
        <v>8.3333333333333329E-2</v>
      </c>
      <c r="EV10" s="352" t="str">
        <f t="shared" si="8"/>
        <v>NOW</v>
      </c>
    </row>
    <row r="11" spans="1:152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0"/>
        <v xml:space="preserve"> </v>
      </c>
      <c r="EA11" s="265" t="str">
        <f>IF(RawData7[[#This Row],[Cohesion ROI]]=" "," ",RANK(RawData7[[#This Row],[Cohesion ROI]],$DZ$3:$DZ$32,0))</f>
        <v xml:space="preserve"> </v>
      </c>
      <c r="EC11" s="354" t="str">
        <f>IF(A11="","",VLOOKUP(RawData7[[#This Row],[Num]],$A$3:$DP$30,8,FALSE))</f>
        <v/>
      </c>
      <c r="ED11" s="355" t="str">
        <f t="shared" si="1"/>
        <v xml:space="preserve"> </v>
      </c>
      <c r="EF11" s="355" t="str">
        <f>IFERROR(IF(EC11=0,1,(VLOOKUP(RawData7[[#This Row],[Num]],$A$3:$DP$30,6,FALSE)))," ")</f>
        <v xml:space="preserve"> </v>
      </c>
      <c r="EH11" s="316" t="str">
        <f>IFERROR(VLOOKUP(RawData7[[#This Row],[Num]],$A$3:$DP$30,120,FALSE)," ")</f>
        <v xml:space="preserve"> </v>
      </c>
      <c r="EI11" s="351" t="str">
        <f>IF(AND(RawData7[[#This Row],[Num]]&lt;&gt;"",ED11&gt;$ED$34,EH11&gt;=$EH$38),1,IF(AND(RawData7[[#This Row],[Num]]&lt;&gt;"",ED11&gt;$ED$34,EH11&lt;=$EH$34),1,EH11))</f>
        <v xml:space="preserve"> </v>
      </c>
      <c r="EJ11" s="316" t="str">
        <f>IFERROR(IF(EH11=EI11,VLOOKUP(RawData7[[#This Row],[Num]],$A$3:$DP$30,10,FALSE),IF(EI11&lt;=2,VLOOKUP(RawData7[[#This Row],[Num]],$A$3:$DP$30,10,FALSE)+EI11," "))," ")</f>
        <v xml:space="preserve"> </v>
      </c>
      <c r="EK11" s="355" t="str">
        <f t="shared" si="2"/>
        <v xml:space="preserve"> </v>
      </c>
      <c r="EL11" s="355" t="str">
        <f t="shared" si="3"/>
        <v xml:space="preserve"> </v>
      </c>
      <c r="EN11" s="355" t="str">
        <f t="shared" si="4"/>
        <v xml:space="preserve"> </v>
      </c>
      <c r="EP11" s="355" t="str">
        <f>IF(RawData7[[#This Row],[Num]]&lt;&gt;"",IF(EH11=0,0,IF(AND(EH11&gt;0,EH11&lt;=2),EN11-EN11,EN11-EI11))," ")</f>
        <v xml:space="preserve"> </v>
      </c>
      <c r="ER11" s="351" t="str">
        <f t="shared" si="5"/>
        <v xml:space="preserve"> </v>
      </c>
      <c r="ET11" s="355" t="str">
        <f t="shared" si="6"/>
        <v xml:space="preserve"> </v>
      </c>
      <c r="EU11" s="351" t="str">
        <f t="shared" si="7"/>
        <v xml:space="preserve"> </v>
      </c>
      <c r="EV11" s="351" t="str">
        <f t="shared" si="8"/>
        <v xml:space="preserve"> </v>
      </c>
    </row>
    <row r="12" spans="1:152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0"/>
        <v xml:space="preserve"> </v>
      </c>
      <c r="EA12" s="265" t="str">
        <f>IF(RawData7[[#This Row],[Cohesion ROI]]=" "," ",RANK(RawData7[[#This Row],[Cohesion ROI]],$DZ$3:$DZ$32,0))</f>
        <v xml:space="preserve"> </v>
      </c>
      <c r="EC12" s="355" t="str">
        <f>IF(A12="","",VLOOKUP(RawData7[[#This Row],[Num]],$A$3:$DP$30,8,FALSE))</f>
        <v/>
      </c>
      <c r="ED12" s="354" t="str">
        <f t="shared" si="1"/>
        <v xml:space="preserve"> </v>
      </c>
      <c r="EF12" s="354" t="str">
        <f>IFERROR(IF(EC12=0,1,(VLOOKUP(RawData7[[#This Row],[Num]],$A$3:$DP$30,6,FALSE)))," ")</f>
        <v xml:space="preserve"> </v>
      </c>
      <c r="EH12" s="262" t="str">
        <f>IFERROR(VLOOKUP(RawData7[[#This Row],[Num]],$A$3:$DP$30,120,FALSE)," ")</f>
        <v xml:space="preserve"> </v>
      </c>
      <c r="EI12" s="352" t="str">
        <f>IF(AND(RawData7[[#This Row],[Num]]&lt;&gt;"",ED12&gt;$ED$34,EH12&gt;=$EH$38),1,IF(AND(RawData7[[#This Row],[Num]]&lt;&gt;"",ED12&gt;$ED$34,EH12&lt;=$EH$34),1,EH12))</f>
        <v xml:space="preserve"> </v>
      </c>
      <c r="EJ12" s="262" t="str">
        <f>IFERROR(IF(EH12=EI12,VLOOKUP(RawData7[[#This Row],[Num]],$A$3:$DP$30,10,FALSE),IF(EI12&lt;=2,VLOOKUP(RawData7[[#This Row],[Num]],$A$3:$DP$30,10,FALSE)+EI12," "))," ")</f>
        <v xml:space="preserve"> </v>
      </c>
      <c r="EK12" s="354" t="str">
        <f t="shared" si="2"/>
        <v xml:space="preserve"> </v>
      </c>
      <c r="EL12" s="354" t="str">
        <f t="shared" si="3"/>
        <v xml:space="preserve"> </v>
      </c>
      <c r="EN12" s="354" t="str">
        <f t="shared" si="4"/>
        <v xml:space="preserve"> </v>
      </c>
      <c r="EP12" s="354" t="str">
        <f>IF(RawData7[[#This Row],[Num]]&lt;&gt;"",IF(EH12=0,0,IF(AND(EH12&gt;0,EH12&lt;=2),EN12-EN12,EN12-EI12))," ")</f>
        <v xml:space="preserve"> </v>
      </c>
      <c r="ER12" s="352" t="str">
        <f t="shared" si="5"/>
        <v xml:space="preserve"> </v>
      </c>
      <c r="ET12" s="354" t="str">
        <f t="shared" si="6"/>
        <v xml:space="preserve"> </v>
      </c>
      <c r="EU12" s="352" t="str">
        <f t="shared" si="7"/>
        <v xml:space="preserve"> </v>
      </c>
      <c r="EV12" s="352" t="str">
        <f t="shared" si="8"/>
        <v xml:space="preserve"> </v>
      </c>
    </row>
    <row r="13" spans="1:152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0"/>
        <v xml:space="preserve"> </v>
      </c>
      <c r="EA13" s="265" t="str">
        <f>IF(RawData7[[#This Row],[Cohesion ROI]]=" "," ",RANK(RawData7[[#This Row],[Cohesion ROI]],$DZ$3:$DZ$32,0))</f>
        <v xml:space="preserve"> </v>
      </c>
      <c r="EC13" s="354" t="str">
        <f>IF(A13="","",VLOOKUP(RawData7[[#This Row],[Num]],$A$3:$DP$30,8,FALSE))</f>
        <v/>
      </c>
      <c r="ED13" s="355" t="str">
        <f t="shared" si="1"/>
        <v xml:space="preserve"> </v>
      </c>
      <c r="EF13" s="355" t="str">
        <f>IFERROR(IF(EC13=0,1,(VLOOKUP(RawData7[[#This Row],[Num]],$A$3:$DP$30,6,FALSE)))," ")</f>
        <v xml:space="preserve"> </v>
      </c>
      <c r="EH13" s="316" t="str">
        <f>IFERROR(VLOOKUP(RawData7[[#This Row],[Num]],$A$3:$DP$30,120,FALSE)," ")</f>
        <v xml:space="preserve"> </v>
      </c>
      <c r="EI13" s="351" t="str">
        <f>IF(AND(RawData7[[#This Row],[Num]]&lt;&gt;"",ED13&gt;$ED$34,EH13&gt;=$EH$38),1,IF(AND(RawData7[[#This Row],[Num]]&lt;&gt;"",ED13&gt;$ED$34,EH13&lt;=$EH$34),1,EH13))</f>
        <v xml:space="preserve"> </v>
      </c>
      <c r="EJ13" s="316" t="str">
        <f>IFERROR(IF(EH13=EI13,VLOOKUP(RawData7[[#This Row],[Num]],$A$3:$DP$30,10,FALSE),IF(EI13&lt;=2,VLOOKUP(RawData7[[#This Row],[Num]],$A$3:$DP$30,10,FALSE)+EI13," "))," ")</f>
        <v xml:space="preserve"> </v>
      </c>
      <c r="EK13" s="355" t="str">
        <f t="shared" si="2"/>
        <v xml:space="preserve"> </v>
      </c>
      <c r="EL13" s="355" t="str">
        <f t="shared" si="3"/>
        <v xml:space="preserve"> </v>
      </c>
      <c r="EN13" s="355" t="str">
        <f t="shared" si="4"/>
        <v xml:space="preserve"> </v>
      </c>
      <c r="EP13" s="355" t="str">
        <f>IF(RawData7[[#This Row],[Num]]&lt;&gt;"",IF(EH13=0,0,IF(AND(EH13&gt;0,EH13&lt;=2),EN13-EN13,EN13-EI13))," ")</f>
        <v xml:space="preserve"> </v>
      </c>
      <c r="ER13" s="351" t="str">
        <f t="shared" si="5"/>
        <v xml:space="preserve"> </v>
      </c>
      <c r="ET13" s="355" t="str">
        <f t="shared" si="6"/>
        <v xml:space="preserve"> </v>
      </c>
      <c r="EU13" s="351" t="str">
        <f t="shared" si="7"/>
        <v xml:space="preserve"> </v>
      </c>
      <c r="EV13" s="351" t="str">
        <f t="shared" si="8"/>
        <v xml:space="preserve"> </v>
      </c>
    </row>
    <row r="14" spans="1:152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0"/>
        <v xml:space="preserve"> </v>
      </c>
      <c r="EA14" s="265" t="str">
        <f>IF(RawData7[[#This Row],[Cohesion ROI]]=" "," ",RANK(RawData7[[#This Row],[Cohesion ROI]],$DZ$3:$DZ$32,0))</f>
        <v xml:space="preserve"> </v>
      </c>
      <c r="EC14" s="355" t="str">
        <f>IF(A14="","",VLOOKUP(RawData7[[#This Row],[Num]],$A$3:$DP$30,8,FALSE))</f>
        <v/>
      </c>
      <c r="ED14" s="354" t="str">
        <f t="shared" si="1"/>
        <v xml:space="preserve"> </v>
      </c>
      <c r="EF14" s="354" t="str">
        <f>IFERROR(IF(EC14=0,1,(VLOOKUP(RawData7[[#This Row],[Num]],$A$3:$DP$30,6,FALSE)))," ")</f>
        <v xml:space="preserve"> </v>
      </c>
      <c r="EH14" s="262" t="str">
        <f>IFERROR(VLOOKUP(RawData7[[#This Row],[Num]],$A$3:$DP$30,120,FALSE)," ")</f>
        <v xml:space="preserve"> </v>
      </c>
      <c r="EI14" s="352" t="str">
        <f>IF(AND(RawData7[[#This Row],[Num]]&lt;&gt;"",ED14&gt;$ED$34,EH14&gt;=$EH$38),1,IF(AND(RawData7[[#This Row],[Num]]&lt;&gt;"",ED14&gt;$ED$34,EH14&lt;=$EH$34),1,EH14))</f>
        <v xml:space="preserve"> </v>
      </c>
      <c r="EJ14" s="262" t="str">
        <f>IFERROR(IF(EH14=EI14,VLOOKUP(RawData7[[#This Row],[Num]],$A$3:$DP$30,10,FALSE),IF(EI14&lt;=2,VLOOKUP(RawData7[[#This Row],[Num]],$A$3:$DP$30,10,FALSE)+EI14," "))," ")</f>
        <v xml:space="preserve"> </v>
      </c>
      <c r="EK14" s="354" t="str">
        <f t="shared" si="2"/>
        <v xml:space="preserve"> </v>
      </c>
      <c r="EL14" s="354" t="str">
        <f t="shared" si="3"/>
        <v xml:space="preserve"> </v>
      </c>
      <c r="EN14" s="354" t="str">
        <f t="shared" si="4"/>
        <v xml:space="preserve"> </v>
      </c>
      <c r="EP14" s="354" t="str">
        <f>IF(RawData7[[#This Row],[Num]]&lt;&gt;"",IF(EH14=0,0,IF(AND(EH14&gt;0,EH14&lt;=2),EN14-EN14,EN14-EI14))," ")</f>
        <v xml:space="preserve"> </v>
      </c>
      <c r="ER14" s="352" t="str">
        <f t="shared" si="5"/>
        <v xml:space="preserve"> </v>
      </c>
      <c r="ET14" s="354" t="str">
        <f t="shared" si="6"/>
        <v xml:space="preserve"> </v>
      </c>
      <c r="EU14" s="352" t="str">
        <f t="shared" si="7"/>
        <v xml:space="preserve"> </v>
      </c>
      <c r="EV14" s="352" t="str">
        <f t="shared" si="8"/>
        <v xml:space="preserve"> </v>
      </c>
    </row>
    <row r="15" spans="1:152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0"/>
        <v xml:space="preserve"> </v>
      </c>
      <c r="EA15" s="265" t="str">
        <f>IF(RawData7[[#This Row],[Cohesion ROI]]=" "," ",RANK(RawData7[[#This Row],[Cohesion ROI]],$DZ$3:$DZ$32,0))</f>
        <v xml:space="preserve"> </v>
      </c>
      <c r="EC15" s="354" t="str">
        <f>IF(A15="","",VLOOKUP(RawData7[[#This Row],[Num]],$A$3:$DP$30,8,FALSE))</f>
        <v/>
      </c>
      <c r="ED15" s="355" t="str">
        <f t="shared" si="1"/>
        <v xml:space="preserve"> </v>
      </c>
      <c r="EF15" s="355" t="str">
        <f>IFERROR(IF(EC15=0,1,(VLOOKUP(RawData7[[#This Row],[Num]],$A$3:$DP$30,6,FALSE)))," ")</f>
        <v xml:space="preserve"> </v>
      </c>
      <c r="EH15" s="316" t="str">
        <f>IFERROR(VLOOKUP(RawData7[[#This Row],[Num]],$A$3:$DP$30,120,FALSE)," ")</f>
        <v xml:space="preserve"> </v>
      </c>
      <c r="EI15" s="351" t="str">
        <f>IF(AND(RawData7[[#This Row],[Num]]&lt;&gt;"",ED15&gt;$ED$34,EH15&gt;=$EH$38),1,IF(AND(RawData7[[#This Row],[Num]]&lt;&gt;"",ED15&gt;$ED$34,EH15&lt;=$EH$34),1,EH15))</f>
        <v xml:space="preserve"> </v>
      </c>
      <c r="EJ15" s="316" t="str">
        <f>IFERROR(IF(EH15=EI15,VLOOKUP(RawData7[[#This Row],[Num]],$A$3:$DP$30,10,FALSE),IF(EI15&lt;=2,VLOOKUP(RawData7[[#This Row],[Num]],$A$3:$DP$30,10,FALSE)+EI15," "))," ")</f>
        <v xml:space="preserve"> </v>
      </c>
      <c r="EK15" s="355" t="str">
        <f t="shared" si="2"/>
        <v xml:space="preserve"> </v>
      </c>
      <c r="EL15" s="355" t="str">
        <f t="shared" si="3"/>
        <v xml:space="preserve"> </v>
      </c>
      <c r="EN15" s="355" t="str">
        <f t="shared" si="4"/>
        <v xml:space="preserve"> </v>
      </c>
      <c r="EP15" s="355" t="str">
        <f>IF(RawData7[[#This Row],[Num]]&lt;&gt;"",IF(EH15=0,0,IF(AND(EH15&gt;0,EH15&lt;=2),EN15-EN15,EN15-EI15))," ")</f>
        <v xml:space="preserve"> </v>
      </c>
      <c r="ER15" s="351" t="str">
        <f t="shared" si="5"/>
        <v xml:space="preserve"> </v>
      </c>
      <c r="ET15" s="355" t="str">
        <f t="shared" si="6"/>
        <v xml:space="preserve"> </v>
      </c>
      <c r="EU15" s="351" t="str">
        <f t="shared" si="7"/>
        <v xml:space="preserve"> </v>
      </c>
      <c r="EV15" s="351" t="str">
        <f t="shared" si="8"/>
        <v xml:space="preserve"> </v>
      </c>
    </row>
    <row r="16" spans="1:152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0"/>
        <v xml:space="preserve"> </v>
      </c>
      <c r="EA16" s="265" t="str">
        <f>IF(RawData7[[#This Row],[Cohesion ROI]]=" "," ",RANK(RawData7[[#This Row],[Cohesion ROI]],$DZ$3:$DZ$32,0))</f>
        <v xml:space="preserve"> </v>
      </c>
      <c r="EC16" s="355" t="str">
        <f>IF(A16="","",VLOOKUP(RawData7[[#This Row],[Num]],$A$3:$DP$30,8,FALSE))</f>
        <v/>
      </c>
      <c r="ED16" s="354" t="str">
        <f t="shared" si="1"/>
        <v xml:space="preserve"> </v>
      </c>
      <c r="EF16" s="354" t="str">
        <f>IFERROR(IF(EC16=0,1,(VLOOKUP(RawData7[[#This Row],[Num]],$A$3:$DP$30,6,FALSE)))," ")</f>
        <v xml:space="preserve"> </v>
      </c>
      <c r="EH16" s="262" t="str">
        <f>IFERROR(VLOOKUP(RawData7[[#This Row],[Num]],$A$3:$DP$30,120,FALSE)," ")</f>
        <v xml:space="preserve"> </v>
      </c>
      <c r="EI16" s="352" t="str">
        <f>IF(AND(RawData7[[#This Row],[Num]]&lt;&gt;"",ED16&gt;$ED$34,EH16&gt;=$EH$38),1,IF(AND(RawData7[[#This Row],[Num]]&lt;&gt;"",ED16&gt;$ED$34,EH16&lt;=$EH$34),1,EH16))</f>
        <v xml:space="preserve"> </v>
      </c>
      <c r="EJ16" s="262" t="str">
        <f>IFERROR(IF(EH16=EI16,VLOOKUP(RawData7[[#This Row],[Num]],$A$3:$DP$30,10,FALSE),IF(EI16&lt;=2,VLOOKUP(RawData7[[#This Row],[Num]],$A$3:$DP$30,10,FALSE)+EI16," "))," ")</f>
        <v xml:space="preserve"> </v>
      </c>
      <c r="EK16" s="354" t="str">
        <f t="shared" si="2"/>
        <v xml:space="preserve"> </v>
      </c>
      <c r="EL16" s="354" t="str">
        <f t="shared" si="3"/>
        <v xml:space="preserve"> </v>
      </c>
      <c r="EN16" s="354" t="str">
        <f t="shared" si="4"/>
        <v xml:space="preserve"> </v>
      </c>
      <c r="EP16" s="354" t="str">
        <f>IF(RawData7[[#This Row],[Num]]&lt;&gt;"",IF(EH16=0,0,IF(AND(EH16&gt;0,EH16&lt;=2),EN16-EN16,EN16-EI16))," ")</f>
        <v xml:space="preserve"> </v>
      </c>
      <c r="ER16" s="352" t="str">
        <f t="shared" si="5"/>
        <v xml:space="preserve"> </v>
      </c>
      <c r="ET16" s="354" t="str">
        <f t="shared" si="6"/>
        <v xml:space="preserve"> </v>
      </c>
      <c r="EU16" s="352" t="str">
        <f t="shared" si="7"/>
        <v xml:space="preserve"> </v>
      </c>
      <c r="EV16" s="352" t="str">
        <f t="shared" si="8"/>
        <v xml:space="preserve"> </v>
      </c>
    </row>
    <row r="17" spans="1:152" x14ac:dyDescent="0.3">
      <c r="A17" s="266"/>
      <c r="B17" s="262"/>
      <c r="C17" s="262"/>
      <c r="D17" s="262">
        <v>0</v>
      </c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0"/>
        <v xml:space="preserve"> </v>
      </c>
      <c r="EA17" s="265" t="str">
        <f>IF(RawData7[[#This Row],[Cohesion ROI]]=" "," ",RANK(RawData7[[#This Row],[Cohesion ROI]],$DZ$3:$DZ$32,0))</f>
        <v xml:space="preserve"> </v>
      </c>
      <c r="EC17" s="354" t="str">
        <f>IF(A17="","",VLOOKUP(RawData7[[#This Row],[Num]],$A$3:$DP$30,8,FALSE))</f>
        <v/>
      </c>
      <c r="ED17" s="355" t="str">
        <f t="shared" si="1"/>
        <v xml:space="preserve"> </v>
      </c>
      <c r="EF17" s="355" t="str">
        <f>IFERROR(IF(EC17=0,1,(VLOOKUP(RawData7[[#This Row],[Num]],$A$3:$DP$30,6,FALSE)))," ")</f>
        <v xml:space="preserve"> </v>
      </c>
      <c r="EH17" s="316" t="str">
        <f>IFERROR(VLOOKUP(RawData7[[#This Row],[Num]],$A$3:$DP$30,120,FALSE)," ")</f>
        <v xml:space="preserve"> </v>
      </c>
      <c r="EI17" s="351" t="str">
        <f>IF(AND(RawData7[[#This Row],[Num]]&lt;&gt;"",ED17&gt;$ED$34,EH17&gt;=$EH$38),1,IF(AND(RawData7[[#This Row],[Num]]&lt;&gt;"",ED17&gt;$ED$34,EH17&lt;=$EH$34),1,EH17))</f>
        <v xml:space="preserve"> </v>
      </c>
      <c r="EJ17" s="316" t="str">
        <f>IFERROR(IF(EH17=EI17,VLOOKUP(RawData7[[#This Row],[Num]],$A$3:$DP$30,10,FALSE),IF(EI17&lt;=2,VLOOKUP(RawData7[[#This Row],[Num]],$A$3:$DP$30,10,FALSE)+EI17," "))," ")</f>
        <v xml:space="preserve"> </v>
      </c>
      <c r="EK17" s="355" t="str">
        <f t="shared" si="2"/>
        <v xml:space="preserve"> </v>
      </c>
      <c r="EL17" s="355" t="str">
        <f t="shared" si="3"/>
        <v xml:space="preserve"> </v>
      </c>
      <c r="EN17" s="355" t="str">
        <f t="shared" si="4"/>
        <v xml:space="preserve"> </v>
      </c>
      <c r="EP17" s="355" t="str">
        <f>IF(RawData7[[#This Row],[Num]]&lt;&gt;"",IF(EH17=0,0,IF(AND(EH17&gt;0,EH17&lt;=2),EN17-EN17,EN17-EI17))," ")</f>
        <v xml:space="preserve"> </v>
      </c>
      <c r="ER17" s="351" t="str">
        <f t="shared" si="5"/>
        <v xml:space="preserve"> </v>
      </c>
      <c r="ET17" s="355" t="str">
        <f t="shared" si="6"/>
        <v xml:space="preserve"> </v>
      </c>
      <c r="EU17" s="351" t="str">
        <f t="shared" si="7"/>
        <v xml:space="preserve"> </v>
      </c>
      <c r="EV17" s="351" t="str">
        <f t="shared" si="8"/>
        <v xml:space="preserve"> </v>
      </c>
    </row>
    <row r="18" spans="1:152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0"/>
        <v xml:space="preserve"> </v>
      </c>
      <c r="EA18" s="265" t="str">
        <f>IF(RawData7[[#This Row],[Cohesion ROI]]=" "," ",RANK(RawData7[[#This Row],[Cohesion ROI]],$DZ$3:$DZ$32,0))</f>
        <v xml:space="preserve"> </v>
      </c>
      <c r="EC18" s="355" t="str">
        <f>IF(A18="","",VLOOKUP(RawData7[[#This Row],[Num]],$A$3:$DP$30,8,FALSE))</f>
        <v/>
      </c>
      <c r="ED18" s="354" t="str">
        <f t="shared" si="1"/>
        <v xml:space="preserve"> </v>
      </c>
      <c r="EF18" s="354" t="str">
        <f>IFERROR(IF(EC18=0,1,(VLOOKUP(RawData7[[#This Row],[Num]],$A$3:$DP$30,6,FALSE)))," ")</f>
        <v xml:space="preserve"> </v>
      </c>
      <c r="EH18" s="262" t="str">
        <f>IFERROR(VLOOKUP(RawData7[[#This Row],[Num]],$A$3:$DP$30,120,FALSE)," ")</f>
        <v xml:space="preserve"> </v>
      </c>
      <c r="EI18" s="352" t="str">
        <f>IF(AND(RawData7[[#This Row],[Num]]&lt;&gt;"",ED18&gt;$ED$34,EH18&gt;=$EH$38),1,IF(AND(RawData7[[#This Row],[Num]]&lt;&gt;"",ED18&gt;$ED$34,EH18&lt;=$EH$34),1,EH18))</f>
        <v xml:space="preserve"> </v>
      </c>
      <c r="EJ18" s="262" t="str">
        <f>IFERROR(IF(EH18=EI18,VLOOKUP(RawData7[[#This Row],[Num]],$A$3:$DP$30,10,FALSE),IF(EI18&lt;=2,VLOOKUP(RawData7[[#This Row],[Num]],$A$3:$DP$30,10,FALSE)+EI18," "))," ")</f>
        <v xml:space="preserve"> </v>
      </c>
      <c r="EK18" s="354" t="str">
        <f t="shared" si="2"/>
        <v xml:space="preserve"> </v>
      </c>
      <c r="EL18" s="354" t="str">
        <f t="shared" si="3"/>
        <v xml:space="preserve"> </v>
      </c>
      <c r="EN18" s="354" t="str">
        <f t="shared" si="4"/>
        <v xml:space="preserve"> </v>
      </c>
      <c r="EP18" s="354" t="str">
        <f>IF(RawData7[[#This Row],[Num]]&lt;&gt;"",IF(EH18=0,0,IF(AND(EH18&gt;0,EH18&lt;=2),EN18-EN18,EN18-EI18))," ")</f>
        <v xml:space="preserve"> </v>
      </c>
      <c r="ER18" s="352" t="str">
        <f t="shared" si="5"/>
        <v xml:space="preserve"> </v>
      </c>
      <c r="ET18" s="354" t="str">
        <f t="shared" si="6"/>
        <v xml:space="preserve"> </v>
      </c>
      <c r="EU18" s="352" t="str">
        <f t="shared" si="7"/>
        <v xml:space="preserve"> </v>
      </c>
      <c r="EV18" s="352" t="str">
        <f t="shared" si="8"/>
        <v xml:space="preserve"> </v>
      </c>
    </row>
    <row r="19" spans="1:152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0"/>
        <v xml:space="preserve"> </v>
      </c>
      <c r="EA19" s="265" t="str">
        <f>IF(RawData7[[#This Row],[Cohesion ROI]]=" "," ",RANK(RawData7[[#This Row],[Cohesion ROI]],$DZ$3:$DZ$32,0))</f>
        <v xml:space="preserve"> </v>
      </c>
      <c r="EC19" s="354" t="str">
        <f>IF(A19="","",VLOOKUP(RawData7[[#This Row],[Num]],$A$3:$DP$30,8,FALSE))</f>
        <v/>
      </c>
      <c r="ED19" s="355" t="str">
        <f t="shared" si="1"/>
        <v xml:space="preserve"> </v>
      </c>
      <c r="EF19" s="355" t="str">
        <f>IFERROR(IF(EC19=0,1,(VLOOKUP(RawData7[[#This Row],[Num]],$A$3:$DP$30,6,FALSE)))," ")</f>
        <v xml:space="preserve"> </v>
      </c>
      <c r="EH19" s="316" t="str">
        <f>IFERROR(VLOOKUP(RawData7[[#This Row],[Num]],$A$3:$DP$30,120,FALSE)," ")</f>
        <v xml:space="preserve"> </v>
      </c>
      <c r="EI19" s="351" t="str">
        <f>IF(AND(RawData7[[#This Row],[Num]]&lt;&gt;"",ED19&gt;$ED$34,EH19&gt;=$EH$38),1,IF(AND(RawData7[[#This Row],[Num]]&lt;&gt;"",ED19&gt;$ED$34,EH19&lt;=$EH$34),1,EH19))</f>
        <v xml:space="preserve"> </v>
      </c>
      <c r="EJ19" s="316" t="str">
        <f>IFERROR(IF(EH19=EI19,VLOOKUP(RawData7[[#This Row],[Num]],$A$3:$DP$30,10,FALSE),IF(EI19&lt;=2,VLOOKUP(RawData7[[#This Row],[Num]],$A$3:$DP$30,10,FALSE)+EI19," "))," ")</f>
        <v xml:space="preserve"> </v>
      </c>
      <c r="EK19" s="355" t="str">
        <f t="shared" si="2"/>
        <v xml:space="preserve"> </v>
      </c>
      <c r="EL19" s="355" t="str">
        <f t="shared" si="3"/>
        <v xml:space="preserve"> </v>
      </c>
      <c r="EN19" s="355" t="str">
        <f t="shared" si="4"/>
        <v xml:space="preserve"> </v>
      </c>
      <c r="EP19" s="355" t="str">
        <f>IF(RawData7[[#This Row],[Num]]&lt;&gt;"",IF(EH19=0,0,IF(AND(EH19&gt;0,EH19&lt;=2),EN19-EN19,EN19-EI19))," ")</f>
        <v xml:space="preserve"> </v>
      </c>
      <c r="ER19" s="351" t="str">
        <f t="shared" si="5"/>
        <v xml:space="preserve"> </v>
      </c>
      <c r="ET19" s="355" t="str">
        <f t="shared" si="6"/>
        <v xml:space="preserve"> </v>
      </c>
      <c r="EU19" s="351" t="str">
        <f t="shared" si="7"/>
        <v xml:space="preserve"> </v>
      </c>
      <c r="EV19" s="351" t="str">
        <f t="shared" si="8"/>
        <v xml:space="preserve"> </v>
      </c>
    </row>
    <row r="20" spans="1:152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0"/>
        <v xml:space="preserve"> </v>
      </c>
      <c r="EA20" s="265" t="str">
        <f>IF(RawData7[[#This Row],[Cohesion ROI]]=" "," ",RANK(RawData7[[#This Row],[Cohesion ROI]],$DZ$3:$DZ$32,0))</f>
        <v xml:space="preserve"> </v>
      </c>
      <c r="EC20" s="355" t="str">
        <f>IF(A20="","",VLOOKUP(RawData7[[#This Row],[Num]],$A$3:$DP$30,8,FALSE))</f>
        <v/>
      </c>
      <c r="ED20" s="354" t="str">
        <f t="shared" si="1"/>
        <v xml:space="preserve"> </v>
      </c>
      <c r="EF20" s="354" t="str">
        <f>IFERROR(IF(EC20=0,1,(VLOOKUP(RawData7[[#This Row],[Num]],$A$3:$DP$30,6,FALSE)))," ")</f>
        <v xml:space="preserve"> </v>
      </c>
      <c r="EH20" s="262" t="str">
        <f>IFERROR(VLOOKUP(RawData7[[#This Row],[Num]],$A$3:$DP$30,120,FALSE)," ")</f>
        <v xml:space="preserve"> </v>
      </c>
      <c r="EI20" s="352" t="str">
        <f>IF(AND(RawData7[[#This Row],[Num]]&lt;&gt;"",ED20&gt;$ED$34,EH20&gt;=$EH$38),1,IF(AND(RawData7[[#This Row],[Num]]&lt;&gt;"",ED20&gt;$ED$34,EH20&lt;=$EH$34),1,EH20))</f>
        <v xml:space="preserve"> </v>
      </c>
      <c r="EJ20" s="262" t="str">
        <f>IFERROR(IF(EH20=EI20,VLOOKUP(RawData7[[#This Row],[Num]],$A$3:$DP$30,10,FALSE),IF(EI20&lt;=2,VLOOKUP(RawData7[[#This Row],[Num]],$A$3:$DP$30,10,FALSE)+EI20," "))," ")</f>
        <v xml:space="preserve"> </v>
      </c>
      <c r="EK20" s="354" t="str">
        <f t="shared" si="2"/>
        <v xml:space="preserve"> </v>
      </c>
      <c r="EL20" s="354" t="str">
        <f t="shared" si="3"/>
        <v xml:space="preserve"> </v>
      </c>
      <c r="EN20" s="354" t="str">
        <f t="shared" si="4"/>
        <v xml:space="preserve"> </v>
      </c>
      <c r="EP20" s="354" t="str">
        <f>IF(RawData7[[#This Row],[Num]]&lt;&gt;"",IF(EH20=0,0,IF(AND(EH20&gt;0,EH20&lt;=2),EN20-EN20,EN20-EI20))," ")</f>
        <v xml:space="preserve"> </v>
      </c>
      <c r="ER20" s="352" t="str">
        <f t="shared" si="5"/>
        <v xml:space="preserve"> </v>
      </c>
      <c r="ET20" s="354" t="str">
        <f t="shared" si="6"/>
        <v xml:space="preserve"> </v>
      </c>
      <c r="EU20" s="352" t="str">
        <f t="shared" si="7"/>
        <v xml:space="preserve"> </v>
      </c>
      <c r="EV20" s="352" t="str">
        <f t="shared" si="8"/>
        <v xml:space="preserve"> </v>
      </c>
    </row>
    <row r="21" spans="1:152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0"/>
        <v xml:space="preserve"> </v>
      </c>
      <c r="EA21" s="265" t="str">
        <f>IF(RawData7[[#This Row],[Cohesion ROI]]=" "," ",RANK(RawData7[[#This Row],[Cohesion ROI]],$DZ$3:$DZ$32,0))</f>
        <v xml:space="preserve"> </v>
      </c>
      <c r="EC21" s="354" t="str">
        <f>IF(A21="","",VLOOKUP(RawData7[[#This Row],[Num]],$A$3:$DP$30,8,FALSE))</f>
        <v/>
      </c>
      <c r="ED21" s="355" t="str">
        <f t="shared" si="1"/>
        <v xml:space="preserve"> </v>
      </c>
      <c r="EF21" s="355" t="str">
        <f>IFERROR(IF(EC21=0,1,(VLOOKUP(RawData7[[#This Row],[Num]],$A$3:$DP$30,6,FALSE)))," ")</f>
        <v xml:space="preserve"> </v>
      </c>
      <c r="EH21" s="316" t="str">
        <f>IFERROR(VLOOKUP(RawData7[[#This Row],[Num]],$A$3:$DP$30,120,FALSE)," ")</f>
        <v xml:space="preserve"> </v>
      </c>
      <c r="EI21" s="351" t="str">
        <f>IF(AND(RawData7[[#This Row],[Num]]&lt;&gt;"",ED21&gt;$ED$34,EH21&gt;=$EH$38),1,IF(AND(RawData7[[#This Row],[Num]]&lt;&gt;"",ED21&gt;$ED$34,EH21&lt;=$EH$34),1,EH21))</f>
        <v xml:space="preserve"> </v>
      </c>
      <c r="EJ21" s="316" t="str">
        <f>IFERROR(IF(EH21=EI21,VLOOKUP(RawData7[[#This Row],[Num]],$A$3:$DP$30,10,FALSE),IF(EI21&lt;=2,VLOOKUP(RawData7[[#This Row],[Num]],$A$3:$DP$30,10,FALSE)+EI21," "))," ")</f>
        <v xml:space="preserve"> </v>
      </c>
      <c r="EK21" s="355" t="str">
        <f t="shared" si="2"/>
        <v xml:space="preserve"> </v>
      </c>
      <c r="EL21" s="355" t="str">
        <f t="shared" si="3"/>
        <v xml:space="preserve"> </v>
      </c>
      <c r="EN21" s="355" t="str">
        <f t="shared" si="4"/>
        <v xml:space="preserve"> </v>
      </c>
      <c r="EP21" s="355" t="str">
        <f>IF(RawData7[[#This Row],[Num]]&lt;&gt;"",IF(EH21=0,0,IF(AND(EH21&gt;0,EH21&lt;=2),EN21-EN21,EN21-EI21))," ")</f>
        <v xml:space="preserve"> </v>
      </c>
      <c r="ER21" s="351" t="str">
        <f t="shared" si="5"/>
        <v xml:space="preserve"> </v>
      </c>
      <c r="ET21" s="355" t="str">
        <f t="shared" si="6"/>
        <v xml:space="preserve"> </v>
      </c>
      <c r="EU21" s="351" t="str">
        <f t="shared" si="7"/>
        <v xml:space="preserve"> </v>
      </c>
      <c r="EV21" s="351" t="str">
        <f t="shared" si="8"/>
        <v xml:space="preserve"> </v>
      </c>
    </row>
    <row r="22" spans="1:152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0"/>
        <v xml:space="preserve"> </v>
      </c>
      <c r="EA22" s="265" t="str">
        <f>IF(RawData7[[#This Row],[Cohesion ROI]]=" "," ",RANK(RawData7[[#This Row],[Cohesion ROI]],$DZ$3:$DZ$32,0))</f>
        <v xml:space="preserve"> </v>
      </c>
      <c r="EC22" s="355" t="str">
        <f>IF(A22="","",VLOOKUP(RawData7[[#This Row],[Num]],$A$3:$DP$30,8,FALSE))</f>
        <v/>
      </c>
      <c r="ED22" s="354" t="str">
        <f t="shared" si="1"/>
        <v xml:space="preserve"> </v>
      </c>
      <c r="EF22" s="354" t="str">
        <f>IFERROR(IF(EC22=0,1,(VLOOKUP(RawData7[[#This Row],[Num]],$A$3:$DP$30,6,FALSE)))," ")</f>
        <v xml:space="preserve"> </v>
      </c>
      <c r="EH22" s="262" t="str">
        <f>IFERROR(VLOOKUP(RawData7[[#This Row],[Num]],$A$3:$DP$30,120,FALSE)," ")</f>
        <v xml:space="preserve"> </v>
      </c>
      <c r="EI22" s="352" t="str">
        <f>IF(AND(RawData7[[#This Row],[Num]]&lt;&gt;"",ED22&gt;$ED$34,EH22&gt;=$EH$38),1,IF(AND(RawData7[[#This Row],[Num]]&lt;&gt;"",ED22&gt;$ED$34,EH22&lt;=$EH$34),1,EH22))</f>
        <v xml:space="preserve"> </v>
      </c>
      <c r="EJ22" s="262" t="str">
        <f>IFERROR(IF(EH22=EI22,VLOOKUP(RawData7[[#This Row],[Num]],$A$3:$DP$30,10,FALSE),IF(EI22&lt;=2,VLOOKUP(RawData7[[#This Row],[Num]],$A$3:$DP$30,10,FALSE)+EI22," "))," ")</f>
        <v xml:space="preserve"> </v>
      </c>
      <c r="EK22" s="354" t="str">
        <f t="shared" si="2"/>
        <v xml:space="preserve"> </v>
      </c>
      <c r="EL22" s="354" t="str">
        <f t="shared" si="3"/>
        <v xml:space="preserve"> </v>
      </c>
      <c r="EN22" s="354" t="str">
        <f t="shared" si="4"/>
        <v xml:space="preserve"> </v>
      </c>
      <c r="EP22" s="354" t="str">
        <f>IF(RawData7[[#This Row],[Num]]&lt;&gt;"",IF(EH22=0,0,IF(AND(EH22&gt;0,EH22&lt;=2),EN22-EN22,EN22-EI22))," ")</f>
        <v xml:space="preserve"> </v>
      </c>
      <c r="ER22" s="352" t="str">
        <f t="shared" si="5"/>
        <v xml:space="preserve"> </v>
      </c>
      <c r="ET22" s="354" t="str">
        <f t="shared" si="6"/>
        <v xml:space="preserve"> </v>
      </c>
      <c r="EU22" s="352" t="str">
        <f t="shared" si="7"/>
        <v xml:space="preserve"> </v>
      </c>
      <c r="EV22" s="352" t="str">
        <f t="shared" si="8"/>
        <v xml:space="preserve"> </v>
      </c>
    </row>
    <row r="23" spans="1:152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0"/>
        <v xml:space="preserve"> </v>
      </c>
      <c r="EA23" s="265" t="str">
        <f>IF(RawData7[[#This Row],[Cohesion ROI]]=" "," ",RANK(RawData7[[#This Row],[Cohesion ROI]],$DZ$3:$DZ$32,0))</f>
        <v xml:space="preserve"> </v>
      </c>
      <c r="EC23" s="354" t="str">
        <f>IF(A23="","",VLOOKUP(RawData7[[#This Row],[Num]],$A$3:$DP$30,8,FALSE))</f>
        <v/>
      </c>
      <c r="ED23" s="355" t="str">
        <f t="shared" si="1"/>
        <v xml:space="preserve"> </v>
      </c>
      <c r="EF23" s="355" t="str">
        <f>IFERROR(IF(EC23=0,1,(VLOOKUP(RawData7[[#This Row],[Num]],$A$3:$DP$30,6,FALSE)))," ")</f>
        <v xml:space="preserve"> </v>
      </c>
      <c r="EH23" s="316" t="str">
        <f>IFERROR(VLOOKUP(RawData7[[#This Row],[Num]],$A$3:$DP$30,120,FALSE)," ")</f>
        <v xml:space="preserve"> </v>
      </c>
      <c r="EI23" s="351" t="str">
        <f>IF(AND(RawData7[[#This Row],[Num]]&lt;&gt;"",ED23&gt;$ED$34,EH23&gt;=$EH$38),1,IF(AND(RawData7[[#This Row],[Num]]&lt;&gt;"",ED23&gt;$ED$34,EH23&lt;=$EH$34),1,EH23))</f>
        <v xml:space="preserve"> </v>
      </c>
      <c r="EJ23" s="316" t="str">
        <f>IFERROR(IF(EH23=EI23,VLOOKUP(RawData7[[#This Row],[Num]],$A$3:$DP$30,10,FALSE),IF(EI23&lt;=2,VLOOKUP(RawData7[[#This Row],[Num]],$A$3:$DP$30,10,FALSE)+EI23," "))," ")</f>
        <v xml:space="preserve"> </v>
      </c>
      <c r="EK23" s="355" t="str">
        <f t="shared" si="2"/>
        <v xml:space="preserve"> </v>
      </c>
      <c r="EL23" s="355" t="str">
        <f t="shared" si="3"/>
        <v xml:space="preserve"> </v>
      </c>
      <c r="EN23" s="355" t="str">
        <f t="shared" si="4"/>
        <v xml:space="preserve"> </v>
      </c>
      <c r="EP23" s="355" t="str">
        <f>IF(RawData7[[#This Row],[Num]]&lt;&gt;"",IF(EH23=0,0,IF(AND(EH23&gt;0,EH23&lt;=2),EN23-EN23,EN23-EI23))," ")</f>
        <v xml:space="preserve"> </v>
      </c>
      <c r="ER23" s="351" t="str">
        <f t="shared" si="5"/>
        <v xml:space="preserve"> </v>
      </c>
      <c r="ET23" s="355" t="str">
        <f t="shared" si="6"/>
        <v xml:space="preserve"> </v>
      </c>
      <c r="EU23" s="351" t="str">
        <f t="shared" si="7"/>
        <v xml:space="preserve"> </v>
      </c>
      <c r="EV23" s="351" t="str">
        <f t="shared" si="8"/>
        <v xml:space="preserve"> </v>
      </c>
    </row>
    <row r="24" spans="1:152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0"/>
        <v xml:space="preserve"> </v>
      </c>
      <c r="EA24" s="265" t="str">
        <f>IF(RawData7[[#This Row],[Cohesion ROI]]=" "," ",RANK(RawData7[[#This Row],[Cohesion ROI]],$DZ$3:$DZ$32,0))</f>
        <v xml:space="preserve"> </v>
      </c>
      <c r="EC24" s="355" t="str">
        <f>IF(A24="","",VLOOKUP(RawData7[[#This Row],[Num]],$A$3:$DP$30,8,FALSE))</f>
        <v/>
      </c>
      <c r="ED24" s="354" t="str">
        <f t="shared" si="1"/>
        <v xml:space="preserve"> </v>
      </c>
      <c r="EF24" s="354" t="str">
        <f>IFERROR(IF(EC24=0,1,(VLOOKUP(RawData7[[#This Row],[Num]],$A$3:$DP$30,6,FALSE)))," ")</f>
        <v xml:space="preserve"> </v>
      </c>
      <c r="EH24" s="262" t="str">
        <f>IFERROR(VLOOKUP(RawData7[[#This Row],[Num]],$A$3:$DP$30,120,FALSE)," ")</f>
        <v xml:space="preserve"> </v>
      </c>
      <c r="EI24" s="352" t="str">
        <f>IF(AND(RawData7[[#This Row],[Num]]&lt;&gt;"",ED24&gt;$ED$34,EH24&gt;=$EH$38),1,IF(AND(RawData7[[#This Row],[Num]]&lt;&gt;"",ED24&gt;$ED$34,EH24&lt;=$EH$34),1,EH24))</f>
        <v xml:space="preserve"> </v>
      </c>
      <c r="EJ24" s="262" t="str">
        <f>IFERROR(IF(EH24=EI24,VLOOKUP(RawData7[[#This Row],[Num]],$A$3:$DP$30,10,FALSE),IF(EI24&lt;=2,VLOOKUP(RawData7[[#This Row],[Num]],$A$3:$DP$30,10,FALSE)+EI24," "))," ")</f>
        <v xml:space="preserve"> </v>
      </c>
      <c r="EK24" s="354" t="str">
        <f t="shared" si="2"/>
        <v xml:space="preserve"> </v>
      </c>
      <c r="EL24" s="354" t="str">
        <f t="shared" si="3"/>
        <v xml:space="preserve"> </v>
      </c>
      <c r="EN24" s="354" t="str">
        <f t="shared" si="4"/>
        <v xml:space="preserve"> </v>
      </c>
      <c r="EP24" s="354" t="str">
        <f>IF(RawData7[[#This Row],[Num]]&lt;&gt;"",IF(EH24=0,0,IF(AND(EH24&gt;0,EH24&lt;=2),EN24-EN24,EN24-EI24))," ")</f>
        <v xml:space="preserve"> </v>
      </c>
      <c r="ER24" s="352" t="str">
        <f t="shared" si="5"/>
        <v xml:space="preserve"> </v>
      </c>
      <c r="ET24" s="354" t="str">
        <f t="shared" si="6"/>
        <v xml:space="preserve"> </v>
      </c>
      <c r="EU24" s="352" t="str">
        <f t="shared" si="7"/>
        <v xml:space="preserve"> </v>
      </c>
      <c r="EV24" s="352" t="str">
        <f t="shared" si="8"/>
        <v xml:space="preserve"> </v>
      </c>
    </row>
    <row r="25" spans="1:152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0"/>
        <v xml:space="preserve"> </v>
      </c>
      <c r="EA25" s="265" t="str">
        <f>IF(RawData7[[#This Row],[Cohesion ROI]]=" "," ",RANK(RawData7[[#This Row],[Cohesion ROI]],$DZ$3:$DZ$32,0))</f>
        <v xml:space="preserve"> </v>
      </c>
      <c r="EC25" s="354" t="str">
        <f>IF(A25="","",VLOOKUP(RawData7[[#This Row],[Num]],$A$3:$DP$30,8,FALSE))</f>
        <v/>
      </c>
      <c r="ED25" s="355" t="str">
        <f t="shared" si="1"/>
        <v xml:space="preserve"> </v>
      </c>
      <c r="EF25" s="355" t="str">
        <f>IFERROR(IF(EC25=0,1,(VLOOKUP(RawData7[[#This Row],[Num]],$A$3:$DP$30,6,FALSE)))," ")</f>
        <v xml:space="preserve"> </v>
      </c>
      <c r="EH25" s="316" t="str">
        <f>IFERROR(VLOOKUP(RawData7[[#This Row],[Num]],$A$3:$DP$30,120,FALSE)," ")</f>
        <v xml:space="preserve"> </v>
      </c>
      <c r="EI25" s="351" t="str">
        <f>IF(AND(RawData7[[#This Row],[Num]]&lt;&gt;"",ED25&gt;$ED$34,EH25&gt;=$EH$38),1,IF(AND(RawData7[[#This Row],[Num]]&lt;&gt;"",ED25&gt;$ED$34,EH25&lt;=$EH$34),1,EH25))</f>
        <v xml:space="preserve"> </v>
      </c>
      <c r="EJ25" s="316" t="str">
        <f>IFERROR(IF(EH25=EI25,VLOOKUP(RawData7[[#This Row],[Num]],$A$3:$DP$30,10,FALSE),IF(EI25&lt;=2,VLOOKUP(RawData7[[#This Row],[Num]],$A$3:$DP$30,10,FALSE)+EI25," "))," ")</f>
        <v xml:space="preserve"> </v>
      </c>
      <c r="EK25" s="355" t="str">
        <f t="shared" si="2"/>
        <v xml:space="preserve"> </v>
      </c>
      <c r="EL25" s="355" t="str">
        <f t="shared" si="3"/>
        <v xml:space="preserve"> </v>
      </c>
      <c r="EN25" s="355" t="str">
        <f t="shared" si="4"/>
        <v xml:space="preserve"> </v>
      </c>
      <c r="EP25" s="355" t="str">
        <f>IF(RawData7[[#This Row],[Num]]&lt;&gt;"",IF(EH25=0,0,IF(AND(EH25&gt;0,EH25&lt;=2),EN25-EN25,EN25-EI25))," ")</f>
        <v xml:space="preserve"> </v>
      </c>
      <c r="ER25" s="351" t="str">
        <f t="shared" si="5"/>
        <v xml:space="preserve"> </v>
      </c>
      <c r="ET25" s="355" t="str">
        <f t="shared" si="6"/>
        <v xml:space="preserve"> </v>
      </c>
      <c r="EU25" s="351" t="str">
        <f t="shared" si="7"/>
        <v xml:space="preserve"> </v>
      </c>
      <c r="EV25" s="351" t="str">
        <f t="shared" si="8"/>
        <v xml:space="preserve"> </v>
      </c>
    </row>
    <row r="26" spans="1:152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0"/>
        <v xml:space="preserve"> </v>
      </c>
      <c r="EA26" s="265" t="str">
        <f>IF(RawData7[[#This Row],[Cohesion ROI]]=" "," ",RANK(RawData7[[#This Row],[Cohesion ROI]],$DZ$3:$DZ$32,0))</f>
        <v xml:space="preserve"> </v>
      </c>
      <c r="EC26" s="355" t="str">
        <f>IF(A26="","",VLOOKUP(RawData7[[#This Row],[Num]],$A$3:$DP$30,8,FALSE))</f>
        <v/>
      </c>
      <c r="ED26" s="354" t="str">
        <f t="shared" si="1"/>
        <v xml:space="preserve"> </v>
      </c>
      <c r="EF26" s="354" t="str">
        <f>IFERROR(IF(EC26=0,1,(VLOOKUP(RawData7[[#This Row],[Num]],$A$3:$DP$30,6,FALSE)))," ")</f>
        <v xml:space="preserve"> </v>
      </c>
      <c r="EH26" s="262" t="str">
        <f>IFERROR(VLOOKUP(RawData7[[#This Row],[Num]],$A$3:$DP$30,120,FALSE)," ")</f>
        <v xml:space="preserve"> </v>
      </c>
      <c r="EI26" s="352" t="str">
        <f>IF(AND(RawData7[[#This Row],[Num]]&lt;&gt;"",ED26&gt;$ED$34,EH26&gt;=$EH$38),1,IF(AND(RawData7[[#This Row],[Num]]&lt;&gt;"",ED26&gt;$ED$34,EH26&lt;=$EH$34),1,EH26))</f>
        <v xml:space="preserve"> </v>
      </c>
      <c r="EJ26" s="262" t="str">
        <f>IFERROR(IF(EH26=EI26,VLOOKUP(RawData7[[#This Row],[Num]],$A$3:$DP$30,10,FALSE),IF(EI26&lt;=2,VLOOKUP(RawData7[[#This Row],[Num]],$A$3:$DP$30,10,FALSE)+EI26," "))," ")</f>
        <v xml:space="preserve"> </v>
      </c>
      <c r="EK26" s="354" t="str">
        <f t="shared" si="2"/>
        <v xml:space="preserve"> </v>
      </c>
      <c r="EL26" s="354" t="str">
        <f t="shared" si="3"/>
        <v xml:space="preserve"> </v>
      </c>
      <c r="EN26" s="354" t="str">
        <f t="shared" si="4"/>
        <v xml:space="preserve"> </v>
      </c>
      <c r="EP26" s="354" t="str">
        <f>IF(RawData7[[#This Row],[Num]]&lt;&gt;"",IF(EH26=0,0,IF(AND(EH26&gt;0,EH26&lt;=2),EN26-EN26,EN26-EI26))," ")</f>
        <v xml:space="preserve"> </v>
      </c>
      <c r="ER26" s="352" t="str">
        <f t="shared" si="5"/>
        <v xml:space="preserve"> </v>
      </c>
      <c r="ET26" s="354" t="str">
        <f t="shared" si="6"/>
        <v xml:space="preserve"> </v>
      </c>
      <c r="EU26" s="352" t="str">
        <f t="shared" si="7"/>
        <v xml:space="preserve"> </v>
      </c>
      <c r="EV26" s="352" t="str">
        <f t="shared" si="8"/>
        <v xml:space="preserve"> </v>
      </c>
    </row>
    <row r="27" spans="1:152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0"/>
        <v xml:space="preserve"> </v>
      </c>
      <c r="EA27" s="265" t="str">
        <f>IF(RawData7[[#This Row],[Cohesion ROI]]=" "," ",RANK(RawData7[[#This Row],[Cohesion ROI]],$DZ$3:$DZ$32,0))</f>
        <v xml:space="preserve"> </v>
      </c>
      <c r="EC27" s="354" t="str">
        <f>IF(A27="","",VLOOKUP(RawData7[[#This Row],[Num]],$A$3:$DP$30,8,FALSE))</f>
        <v/>
      </c>
      <c r="ED27" s="355" t="str">
        <f t="shared" si="1"/>
        <v xml:space="preserve"> </v>
      </c>
      <c r="EF27" s="355" t="str">
        <f>IFERROR(IF(EC27=0,1,(VLOOKUP(RawData7[[#This Row],[Num]],$A$3:$DP$30,6,FALSE)))," ")</f>
        <v xml:space="preserve"> </v>
      </c>
      <c r="EH27" s="316" t="str">
        <f>IFERROR(VLOOKUP(RawData7[[#This Row],[Num]],$A$3:$DP$30,120,FALSE)," ")</f>
        <v xml:space="preserve"> </v>
      </c>
      <c r="EI27" s="351" t="str">
        <f>IF(AND(RawData7[[#This Row],[Num]]&lt;&gt;"",ED27&gt;$ED$34,EH27&gt;=$EH$38),1,IF(AND(RawData7[[#This Row],[Num]]&lt;&gt;"",ED27&gt;$ED$34,EH27&lt;=$EH$34),1,EH27))</f>
        <v xml:space="preserve"> </v>
      </c>
      <c r="EJ27" s="316" t="str">
        <f>IFERROR(IF(EH27=EI27,VLOOKUP(RawData7[[#This Row],[Num]],$A$3:$DP$30,10,FALSE),IF(EI27&lt;=2,VLOOKUP(RawData7[[#This Row],[Num]],$A$3:$DP$30,10,FALSE)+EI27," "))," ")</f>
        <v xml:space="preserve"> </v>
      </c>
      <c r="EK27" s="355" t="str">
        <f t="shared" si="2"/>
        <v xml:space="preserve"> </v>
      </c>
      <c r="EL27" s="355" t="str">
        <f t="shared" si="3"/>
        <v xml:space="preserve"> </v>
      </c>
      <c r="EN27" s="355" t="str">
        <f t="shared" si="4"/>
        <v xml:space="preserve"> </v>
      </c>
      <c r="EP27" s="355" t="str">
        <f>IF(RawData7[[#This Row],[Num]]&lt;&gt;"",IF(EH27=0,0,IF(AND(EH27&gt;0,EH27&lt;=2),EN27-EN27,EN27-EI27))," ")</f>
        <v xml:space="preserve"> </v>
      </c>
      <c r="ER27" s="351" t="str">
        <f t="shared" si="5"/>
        <v xml:space="preserve"> </v>
      </c>
      <c r="ET27" s="355" t="str">
        <f t="shared" si="6"/>
        <v xml:space="preserve"> </v>
      </c>
      <c r="EU27" s="351" t="str">
        <f t="shared" si="7"/>
        <v xml:space="preserve"> </v>
      </c>
      <c r="EV27" s="351" t="str">
        <f t="shared" si="8"/>
        <v xml:space="preserve"> </v>
      </c>
    </row>
    <row r="28" spans="1:152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0"/>
        <v xml:space="preserve"> </v>
      </c>
      <c r="EA28" s="265" t="str">
        <f>IF(RawData7[[#This Row],[Cohesion ROI]]=" "," ",RANK(RawData7[[#This Row],[Cohesion ROI]],$DZ$3:$DZ$32,0))</f>
        <v xml:space="preserve"> </v>
      </c>
      <c r="EC28" s="355" t="str">
        <f>IF(A28="","",VLOOKUP(RawData7[[#This Row],[Num]],$A$3:$DP$30,8,FALSE))</f>
        <v/>
      </c>
      <c r="ED28" s="354" t="str">
        <f t="shared" si="1"/>
        <v xml:space="preserve"> </v>
      </c>
      <c r="EF28" s="354" t="str">
        <f>IFERROR(IF(EC28=0,1,(VLOOKUP(RawData7[[#This Row],[Num]],$A$3:$DP$30,6,FALSE)))," ")</f>
        <v xml:space="preserve"> </v>
      </c>
      <c r="EH28" s="262" t="str">
        <f>IFERROR(VLOOKUP(RawData7[[#This Row],[Num]],$A$3:$DP$30,120,FALSE)," ")</f>
        <v xml:space="preserve"> </v>
      </c>
      <c r="EI28" s="352" t="str">
        <f>IF(AND(RawData7[[#This Row],[Num]]&lt;&gt;"",ED28&gt;$ED$34,EH28&gt;=$EH$38),1,IF(AND(RawData7[[#This Row],[Num]]&lt;&gt;"",ED28&gt;$ED$34,EH28&lt;=$EH$34),1,EH28))</f>
        <v xml:space="preserve"> </v>
      </c>
      <c r="EJ28" s="262" t="str">
        <f>IFERROR(IF(EH28=EI28,VLOOKUP(RawData7[[#This Row],[Num]],$A$3:$DP$30,10,FALSE),IF(EI28&lt;=2,VLOOKUP(RawData7[[#This Row],[Num]],$A$3:$DP$30,10,FALSE)+EI28," "))," ")</f>
        <v xml:space="preserve"> </v>
      </c>
      <c r="EK28" s="354" t="str">
        <f t="shared" si="2"/>
        <v xml:space="preserve"> </v>
      </c>
      <c r="EL28" s="354" t="str">
        <f t="shared" si="3"/>
        <v xml:space="preserve"> </v>
      </c>
      <c r="EN28" s="354" t="str">
        <f t="shared" si="4"/>
        <v xml:space="preserve"> </v>
      </c>
      <c r="EP28" s="354" t="str">
        <f>IF(RawData7[[#This Row],[Num]]&lt;&gt;"",IF(EH28=0,0,IF(AND(EH28&gt;0,EH28&lt;=2),EN28-EN28,EN28-EI28))," ")</f>
        <v xml:space="preserve"> </v>
      </c>
      <c r="ER28" s="352" t="str">
        <f t="shared" si="5"/>
        <v xml:space="preserve"> </v>
      </c>
      <c r="ET28" s="354" t="str">
        <f t="shared" si="6"/>
        <v xml:space="preserve"> </v>
      </c>
      <c r="EU28" s="352" t="str">
        <f t="shared" si="7"/>
        <v xml:space="preserve"> </v>
      </c>
      <c r="EV28" s="352" t="str">
        <f t="shared" si="8"/>
        <v xml:space="preserve"> </v>
      </c>
    </row>
    <row r="29" spans="1:152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0"/>
        <v xml:space="preserve"> </v>
      </c>
      <c r="EA29" s="265" t="str">
        <f>IF(RawData7[[#This Row],[Cohesion ROI]]=" "," ",RANK(RawData7[[#This Row],[Cohesion ROI]],$DZ$3:$DZ$32,0))</f>
        <v xml:space="preserve"> </v>
      </c>
      <c r="EC29" s="354" t="str">
        <f>IF(A29="","",VLOOKUP(RawData7[[#This Row],[Num]],$A$3:$DP$30,8,FALSE))</f>
        <v/>
      </c>
      <c r="ED29" s="355" t="str">
        <f t="shared" si="1"/>
        <v xml:space="preserve"> </v>
      </c>
      <c r="EF29" s="355" t="str">
        <f>IFERROR(IF(EC29=0,1,(VLOOKUP(RawData7[[#This Row],[Num]],$A$3:$DP$30,6,FALSE)))," ")</f>
        <v xml:space="preserve"> </v>
      </c>
      <c r="EH29" s="316" t="str">
        <f>IFERROR(VLOOKUP(RawData7[[#This Row],[Num]],$A$3:$DP$30,120,FALSE)," ")</f>
        <v xml:space="preserve"> </v>
      </c>
      <c r="EI29" s="351" t="str">
        <f>IF(AND(RawData7[[#This Row],[Num]]&lt;&gt;"",ED29&gt;$ED$34,EH29&gt;=$EH$38),1,IF(AND(RawData7[[#This Row],[Num]]&lt;&gt;"",ED29&gt;$ED$34,EH29&lt;=$EH$34),1,EH29))</f>
        <v xml:space="preserve"> </v>
      </c>
      <c r="EJ29" s="316" t="str">
        <f>IFERROR(IF(EH29=EI29,VLOOKUP(RawData7[[#This Row],[Num]],$A$3:$DP$30,10,FALSE),IF(EI29&lt;=2,VLOOKUP(RawData7[[#This Row],[Num]],$A$3:$DP$30,10,FALSE)+EI29," "))," ")</f>
        <v xml:space="preserve"> </v>
      </c>
      <c r="EK29" s="355" t="str">
        <f t="shared" si="2"/>
        <v xml:space="preserve"> </v>
      </c>
      <c r="EL29" s="355" t="str">
        <f t="shared" si="3"/>
        <v xml:space="preserve"> </v>
      </c>
      <c r="EN29" s="355" t="str">
        <f t="shared" si="4"/>
        <v xml:space="preserve"> </v>
      </c>
      <c r="EP29" s="355" t="str">
        <f>IF(RawData7[[#This Row],[Num]]&lt;&gt;"",IF(EH29=0,0,IF(AND(EH29&gt;0,EH29&lt;=2),EN29-EN29,EN29-EI29))," ")</f>
        <v xml:space="preserve"> </v>
      </c>
      <c r="ER29" s="351" t="str">
        <f t="shared" si="5"/>
        <v xml:space="preserve"> </v>
      </c>
      <c r="ET29" s="355" t="str">
        <f t="shared" si="6"/>
        <v xml:space="preserve"> </v>
      </c>
      <c r="EU29" s="351" t="str">
        <f t="shared" si="7"/>
        <v xml:space="preserve"> </v>
      </c>
      <c r="EV29" s="351" t="str">
        <f t="shared" si="8"/>
        <v xml:space="preserve"> </v>
      </c>
    </row>
    <row r="30" spans="1:152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0"/>
        <v xml:space="preserve"> </v>
      </c>
      <c r="EA30" s="265" t="str">
        <f>IF(RawData7[[#This Row],[Cohesion ROI]]=" "," ",RANK(RawData7[[#This Row],[Cohesion ROI]],$DZ$3:$DZ$32,0))</f>
        <v xml:space="preserve"> </v>
      </c>
      <c r="EC30" s="355" t="str">
        <f>IF(A30="","",VLOOKUP(RawData7[[#This Row],[Num]],$A$3:$DP$30,8,FALSE))</f>
        <v/>
      </c>
      <c r="ED30" s="354" t="str">
        <f t="shared" si="1"/>
        <v xml:space="preserve"> </v>
      </c>
      <c r="EF30" s="354" t="str">
        <f>IFERROR(IF(EC30=0,1,(VLOOKUP(RawData7[[#This Row],[Num]],$A$3:$DP$30,6,FALSE)))," ")</f>
        <v xml:space="preserve"> </v>
      </c>
      <c r="EH30" s="262" t="str">
        <f>IFERROR(VLOOKUP(RawData7[[#This Row],[Num]],$A$3:$DP$30,120,FALSE)," ")</f>
        <v xml:space="preserve"> </v>
      </c>
      <c r="EI30" s="352" t="str">
        <f>IF(AND(RawData7[[#This Row],[Num]]&lt;&gt;"",ED30&gt;$ED$34,EH30&gt;=$EH$38),1,IF(AND(RawData7[[#This Row],[Num]]&lt;&gt;"",ED30&gt;$ED$34,EH30&lt;=$EH$34),1,EH30))</f>
        <v xml:space="preserve"> </v>
      </c>
      <c r="EJ30" s="262" t="str">
        <f>IFERROR(IF(EH30=EI30,VLOOKUP(RawData7[[#This Row],[Num]],$A$3:$DP$30,10,FALSE),IF(EI30&lt;=2,VLOOKUP(RawData7[[#This Row],[Num]],$A$3:$DP$30,10,FALSE)+EI30," "))," ")</f>
        <v xml:space="preserve"> </v>
      </c>
      <c r="EK30" s="354" t="str">
        <f t="shared" si="2"/>
        <v xml:space="preserve"> </v>
      </c>
      <c r="EL30" s="354" t="str">
        <f t="shared" si="3"/>
        <v xml:space="preserve"> </v>
      </c>
      <c r="EN30" s="354" t="str">
        <f t="shared" si="4"/>
        <v xml:space="preserve"> </v>
      </c>
      <c r="EP30" s="354" t="str">
        <f>IF(RawData7[[#This Row],[Num]]&lt;&gt;"",IF(EH30=0,0,IF(AND(EH30&gt;0,EH30&lt;=2),EN30-EN30,EN30-EI30))," ")</f>
        <v xml:space="preserve"> </v>
      </c>
      <c r="ER30" s="352" t="str">
        <f t="shared" si="5"/>
        <v xml:space="preserve"> </v>
      </c>
      <c r="ET30" s="354" t="str">
        <f t="shared" si="6"/>
        <v xml:space="preserve"> </v>
      </c>
      <c r="EU30" s="352" t="str">
        <f t="shared" si="7"/>
        <v xml:space="preserve"> </v>
      </c>
      <c r="EV30" s="352" t="str">
        <f t="shared" si="8"/>
        <v xml:space="preserve"> </v>
      </c>
    </row>
    <row r="31" spans="1:152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0"/>
        <v xml:space="preserve"> </v>
      </c>
      <c r="EA31" s="265" t="str">
        <f>IF(RawData7[[#This Row],[Cohesion ROI]]=" "," ",RANK(RawData7[[#This Row],[Cohesion ROI]],$DZ$3:$DZ$32,0))</f>
        <v xml:space="preserve"> </v>
      </c>
      <c r="EC31" s="356" t="str">
        <f>IF(A31="","",VLOOKUP(RawData7[[#This Row],[Num]],$A$3:$DP$30,8,FALSE))</f>
        <v/>
      </c>
      <c r="ED31" s="355" t="str">
        <f t="shared" si="1"/>
        <v xml:space="preserve"> </v>
      </c>
      <c r="EF31" s="355" t="str">
        <f>IFERROR(IF(EC31=0,1,(VLOOKUP(RawData7[[#This Row],[Num]],$A$3:$DP$30,6,FALSE)))," ")</f>
        <v xml:space="preserve"> </v>
      </c>
      <c r="EH31" s="316" t="str">
        <f>IFERROR(VLOOKUP(RawData7[[#This Row],[Num]],$A$3:$DP$30,120,FALSE)," ")</f>
        <v xml:space="preserve"> </v>
      </c>
      <c r="EI31" s="351" t="str">
        <f>IF(AND(RawData7[[#This Row],[Num]]&lt;&gt;"",ED31&gt;$ED$34,EH31&gt;=$EH$38),1,IF(AND(RawData7[[#This Row],[Num]]&lt;&gt;"",ED31&gt;$ED$34,EH31&lt;=$EH$34),1,EH31))</f>
        <v xml:space="preserve"> </v>
      </c>
      <c r="EJ31" s="316" t="str">
        <f>IFERROR(IF(EH31=EI31,VLOOKUP(RawData7[[#This Row],[Num]],$A$3:$DP$30,10,FALSE),IF(EI31&lt;=2,VLOOKUP(RawData7[[#This Row],[Num]],$A$3:$DP$30,10,FALSE)+EI31," "))," ")</f>
        <v xml:space="preserve"> </v>
      </c>
      <c r="EK31" s="355" t="str">
        <f t="shared" si="2"/>
        <v xml:space="preserve"> </v>
      </c>
      <c r="EL31" s="355" t="str">
        <f t="shared" si="3"/>
        <v xml:space="preserve"> </v>
      </c>
      <c r="EN31" s="355" t="str">
        <f t="shared" si="4"/>
        <v xml:space="preserve"> </v>
      </c>
      <c r="EP31" s="355" t="str">
        <f>IF(RawData7[[#This Row],[Num]]&lt;&gt;"",IF(EH31=0,0,IF(AND(EH31&gt;0,EH31&lt;=2),EN31-EN31,EN31-EI31))," ")</f>
        <v xml:space="preserve"> </v>
      </c>
      <c r="ER31" s="351" t="str">
        <f t="shared" si="5"/>
        <v xml:space="preserve"> </v>
      </c>
      <c r="ET31" s="355" t="str">
        <f t="shared" si="6"/>
        <v xml:space="preserve"> </v>
      </c>
      <c r="EU31" s="351" t="str">
        <f t="shared" si="7"/>
        <v xml:space="preserve"> </v>
      </c>
      <c r="EV31" s="351" t="str">
        <f t="shared" si="8"/>
        <v xml:space="preserve"> </v>
      </c>
    </row>
    <row r="32" spans="1:152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0"/>
        <v xml:space="preserve"> </v>
      </c>
      <c r="EA32" s="265" t="str">
        <f>IF(RawData7[[#This Row],[Cohesion ROI]]=" "," ",RANK(RawData7[[#This Row],[Cohesion ROI]],$DZ$3:$DZ$32,0))</f>
        <v xml:space="preserve"> </v>
      </c>
      <c r="EC32" s="316" t="str">
        <f>IF(A32="","",VLOOKUP(RawData7[[#This Row],[Num]],$A$3:$DP$30,8,FALSE))</f>
        <v/>
      </c>
      <c r="ED32" s="356" t="str">
        <f t="shared" si="1"/>
        <v xml:space="preserve"> </v>
      </c>
      <c r="EF32" s="356" t="str">
        <f>IFERROR(IF(EC32=0,1,(VLOOKUP(RawData7[[#This Row],[Num]],$A$3:$DP$30,6,FALSE)))," ")</f>
        <v xml:space="preserve"> </v>
      </c>
      <c r="EH32" s="341" t="str">
        <f>IFERROR(VLOOKUP(RawData7[[#This Row],[Num]],$A$3:$DP$30,120,FALSE)," ")</f>
        <v xml:space="preserve"> </v>
      </c>
      <c r="EI32" s="352" t="str">
        <f>IF(AND(RawData7[[#This Row],[Num]]&lt;&gt;"",ED32&gt;$ED$34,EH32&gt;=$EH$38),1,IF(AND(RawData7[[#This Row],[Num]]&lt;&gt;"",ED32&gt;$ED$34,EH32&lt;=$EH$34),1,EH32))</f>
        <v xml:space="preserve"> </v>
      </c>
      <c r="EJ32" s="341" t="str">
        <f>IFERROR(IF(EH32=EI32,VLOOKUP(RawData7[[#This Row],[Num]],$A$3:$DP$30,10,FALSE),IF(EI32&lt;=2,VLOOKUP(RawData7[[#This Row],[Num]],$A$3:$DP$30,10,FALSE)+EI32," "))," ")</f>
        <v xml:space="preserve"> </v>
      </c>
      <c r="EK32" s="356" t="str">
        <f t="shared" si="2"/>
        <v xml:space="preserve"> </v>
      </c>
      <c r="EL32" s="356" t="str">
        <f t="shared" si="3"/>
        <v xml:space="preserve"> </v>
      </c>
      <c r="EN32" s="356" t="str">
        <f t="shared" si="4"/>
        <v xml:space="preserve"> </v>
      </c>
      <c r="EP32" s="356" t="str">
        <f>IF(RawData7[[#This Row],[Num]]&lt;&gt;"",IF(EH32=0,0,IF(AND(EH32&gt;0,EH32&lt;=2),EN32-EN32,EN32-EI32))," ")</f>
        <v xml:space="preserve"> </v>
      </c>
      <c r="ER32" s="352" t="str">
        <f t="shared" si="5"/>
        <v xml:space="preserve"> </v>
      </c>
      <c r="ET32" s="356" t="str">
        <f t="shared" si="6"/>
        <v xml:space="preserve"> </v>
      </c>
      <c r="EU32" s="352" t="str">
        <f t="shared" si="7"/>
        <v xml:space="preserve"> </v>
      </c>
      <c r="EV32" s="352" t="str">
        <f t="shared" si="8"/>
        <v xml:space="preserve"> </v>
      </c>
    </row>
    <row r="33" spans="1:152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0"/>
        <v xml:space="preserve"> </v>
      </c>
      <c r="EA33" s="265" t="str">
        <f>IF(RawData7[[#This Row],[Cohesion ROI]]=" "," ",RANK(RawData7[[#This Row],[Cohesion ROI]],$DZ$3:$DZ$32,0))</f>
        <v xml:space="preserve"> </v>
      </c>
      <c r="EC33" s="316"/>
      <c r="ED33" s="316"/>
      <c r="EF33" s="316"/>
      <c r="EH33" s="316"/>
      <c r="EI33" s="351"/>
      <c r="EJ33" s="316"/>
      <c r="EK33" s="316"/>
      <c r="EL33" s="316"/>
      <c r="EN33" s="316"/>
      <c r="EP33" s="316"/>
      <c r="ER33" s="351"/>
      <c r="ET33" s="351"/>
      <c r="EU33" s="351"/>
      <c r="EV33" s="351"/>
    </row>
    <row r="34" spans="1:152" x14ac:dyDescent="0.3">
      <c r="A34" s="326" t="str">
        <f>IF(A33=RawData7[[#Headers],[Num]],"Yes","no")</f>
        <v>Yes</v>
      </c>
      <c r="B34" s="326" t="str">
        <f>IF(B33=RawData7[[#Headers],[Horse Name]],"Yes","no")</f>
        <v>Yes</v>
      </c>
      <c r="C34" s="326" t="str">
        <f>IF(C33=RawData7[[#Headers],[Age]],"Yes","no")</f>
        <v>Yes</v>
      </c>
      <c r="D34" s="326" t="str">
        <f>IF(D33=RawData7[[#Headers],[Gender]],"Yes","no")</f>
        <v>Yes</v>
      </c>
      <c r="E34" s="326" t="str">
        <f>IF(E33=RawData7[[#Headers],[Handicap Rating]],"Yes","no")</f>
        <v>Yes</v>
      </c>
      <c r="F34" s="326" t="str">
        <f>IF(F33=RawData7[[#Headers],[Career Runs]],"Yes","no")</f>
        <v>Yes</v>
      </c>
      <c r="G34" s="326" t="str">
        <f>IF(G33=RawData7[[#Headers],[Career Wins]],"Yes","no")</f>
        <v>Yes</v>
      </c>
      <c r="H34" s="326" t="str">
        <f>IF(H33=RawData7[[#Headers],[Career Strike Rate]],"Yes","no")</f>
        <v>Yes</v>
      </c>
      <c r="I34" s="326" t="str">
        <f>IF(I33=RawData7[[#Headers],[Career ROI]],"Yes","no")</f>
        <v>Yes</v>
      </c>
      <c r="J34" s="326" t="str">
        <f>IF(J33=RawData7[[#Headers],[Career Placings]],"Yes","no")</f>
        <v>Yes</v>
      </c>
      <c r="K34" s="326" t="str">
        <f>IF(K33=RawData7[[#Headers],[Career Place Strike Rate]],"Yes","no")</f>
        <v>Yes</v>
      </c>
      <c r="L34" s="326" t="str">
        <f>IF(L33=RawData7[[#Headers],[Dry Track Runs]],"Yes","no")</f>
        <v>Yes</v>
      </c>
      <c r="M34" s="326" t="str">
        <f>IF(M33=RawData7[[#Headers],[Dry Track Wins]],"Yes","no")</f>
        <v>Yes</v>
      </c>
      <c r="N34" s="326" t="str">
        <f>IF(N33=RawData7[[#Headers],[Dry Track Strike Rate]],"Yes","no")</f>
        <v>Yes</v>
      </c>
      <c r="O34" s="326" t="str">
        <f>IF(O33=RawData7[[#Headers],[Dry Track ROI]],"Yes","no")</f>
        <v>Yes</v>
      </c>
      <c r="P34" s="326" t="str">
        <f>IF(P33=RawData7[[#Headers],[Wet Track Runs]],"Yes","no")</f>
        <v>Yes</v>
      </c>
      <c r="Q34" s="326" t="str">
        <f>IF(Q33=RawData7[[#Headers],[Wet Track Wins]],"Yes","no")</f>
        <v>Yes</v>
      </c>
      <c r="R34" s="326" t="str">
        <f>IF(R33=RawData7[[#Headers],[Wet Track Strike Rate]],"Yes","no")</f>
        <v>Yes</v>
      </c>
      <c r="S34" s="326" t="str">
        <f>IF(S33=RawData7[[#Headers],[Wet Track ROI]],"Yes","no")</f>
        <v>Yes</v>
      </c>
      <c r="T34" s="326" t="str">
        <f>IF(T33=RawData7[[#Headers],[Average Prize Money]],"Yes","no")</f>
        <v>Yes</v>
      </c>
      <c r="U34" s="326" t="str">
        <f>IF(U33=RawData7[[#Headers],[Career Prize Money]],"Yes","no")</f>
        <v>Yes</v>
      </c>
      <c r="V34" s="326" t="str">
        <f>IF(V33=RawData7[[#Headers],[Best Fixed Odds]],"Yes","no")</f>
        <v>Yes</v>
      </c>
      <c r="W34" s="326" t="str">
        <f>IF(W33=RawData7[[#Headers],[BetEasy Odds]],"Yes","no")</f>
        <v>no</v>
      </c>
      <c r="X34" s="326" t="str">
        <f>IF(X33=RawData7[[#Headers],[Weight]],"Yes","no")</f>
        <v>Yes</v>
      </c>
      <c r="Y34" s="326" t="str">
        <f>IF(Y33=RawData7[[#Headers],[Weight Carried]],"Yes","no")</f>
        <v>Yes</v>
      </c>
      <c r="Z34" s="326" t="str">
        <f>IF(Z33=RawData7[[#Headers],[Barrier]],"Yes","no")</f>
        <v>Yes</v>
      </c>
      <c r="AA34" s="326" t="str">
        <f>IF(AA33=RawData7[[#Headers],[Prize Money]],"Yes","no")</f>
        <v>Yes</v>
      </c>
      <c r="AB34" s="326" t="str">
        <f>IF(AB33=RawData7[[#Headers],[This Track Runs]],"Yes","no")</f>
        <v>Yes</v>
      </c>
      <c r="AC34" s="326" t="str">
        <f>IF(AC33=RawData7[[#Headers],[This Track Wins]],"Yes","no")</f>
        <v>Yes</v>
      </c>
      <c r="AD34" s="326" t="str">
        <f>IF(AD33=RawData7[[#Headers],[This Track Strike Rate]],"Yes","no")</f>
        <v>Yes</v>
      </c>
      <c r="AE34" s="326" t="str">
        <f>IF(AE33=RawData7[[#Headers],[This Track ROI]],"Yes","no")</f>
        <v>Yes</v>
      </c>
      <c r="AF34" s="326" t="str">
        <f>IF(AF33=RawData7[[#Headers],[This Track Places]],"Yes","no")</f>
        <v>Yes</v>
      </c>
      <c r="AG34" s="326" t="str">
        <f>IF(AG33=RawData7[[#Headers],[This Track Place Strike Rate]],"Yes","no")</f>
        <v>Yes</v>
      </c>
      <c r="AH34" s="326" t="str">
        <f>IF(AH33=RawData7[[#Headers],[This Distance Runs]],"Yes","no")</f>
        <v>Yes</v>
      </c>
      <c r="AI34" s="326" t="str">
        <f>IF(AI33=RawData7[[#Headers],[This Distance Wins]],"Yes","no")</f>
        <v>Yes</v>
      </c>
      <c r="AJ34" s="326" t="str">
        <f>IF(AJ33=RawData7[[#Headers],[This Distance Strike Rate]],"Yes","no")</f>
        <v>Yes</v>
      </c>
      <c r="AK34" s="326" t="str">
        <f>IF(AK33=RawData7[[#Headers],[This Distance ROI]],"Yes","no")</f>
        <v>Yes</v>
      </c>
      <c r="AL34" s="326" t="str">
        <f>IF(AL33=RawData7[[#Headers],[This Distance Places]],"Yes","no")</f>
        <v>Yes</v>
      </c>
      <c r="AM34" s="326" t="str">
        <f>IF(AM33=RawData7[[#Headers],[This Distance Place Strike Rate]],"Yes","no")</f>
        <v>Yes</v>
      </c>
      <c r="AN34" s="326" t="str">
        <f>IF(AN33=RawData7[[#Headers],[This Track Distance Runs]],"Yes","no")</f>
        <v>Yes</v>
      </c>
      <c r="AO34" s="326" t="str">
        <f>IF(AO33=RawData7[[#Headers],[This Track Distance Wins]],"Yes","no")</f>
        <v>Yes</v>
      </c>
      <c r="AP34" s="326" t="str">
        <f>IF(AP33=RawData7[[#Headers],[This Track Distance Strike Rate]],"Yes","no")</f>
        <v>Yes</v>
      </c>
      <c r="AQ34" s="326" t="str">
        <f>IF(AQ33=RawData7[[#Headers],[This Track Distance ROI]],"Yes","no")</f>
        <v>Yes</v>
      </c>
      <c r="AR34" s="326" t="str">
        <f>IF(AR33=RawData7[[#Headers],[This Track Distance Places]],"Yes","no")</f>
        <v>Yes</v>
      </c>
      <c r="AS34" s="326" t="str">
        <f>IF(AS33=RawData7[[#Headers],[This Track Distance Place Strike Rate]],"Yes","no")</f>
        <v>Yes</v>
      </c>
      <c r="AT34" s="326" t="str">
        <f>IF(AT33=RawData7[[#Headers],[This Condition Runs]],"Yes","no")</f>
        <v>Yes</v>
      </c>
      <c r="AU34" s="326" t="str">
        <f>IF(AU33=RawData7[[#Headers],[This Condition Wins]],"Yes","no")</f>
        <v>Yes</v>
      </c>
      <c r="AV34" s="326" t="str">
        <f>IF(AV33=RawData7[[#Headers],[This Condition Strike Rate]],"Yes","no")</f>
        <v>Yes</v>
      </c>
      <c r="AW34" s="326" t="str">
        <f>IF(AW33=RawData7[[#Headers],[This Condition ROI]],"Yes","no")</f>
        <v>Yes</v>
      </c>
      <c r="AX34" s="326" t="str">
        <f>IF(AX33=RawData7[[#Headers],[This Condition Places]],"Yes","no")</f>
        <v>Yes</v>
      </c>
      <c r="AY34" s="326" t="str">
        <f>IF(AY33=RawData7[[#Headers],[This Condition Place Strike Rate]],"Yes","no")</f>
        <v>Yes</v>
      </c>
      <c r="AZ34" s="326" t="str">
        <f>IF(AZ33=RawData7[[#Headers],[Jockey]],"Yes","no")</f>
        <v>Yes</v>
      </c>
      <c r="BA34" s="326" t="str">
        <f>IF(BA33=RawData7[[#Headers],[Apprentice]],"Yes","no")</f>
        <v>Yes</v>
      </c>
      <c r="BB34" s="326" t="str">
        <f>IF(BB33=RawData7[[#Headers],[Jockey Weight Claim]],"Yes","no")</f>
        <v>Yes</v>
      </c>
      <c r="BC34" s="326" t="str">
        <f>IF(BC33=RawData7[[#Headers],[Jockey Last 100 Horse Earnings]],"Yes","no")</f>
        <v>Yes</v>
      </c>
      <c r="BD34" s="326" t="str">
        <f>IF(BD33=RawData7[[#Headers],[Jockey Last 100 Avg Horse Earnings]],"Yes","no")</f>
        <v>Yes</v>
      </c>
      <c r="BE34" s="326" t="str">
        <f>IF(BE33=RawData7[[#Headers],[Jockey Last 100 Starts]],"Yes","no")</f>
        <v>Yes</v>
      </c>
      <c r="BF34" s="326" t="str">
        <f>IF(BF33=RawData7[[#Headers],[Jockey Last 100 Wins]],"Yes","no")</f>
        <v>Yes</v>
      </c>
      <c r="BG34" s="326" t="str">
        <f>IF(BG33=RawData7[[#Headers],[Jockey Last 100 Strike Rate]],"Yes","no")</f>
        <v>Yes</v>
      </c>
      <c r="BH34" s="326" t="str">
        <f>IF(BH33=RawData7[[#Headers],[Jockey Last 100 ROI]],"Yes","no")</f>
        <v>Yes</v>
      </c>
      <c r="BI34" s="326" t="str">
        <f>IF(BI33=RawData7[[#Headers],[Jockey Last 100 Places]],"Yes","no")</f>
        <v>Yes</v>
      </c>
      <c r="BJ34" s="326" t="str">
        <f>IF(BJ33=RawData7[[#Headers],[Jockey Last 100 Place Strike Rate]],"Yes","no")</f>
        <v>Yes</v>
      </c>
      <c r="BK34" s="326" t="str">
        <f>IF(BK33=RawData7[[#Headers],[Jockey 12 Month Horse Earnings]],"Yes","no")</f>
        <v>Yes</v>
      </c>
      <c r="BL34" s="326" t="str">
        <f>IF(BL33=RawData7[[#Headers],[Jockey 12 Month Avg Horse Earnings]],"Yes","no")</f>
        <v>Yes</v>
      </c>
      <c r="BM34" s="326" t="str">
        <f>IF(BM33=RawData7[[#Headers],[Jockey 12 Months Starts]],"Yes","no")</f>
        <v>Yes</v>
      </c>
      <c r="BN34" s="326" t="str">
        <f>IF(BN33=RawData7[[#Headers],[Jockey 12 Months Wins]],"Yes","no")</f>
        <v>Yes</v>
      </c>
      <c r="BO34" s="326" t="str">
        <f>IF(BO33=RawData7[[#Headers],[Jockey 12 Months Strike Rate]],"Yes","no")</f>
        <v>Yes</v>
      </c>
      <c r="BP34" s="326" t="str">
        <f>IF(BP33=RawData7[[#Headers],[Jockey 12 Months ROI]],"Yes","no")</f>
        <v>Yes</v>
      </c>
      <c r="BQ34" s="326" t="str">
        <f>IF(BQ33=RawData7[[#Headers],[Jockey 12 Months Places]],"Yes","no")</f>
        <v>Yes</v>
      </c>
      <c r="BR34" s="326" t="str">
        <f>IF(BR33=RawData7[[#Headers],[Jockey 12 Months Place Strike Rate]],"Yes","no")</f>
        <v>Yes</v>
      </c>
      <c r="BS34" s="326" t="str">
        <f>IF(BS33=RawData7[[#Headers],[Jockey This Season Horse Earnings]],"Yes","no")</f>
        <v>Yes</v>
      </c>
      <c r="BT34" s="326" t="str">
        <f>IF(BT33=RawData7[[#Headers],[Jockey This Season Avg Horse Earnings]],"Yes","no")</f>
        <v>Yes</v>
      </c>
      <c r="BU34" s="326" t="str">
        <f>IF(BU33=RawData7[[#Headers],[Jockey This Season Starts]],"Yes","no")</f>
        <v>Yes</v>
      </c>
      <c r="BV34" s="326" t="str">
        <f>IF(BV33=RawData7[[#Headers],[Jockey This Season Wins]],"Yes","no")</f>
        <v>Yes</v>
      </c>
      <c r="BW34" s="326" t="str">
        <f>IF(BW33=RawData7[[#Headers],[Jockey This Season Strike Rate]],"Yes","no")</f>
        <v>Yes</v>
      </c>
      <c r="BX34" s="326" t="str">
        <f>IF(BX33=RawData7[[#Headers],[Jockey This Season ROI]],"Yes","no")</f>
        <v>Yes</v>
      </c>
      <c r="BY34" s="326" t="str">
        <f>IF(BY33=RawData7[[#Headers],[Jockey This Season Places]],"Yes","no")</f>
        <v>Yes</v>
      </c>
      <c r="BZ34" s="326" t="str">
        <f>IF(BZ33=RawData7[[#Headers],[Jockey This Season Place Strike Rate]],"Yes","no")</f>
        <v>Yes</v>
      </c>
      <c r="CA34" s="326" t="str">
        <f>IF(CA33=RawData7[[#Headers],[Jockey Last Season Horse Earnings]],"Yes","no")</f>
        <v>Yes</v>
      </c>
      <c r="CB34" s="326" t="str">
        <f>IF(CB33=RawData7[[#Headers],[Jockey Last Season Avg Horse Earnings]],"Yes","no")</f>
        <v>Yes</v>
      </c>
      <c r="CC34" s="326" t="str">
        <f>IF(CC33=RawData7[[#Headers],[Jockey Last Season Starts]],"Yes","no")</f>
        <v>Yes</v>
      </c>
      <c r="CD34" s="326" t="str">
        <f>IF(CD33=RawData7[[#Headers],[Jockey Last Season Wins]],"Yes","no")</f>
        <v>Yes</v>
      </c>
      <c r="CE34" s="326" t="str">
        <f>IF(CE33=RawData7[[#Headers],[Jockey Last Season Strike Rate]],"Yes","no")</f>
        <v>Yes</v>
      </c>
      <c r="CF34" s="326" t="str">
        <f>IF(CF33=RawData7[[#Headers],[Jockey Last Season ROI]],"Yes","no")</f>
        <v>Yes</v>
      </c>
      <c r="CG34" s="326" t="str">
        <f>IF(CG33=RawData7[[#Headers],[Jockey Last Season Places]],"Yes","no")</f>
        <v>Yes</v>
      </c>
      <c r="CH34" s="326" t="str">
        <f>IF(CH33=RawData7[[#Headers],[Jockey Last Season Place Strike Rate]],"Yes","no")</f>
        <v>Yes</v>
      </c>
      <c r="CI34" s="326" t="str">
        <f>IF(CI33=RawData7[[#Headers],[Trainer]],"Yes","no")</f>
        <v>Yes</v>
      </c>
      <c r="CJ34" s="326" t="str">
        <f>IF(CJ33=RawData7[[#Headers],[Trainer Last 100 Horse Earnings]],"Yes","no")</f>
        <v>Yes</v>
      </c>
      <c r="CK34" s="326" t="str">
        <f>IF(CK33=RawData7[[#Headers],[Trainer Last 100 Avg Horse Earnings]],"Yes","no")</f>
        <v>Yes</v>
      </c>
      <c r="CL34" s="326" t="str">
        <f>IF(CL33=RawData7[[#Headers],[Trainer Last 100 Starts]],"Yes","no")</f>
        <v>Yes</v>
      </c>
      <c r="CM34" s="326" t="str">
        <f>IF(CM33=RawData7[[#Headers],[Trainer Last 100 Wins]],"Yes","no")</f>
        <v>Yes</v>
      </c>
      <c r="CN34" s="326" t="str">
        <f>IF(CN33=RawData7[[#Headers],[Trainer Last 100 Strike Rate]],"Yes","no")</f>
        <v>Yes</v>
      </c>
      <c r="CO34" s="326" t="str">
        <f>IF(CO33=RawData7[[#Headers],[Trainer Last 100 ROI]],"Yes","no")</f>
        <v>Yes</v>
      </c>
      <c r="CP34" s="326" t="str">
        <f>IF(CP33=RawData7[[#Headers],[Trainer Last 100 Places]],"Yes","no")</f>
        <v>Yes</v>
      </c>
      <c r="CQ34" s="326" t="str">
        <f>IF(CQ33=RawData7[[#Headers],[Trainer Last 100 Place Strike Rate]],"Yes","no")</f>
        <v>Yes</v>
      </c>
      <c r="CR34" s="326" t="str">
        <f>IF(CR33=RawData7[[#Headers],[Trainer 12 Month Horse Earnings]],"Yes","no")</f>
        <v>Yes</v>
      </c>
      <c r="CS34" s="326" t="str">
        <f>IF(CS33=RawData7[[#Headers],[Trainer 12 Month Avg Horse Earnings]],"Yes","no")</f>
        <v>Yes</v>
      </c>
      <c r="CT34" s="326" t="str">
        <f>IF(CT33=RawData7[[#Headers],[Trainer 12 Months Starts]],"Yes","no")</f>
        <v>Yes</v>
      </c>
      <c r="CU34" s="326" t="str">
        <f>IF(CU33=RawData7[[#Headers],[Trainer 12 Months Wins]],"Yes","no")</f>
        <v>Yes</v>
      </c>
      <c r="CV34" s="326" t="str">
        <f>IF(CV33=RawData7[[#Headers],[Trainer 12 Months Strike Rate]],"Yes","no")</f>
        <v>Yes</v>
      </c>
      <c r="CW34" s="326" t="str">
        <f>IF(CW33=RawData7[[#Headers],[Trainer 12 Months ROI]],"Yes","no")</f>
        <v>Yes</v>
      </c>
      <c r="CX34" s="326" t="str">
        <f>IF(CX33=RawData7[[#Headers],[Trainer 12 Months Places]],"Yes","no")</f>
        <v>Yes</v>
      </c>
      <c r="CY34" s="326" t="str">
        <f>IF(CY33=RawData7[[#Headers],[Trainer 12 Months Place Strike Rate]],"Yes","no")</f>
        <v>Yes</v>
      </c>
      <c r="CZ34" s="326" t="str">
        <f>IF(CZ33=RawData7[[#Headers],[Trainer This Season Horse Earnings]],"Yes","no")</f>
        <v>Yes</v>
      </c>
      <c r="DA34" s="326" t="str">
        <f>IF(DA33=RawData7[[#Headers],[Trainer This Season Avg Horse Earnings]],"Yes","no")</f>
        <v>Yes</v>
      </c>
      <c r="DB34" s="326" t="str">
        <f>IF(DB33=RawData7[[#Headers],[Trainer This Season Starts]],"Yes","no")</f>
        <v>Yes</v>
      </c>
      <c r="DC34" s="326" t="str">
        <f>IF(DC33=RawData7[[#Headers],[Trainer This Season Wins]],"Yes","no")</f>
        <v>Yes</v>
      </c>
      <c r="DD34" s="326" t="str">
        <f>IF(DD33=RawData7[[#Headers],[Trainer This Season Strike Rate]],"Yes","no")</f>
        <v>Yes</v>
      </c>
      <c r="DE34" s="326" t="str">
        <f>IF(DE33=RawData7[[#Headers],[Trainer This Season ROI]],"Yes","no")</f>
        <v>Yes</v>
      </c>
      <c r="DF34" s="326" t="str">
        <f>IF(DF33=RawData7[[#Headers],[Trainer This Season Places]],"Yes","no")</f>
        <v>Yes</v>
      </c>
      <c r="DG34" s="326" t="str">
        <f>IF(DG33=RawData7[[#Headers],[Trainer This Season Place Strike Rate]],"Yes","no")</f>
        <v>Yes</v>
      </c>
      <c r="DH34" s="326" t="str">
        <f>IF(DH33=RawData7[[#Headers],[Trainer Last Season Horse Earnings]],"Yes","no")</f>
        <v>Yes</v>
      </c>
      <c r="DI34" s="326" t="str">
        <f>IF(DI33=RawData7[[#Headers],[Trainer Last Season Avg Horse Earnings]],"Yes","no")</f>
        <v>Yes</v>
      </c>
      <c r="DJ34" s="326" t="str">
        <f>IF(DJ33=RawData7[[#Headers],[Trainer Last Season Starts]],"Yes","no")</f>
        <v>Yes</v>
      </c>
      <c r="DK34" s="326" t="str">
        <f>IF(DK33=RawData7[[#Headers],[Trainer Last Season Wins]],"Yes","no")</f>
        <v>Yes</v>
      </c>
      <c r="DL34" s="326" t="str">
        <f>IF(DL33=RawData7[[#Headers],[Trainer Last Season Strike Rate]],"Yes","no")</f>
        <v>Yes</v>
      </c>
      <c r="DM34" s="326" t="str">
        <f>IF(DM33=RawData7[[#Headers],[Trainer Last Season ROI]],"Yes","no")</f>
        <v>Yes</v>
      </c>
      <c r="DN34" s="326" t="str">
        <f>IF(DN33=RawData7[[#Headers],[Trainer Last Season Places]],"Yes","no")</f>
        <v>Yes</v>
      </c>
      <c r="DO34" s="326" t="str">
        <f>IF(DO33=RawData7[[#Headers],[Trainer Last Season Place Strike Rate]],"Yes","no")</f>
        <v>Yes</v>
      </c>
      <c r="DP34" s="326" t="str">
        <f>IF(DP33=RawData7[[#Headers],[Last Start Finish Position]],"Yes","no")</f>
        <v>Yes</v>
      </c>
      <c r="DQ34" s="326" t="str">
        <f>IF(DQ33=RawData7[[#Headers],[Last Start Margin]],"Yes","no")</f>
        <v>Yes</v>
      </c>
      <c r="DR34" s="326" t="str">
        <f>IF(DR33=RawData7[[#Headers],[Last Start Distance]],"Yes","no")</f>
        <v>Yes</v>
      </c>
      <c r="DS34" s="326" t="str">
        <f>IF(DS33=RawData7[[#Headers],[Last Start Distance Change]],"Yes","no")</f>
        <v>Yes</v>
      </c>
      <c r="DT34" s="326" t="str">
        <f>IF(DT33=RawData7[[#Headers],[Last Start Prize Money]],"Yes","no")</f>
        <v>Yes</v>
      </c>
      <c r="DU34" s="326" t="str">
        <f>IF(DU33=RawData7[[#Headers],[Column1]],"Yes","no")</f>
        <v>no</v>
      </c>
      <c r="DV34" s="326" t="str">
        <f>IF(DV33=RawData7[[#Headers],[Column2]],"Yes","no")</f>
        <v>no</v>
      </c>
      <c r="DW34" s="326" t="str">
        <f>IF(DW33=RawData7[[#Headers],[Column3]],"Yes","no")</f>
        <v>no</v>
      </c>
      <c r="DX34" s="326" t="str">
        <f>IF(DX33=RawData7[[#Headers],[Column4]],"Yes","no")</f>
        <v>no</v>
      </c>
      <c r="DY34" s="326" t="str">
        <f>IF(DY33=RawData7[[#Headers],[Finish Result (Updates after race)2]],"Yes","no")</f>
        <v>no</v>
      </c>
      <c r="DZ34" s="326" t="s">
        <v>197</v>
      </c>
      <c r="EA34" s="326">
        <f>AVERAGE($EA$3:$EA$32)</f>
        <v>4.5</v>
      </c>
      <c r="EC34" s="312" t="s">
        <v>197</v>
      </c>
      <c r="ED34" s="312">
        <f>AVERAGE(ED$3:ED$32)</f>
        <v>0.14573750000000002</v>
      </c>
      <c r="EE34" s="276"/>
      <c r="EF34" s="276"/>
      <c r="EG34" s="312" t="s">
        <v>197</v>
      </c>
      <c r="EH34" s="312">
        <f>AVERAGE(EH$3:EH$32)</f>
        <v>5.25</v>
      </c>
      <c r="EI34" s="312">
        <f t="shared" ref="EI34:EL34" si="9">AVERAGE(EI$3:EI$32)</f>
        <v>3.375</v>
      </c>
      <c r="EJ34" s="312">
        <f t="shared" si="9"/>
        <v>21</v>
      </c>
      <c r="EK34" s="312">
        <f t="shared" si="9"/>
        <v>0.41061035064009677</v>
      </c>
      <c r="EL34" s="312">
        <f t="shared" si="9"/>
        <v>52.25</v>
      </c>
      <c r="EM34" s="312" t="s">
        <v>197</v>
      </c>
      <c r="EN34" s="312">
        <f>AVERAGE(EN$3:EN$32)</f>
        <v>7.1016252259378483</v>
      </c>
      <c r="EO34" s="312" t="s">
        <v>197</v>
      </c>
      <c r="EP34" s="312">
        <f>AVERAGE(EP$3:EP$32)</f>
        <v>2.4012306336961329</v>
      </c>
      <c r="EQ34" s="312" t="s">
        <v>197</v>
      </c>
      <c r="ER34" s="312">
        <f>AVERAGE(ER$3:ER$32)</f>
        <v>0.75</v>
      </c>
      <c r="ES34" s="312" t="s">
        <v>197</v>
      </c>
      <c r="ET34" s="312">
        <f>AVERAGE(ET$3:ET$32)</f>
        <v>51.875</v>
      </c>
      <c r="EU34" s="312">
        <f t="shared" ref="EU34" si="10">AVERAGE(EU$3:EU$32)</f>
        <v>2.6126757320299766E-2</v>
      </c>
      <c r="EV34" s="276"/>
    </row>
    <row r="35" spans="1:152" x14ac:dyDescent="0.3">
      <c r="DZ35" s="326" t="s">
        <v>28</v>
      </c>
      <c r="EA35" s="326">
        <f>MEDIAN($EA$3:$EA$32)</f>
        <v>4.5</v>
      </c>
      <c r="EC35" s="312" t="s">
        <v>28</v>
      </c>
      <c r="ED35" s="312">
        <f>MEDIAN(ED$3:ED$32)</f>
        <v>0.14585000000000001</v>
      </c>
      <c r="EE35" s="276"/>
      <c r="EF35" s="276"/>
      <c r="EG35" s="312" t="s">
        <v>28</v>
      </c>
      <c r="EH35" s="312">
        <f>MEDIAN(EH$3:EH$32)</f>
        <v>5.5</v>
      </c>
      <c r="EI35" s="312">
        <f t="shared" ref="EI35:EL35" si="11">MEDIAN(EI$3:EI$32)</f>
        <v>1.5</v>
      </c>
      <c r="EJ35" s="312">
        <f t="shared" si="11"/>
        <v>23.5</v>
      </c>
      <c r="EK35" s="312">
        <f t="shared" si="11"/>
        <v>0.41080038572806171</v>
      </c>
      <c r="EL35" s="312">
        <f t="shared" si="11"/>
        <v>57.5</v>
      </c>
      <c r="EM35" s="312" t="s">
        <v>28</v>
      </c>
      <c r="EN35" s="312">
        <f>MEDIAN(EN$3:EN$32)</f>
        <v>6.8767911011447014</v>
      </c>
      <c r="EO35" s="312" t="s">
        <v>28</v>
      </c>
      <c r="EP35" s="312">
        <f>MEDIAN(EP$3:EP$32)</f>
        <v>1.7087672292718663</v>
      </c>
      <c r="EQ35" s="312" t="s">
        <v>28</v>
      </c>
      <c r="ER35" s="312">
        <f>MEDIAN(ER$3:ER$32)</f>
        <v>1</v>
      </c>
      <c r="ES35" s="312" t="s">
        <v>28</v>
      </c>
      <c r="ET35" s="312">
        <f>MEDIAN(ET$3:ET$32)</f>
        <v>56.5</v>
      </c>
      <c r="EU35" s="312">
        <f t="shared" ref="EU35" si="12">MEDIAN(EU$3:EU$32)</f>
        <v>1.740314769975787E-2</v>
      </c>
      <c r="EV35" s="276"/>
    </row>
    <row r="36" spans="1:152" x14ac:dyDescent="0.3">
      <c r="CF36" s="326" t="s">
        <v>394</v>
      </c>
      <c r="EC36" s="312" t="s">
        <v>25</v>
      </c>
      <c r="ED36" s="312">
        <f>STDEV(ED$3:ED$32)</f>
        <v>2.8046030404115404E-2</v>
      </c>
      <c r="EE36" s="276"/>
      <c r="EF36" s="276"/>
      <c r="EG36" s="312" t="s">
        <v>25</v>
      </c>
      <c r="EH36" s="312">
        <f>STDEV(EH$3:EH$32)</f>
        <v>2.712405363721075</v>
      </c>
      <c r="EI36" s="312">
        <f t="shared" ref="EI36:EL36" si="13">STDEV(EI$3:EI$32)</f>
        <v>3.0676887530703447</v>
      </c>
      <c r="EJ36" s="312">
        <f t="shared" si="13"/>
        <v>7.7089928932754521</v>
      </c>
      <c r="EK36" s="312">
        <f t="shared" si="13"/>
        <v>5.0644852163097158E-2</v>
      </c>
      <c r="EL36" s="312">
        <f t="shared" si="13"/>
        <v>19.703154207240164</v>
      </c>
      <c r="EM36" s="312" t="s">
        <v>25</v>
      </c>
      <c r="EN36" s="312">
        <f>STDEV(EN$3:EN$32)</f>
        <v>1.4402308674632198</v>
      </c>
      <c r="EO36" s="312" t="s">
        <v>25</v>
      </c>
      <c r="EP36" s="312">
        <f>STDEV(EP$3:EP$32)</f>
        <v>2.1938028837583299</v>
      </c>
      <c r="EQ36" s="312" t="s">
        <v>25</v>
      </c>
      <c r="ER36" s="312">
        <f>STDEV(ER$3:ER$32)</f>
        <v>0.70710678118654757</v>
      </c>
      <c r="ES36" s="312" t="s">
        <v>25</v>
      </c>
      <c r="ET36" s="312">
        <f>STDEV(ET$3:ET$32)</f>
        <v>19.47480056747327</v>
      </c>
      <c r="EU36" s="312">
        <f t="shared" ref="EU36" si="14">STDEV(EU$3:EU$32)</f>
        <v>2.3421987873068907E-2</v>
      </c>
      <c r="EV36" s="276"/>
    </row>
    <row r="37" spans="1:152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0.1091</v>
      </c>
      <c r="EE37" s="276"/>
      <c r="EF37" s="276"/>
      <c r="EG37" s="312" t="s">
        <v>191</v>
      </c>
      <c r="EH37" s="312">
        <f>MIN(EH$3:EH$32)</f>
        <v>2</v>
      </c>
      <c r="EI37" s="312"/>
      <c r="EJ37" s="312"/>
      <c r="EK37" s="312">
        <f>EK$34-EK$36</f>
        <v>0.3599654984769996</v>
      </c>
      <c r="EL37" s="312"/>
      <c r="EM37" s="312" t="s">
        <v>191</v>
      </c>
      <c r="EN37" s="312">
        <f>MIN(EN$3:EN$32)</f>
        <v>5.5005500550055011</v>
      </c>
      <c r="EO37" s="312" t="s">
        <v>191</v>
      </c>
      <c r="EP37" s="312">
        <f>MIN(EP$3:EP$32)</f>
        <v>0</v>
      </c>
      <c r="EQ37" s="312" t="s">
        <v>191</v>
      </c>
      <c r="ER37" s="312">
        <f>MIN(ER$3:ER$32)</f>
        <v>0</v>
      </c>
      <c r="ES37" s="312" t="s">
        <v>191</v>
      </c>
      <c r="ET37" s="312">
        <f>MIN(ET$3:ET$32)</f>
        <v>12</v>
      </c>
      <c r="EU37" s="312">
        <f>MIN(EU$3:EU$32)</f>
        <v>1.3513513513513514E-2</v>
      </c>
      <c r="EV37" s="276"/>
    </row>
    <row r="38" spans="1:152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0.16390000000000002</v>
      </c>
      <c r="EE38" s="276"/>
      <c r="EF38" s="276"/>
      <c r="EG38" s="312" t="s">
        <v>214</v>
      </c>
      <c r="EH38" s="312">
        <f>LARGE(EH$3:EH$32,5)</f>
        <v>5</v>
      </c>
      <c r="EI38" s="312"/>
      <c r="EJ38" s="312"/>
      <c r="EK38" s="312">
        <f>EK$34+EK$36</f>
        <v>0.46125520280319393</v>
      </c>
      <c r="EL38" s="312"/>
      <c r="EM38" s="312" t="s">
        <v>214</v>
      </c>
      <c r="EN38" s="312">
        <f>MAX(EN$3:EN$32)</f>
        <v>9.1659028414298813</v>
      </c>
      <c r="EO38" s="312" t="s">
        <v>214</v>
      </c>
      <c r="EP38" s="312">
        <f>MAX(EP$3:EP$32)</f>
        <v>5.5019505851755515</v>
      </c>
      <c r="EQ38" s="312" t="s">
        <v>214</v>
      </c>
      <c r="ER38" s="312">
        <f>MAX(ER$3:ER$32)</f>
        <v>2</v>
      </c>
      <c r="ES38" s="312" t="s">
        <v>214</v>
      </c>
      <c r="ET38" s="312">
        <f>MAX(ET$3:ET$32)</f>
        <v>73</v>
      </c>
      <c r="EU38" s="312">
        <f t="shared" ref="EU38" si="15">MAX(EU$3:EU$32)</f>
        <v>8.3333333333333329E-2</v>
      </c>
      <c r="EV38" s="276"/>
    </row>
    <row r="39" spans="1:152" x14ac:dyDescent="0.3">
      <c r="EC39" s="312" t="s">
        <v>22</v>
      </c>
      <c r="ED39" s="312">
        <f>KURT(ED$3:ED$32)</f>
        <v>-1.4449775076997713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/>
      <c r="ET39" s="276"/>
      <c r="EU39" s="276"/>
      <c r="EV39" s="276"/>
    </row>
    <row r="40" spans="1:152" x14ac:dyDescent="0.3">
      <c r="EC40" s="312" t="s">
        <v>21</v>
      </c>
      <c r="ED40" s="312">
        <f>SKEW(ED$3:ED$32)</f>
        <v>-0.14031047571543606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/>
      <c r="ET40" s="276"/>
      <c r="EU40" s="276"/>
      <c r="EV40" s="276"/>
    </row>
    <row r="41" spans="1:152" ht="15.6" x14ac:dyDescent="0.3">
      <c r="EC41" s="357" t="s">
        <v>704</v>
      </c>
      <c r="ED41" s="111">
        <f>(ED39+ED40)^2</f>
        <v>2.5131379903606548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/>
      <c r="ET41" s="276"/>
      <c r="EU41" s="276"/>
      <c r="EV41" s="27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A7A7E-69CB-470B-943B-3221300922A0}">
  <sheetPr codeName="Sheet8"/>
  <dimension ref="A1:AP68"/>
  <sheetViews>
    <sheetView zoomScale="70" zoomScaleNormal="7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E42" sqref="E42"/>
    </sheetView>
  </sheetViews>
  <sheetFormatPr defaultColWidth="9.109375" defaultRowHeight="14.4" x14ac:dyDescent="0.3"/>
  <cols>
    <col min="1" max="1" width="22" style="326" customWidth="1"/>
    <col min="2" max="2" width="15.77734375" style="326" customWidth="1"/>
    <col min="3" max="3" width="23.44140625" style="326" bestFit="1" customWidth="1"/>
    <col min="4" max="31" width="15.77734375" style="326" customWidth="1"/>
    <col min="32" max="32" width="9.109375" style="326"/>
    <col min="33" max="33" width="21.33203125" style="326" bestFit="1" customWidth="1"/>
    <col min="34" max="16384" width="9.109375" style="326"/>
  </cols>
  <sheetData>
    <row r="1" spans="1:4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</row>
    <row r="2" spans="1:42" ht="28.8" x14ac:dyDescent="0.3">
      <c r="A2" s="271" t="s">
        <v>211</v>
      </c>
      <c r="B2" s="271" t="s">
        <v>283</v>
      </c>
      <c r="C2" s="271" t="s">
        <v>284</v>
      </c>
      <c r="D2" s="271" t="s">
        <v>285</v>
      </c>
      <c r="E2" s="257" t="s">
        <v>51</v>
      </c>
      <c r="F2" s="257" t="s">
        <v>400</v>
      </c>
      <c r="G2" s="257" t="s">
        <v>682</v>
      </c>
      <c r="H2" s="271" t="s">
        <v>61</v>
      </c>
      <c r="I2" s="271" t="s">
        <v>408</v>
      </c>
      <c r="J2" s="271" t="s">
        <v>777</v>
      </c>
      <c r="K2" s="271" t="s">
        <v>206</v>
      </c>
      <c r="L2" s="271" t="s">
        <v>789</v>
      </c>
      <c r="M2" s="271" t="s">
        <v>790</v>
      </c>
      <c r="N2" s="271" t="s">
        <v>137</v>
      </c>
      <c r="O2" s="271" t="s">
        <v>467</v>
      </c>
      <c r="P2" s="271" t="s">
        <v>776</v>
      </c>
      <c r="Q2" s="271" t="s">
        <v>138</v>
      </c>
      <c r="R2" s="271" t="s">
        <v>468</v>
      </c>
      <c r="S2" s="271" t="s">
        <v>775</v>
      </c>
      <c r="T2" s="271" t="s">
        <v>140</v>
      </c>
      <c r="U2" s="271" t="s">
        <v>210</v>
      </c>
      <c r="V2" s="271" t="s">
        <v>774</v>
      </c>
      <c r="W2" s="271" t="s">
        <v>141</v>
      </c>
      <c r="X2" s="271" t="s">
        <v>469</v>
      </c>
      <c r="Y2" s="271" t="s">
        <v>773</v>
      </c>
      <c r="Z2" s="258" t="s">
        <v>200</v>
      </c>
      <c r="AA2" s="258" t="s">
        <v>414</v>
      </c>
      <c r="AB2" s="258" t="s">
        <v>858</v>
      </c>
      <c r="AC2" s="258" t="s">
        <v>201</v>
      </c>
      <c r="AD2" s="258" t="s">
        <v>415</v>
      </c>
      <c r="AE2" s="258" t="s">
        <v>857</v>
      </c>
      <c r="AF2" s="409" t="s">
        <v>603</v>
      </c>
      <c r="AG2" s="409" t="s">
        <v>821</v>
      </c>
      <c r="AH2" s="409" t="s">
        <v>823</v>
      </c>
      <c r="AI2" s="409" t="s">
        <v>822</v>
      </c>
      <c r="AJ2" s="271" t="s">
        <v>824</v>
      </c>
      <c r="AK2" s="271" t="s">
        <v>825</v>
      </c>
      <c r="AL2" s="271" t="s">
        <v>826</v>
      </c>
      <c r="AM2" s="271" t="s">
        <v>827</v>
      </c>
      <c r="AN2" s="271" t="s">
        <v>588</v>
      </c>
      <c r="AO2" s="271" t="s">
        <v>829</v>
      </c>
      <c r="AP2" s="271"/>
    </row>
    <row r="3" spans="1:42" x14ac:dyDescent="0.3">
      <c r="A3" s="326">
        <f>RawData[[#This Row],[Num]]</f>
        <v>1</v>
      </c>
      <c r="C3" s="324"/>
      <c r="E3" s="326">
        <f>IF(INDEX('Raw Data'!$A3:$EA3,MATCH(E$2,RawData[#Headers],))=""," ",IF(INDEX('Raw Data'!$A3:$EA3,MATCH(E$2,RawData[#Headers],))="UPL",3,INDEX('Raw Data'!$A3:$EA3,MATCH(E$2,RawData[#Headers],))))</f>
        <v>21</v>
      </c>
      <c r="F3" s="324">
        <f>IFERROR(STANDARDIZE(machina6[[#This Row],[Best Fixed Odds]],E$30,E$31)," ")</f>
        <v>1.0841488851382799</v>
      </c>
      <c r="G3" s="326">
        <f t="shared" ref="G3:G28" si="0">IFERROR(RANK(F3,F$3:F$27,1)," ")</f>
        <v>6</v>
      </c>
      <c r="H3" s="326">
        <f>IF(INDEX('Raw Data'!$A3:$EA3,MATCH(H$2,RawData[#Headers],))=""," ",IF(INDEX('Raw Data'!$A3:$EA3,MATCH(H$2,RawData[#Headers],))="UPL",3,INDEX('Raw Data'!$A3:$EA3,MATCH(H$2,RawData[#Headers],))))</f>
        <v>0</v>
      </c>
      <c r="I3" s="324">
        <f>IFERROR(STANDARDIZE(machina6[[#This Row],[This Distance Runs]],H$30,H$31)," ")</f>
        <v>-1.2259965271821029</v>
      </c>
      <c r="J3" s="326">
        <f t="shared" ref="J3:J28" si="1">IFERROR(RANK(I3,I$3:I$27,0)," ")</f>
        <v>8</v>
      </c>
      <c r="K3" s="318">
        <f>IF(INDEX('Raw Data'!$A3:$EA3,MATCH(K$2,RawData[#Headers],))=""," ",IF(INDEX('Raw Data'!$A3:$EA3,MATCH(K$2,RawData[#Headers],))="UPL",3,INDEX('Raw Data'!$A3:$EA3,MATCH(K$2,RawData[#Headers],))))</f>
        <v>232765</v>
      </c>
      <c r="L3" s="324">
        <f>IFERROR(STANDARDIZE(machina6[[#This Row],[Jockey Last 100 Horse Earnings]],K$30,K$31)," ")</f>
        <v>0.65111076787561539</v>
      </c>
      <c r="M3" s="326">
        <f t="shared" ref="M3:M28" si="2">IFERROR(RANK(L3,L$3:L$27,0)," ")</f>
        <v>2</v>
      </c>
      <c r="N3" s="326">
        <f>IF(INDEX('Raw Data'!$A3:$EA3,MATCH(N$2,RawData[#Headers],))=""," ",IF(INDEX('Raw Data'!$A3:$EA3,MATCH(N$2,RawData[#Headers],))="UPL",1,INDEX('Raw Data'!$A3:$EA3,MATCH(N$2,RawData[#Headers],))))</f>
        <v>2</v>
      </c>
      <c r="O3" s="324">
        <f>IFERROR(STANDARDIZE(machina6[[#This Row],[Last Start Finish Position]],N$30,N$31)," ")</f>
        <v>-1.2809280616135812</v>
      </c>
      <c r="P3" s="326">
        <f t="shared" ref="P3:P28" si="3">IFERROR(RANK(O3,O$3:O$27,1)," ")</f>
        <v>1</v>
      </c>
      <c r="Q3" s="326">
        <f>IF(INDEX('Raw Data'!$A3:$EA3,MATCH(Q$2,RawData[#Headers],))=""," ",IF(INDEX('Raw Data'!$A3:$EA3,MATCH(Q$2,RawData[#Headers],))="UPL",3,INDEX('Raw Data'!$A3:$EA3,MATCH(Q$2,RawData[#Headers],))))</f>
        <v>1</v>
      </c>
      <c r="R3" s="324">
        <f>IFERROR(STANDARDIZE(machina6[[#This Row],[Last Start Margin]],Q$30,Q$31)," ")</f>
        <v>-1.2913623833209593</v>
      </c>
      <c r="S3" s="326">
        <f t="shared" ref="S3:S28" si="4">IFERROR(RANK(R3,R$3:R$27,1)," ")</f>
        <v>1</v>
      </c>
      <c r="T3" s="326">
        <f>IF(INDEX('Raw Data'!$A3:$EA3,MATCH(T$2,RawData[#Headers],))=""," ",IF(INDEX('Raw Data'!$A3:$EA3,MATCH(T$2,RawData[#Headers],))="UPL",3,INDEX('Raw Data'!$A3:$EA3,MATCH(T$2,RawData[#Headers],))))</f>
        <v>330</v>
      </c>
      <c r="U3" s="324">
        <f>IFERROR(STANDARDIZE(machina6[[#This Row],[Last Start Distance Change]],T$30,T$31)," ")</f>
        <v>1.0749379364671585</v>
      </c>
      <c r="V3" s="326">
        <f t="shared" ref="V3:V28" si="5">IFERROR(RANK(U3,U$3:U$27,1)," ")</f>
        <v>7</v>
      </c>
      <c r="W3" s="318">
        <f>IF(INDEX('Raw Data'!$A3:$EA3,MATCH(W$2,RawData[#Headers],))=""," ",IF(INDEX('Raw Data'!$A3:$EA3,MATCH(W$2,RawData[#Headers],))="UPL",3,INDEX('Raw Data'!$A3:$EA3,MATCH(W$2,RawData[#Headers],))))</f>
        <v>20000</v>
      </c>
      <c r="X3" s="324">
        <f>IFERROR(STANDARDIZE(machina6[[#This Row],[Last Start Prize Money]],W$30,W$31)," ")</f>
        <v>1.4130061597316785</v>
      </c>
      <c r="Y3" s="326">
        <f t="shared" ref="Y3:Y28" si="6">IFERROR(RANK(X3,X$3:X$27,0)," ")</f>
        <v>1</v>
      </c>
      <c r="Z3" s="326">
        <f>IF(INDEX('Raw Data'!$A3:$EA3,MATCH(Z$2,RawData[#Headers],))=""," ",IF(INDEX('Raw Data'!$A3:$EA3,MATCH(Z$2,RawData[#Headers],))="UPL",3,INDEX('Raw Data'!$A3:$EA3,MATCH(Z$2,RawData[#Headers],))))</f>
        <v>0</v>
      </c>
      <c r="AA3" s="324">
        <f t="shared" ref="AA3:AA28" si="7">IFERROR(STANDARDIZE(Z3,Z$30,Z$31)," ")</f>
        <v>-1.2909944487358056</v>
      </c>
      <c r="AB3" s="326">
        <f t="shared" ref="AB3:AB28" si="8">IFERROR(RANK(AA3,AA$3:AA$27,0)," ")</f>
        <v>7</v>
      </c>
      <c r="AC3" s="326">
        <f>IF(INDEX('Raw Data'!$A3:$EA3,MATCH(AC$2,RawData[#Headers],))=""," ",IF(INDEX('Raw Data'!$A3:$EA3,MATCH(AC$2,RawData[#Headers],))="UPL",3,INDEX('Raw Data'!$A3:$EA3,MATCH(AC$2,RawData[#Headers],))))</f>
        <v>0</v>
      </c>
      <c r="AD3" s="324">
        <f t="shared" ref="AD3:AD28" si="9">IFERROR(STANDARDIZE(AC3,AC$30,AC$31)," ")</f>
        <v>-0.3779644730092272</v>
      </c>
      <c r="AE3" s="326">
        <f t="shared" ref="AE3:AE28" si="10">IFERROR(RANK(AD3,AD$3:AD$27,0)," ")</f>
        <v>2</v>
      </c>
      <c r="AF3" s="408">
        <f>IFERROR(VLOOKUP(A3,Results!$A$3:$DY$29,129,FALSE)," ")</f>
        <v>0</v>
      </c>
      <c r="AG3" s="408">
        <f>IFERROR(VLOOKUP(A3,Results!$A$3:$DY$29,129,FALSE)," ")</f>
        <v>0</v>
      </c>
      <c r="AH3" s="408">
        <f>IF($A3=0," ",SUM(machina6[[#This Row],[PICK 1]:[PICK 3]]))</f>
        <v>7</v>
      </c>
      <c r="AI3" s="408">
        <f>IF(machina6[[#This Row],[Num]]=0," ",IFERROR(RANK(AH3,AH$3:AH$27,0)," "))</f>
        <v>3</v>
      </c>
      <c r="AJ3" s="408">
        <f>IF($A3=0," ",COUNTIF($G3:$AE3,"=1"))</f>
        <v>4</v>
      </c>
      <c r="AK3" s="408">
        <f t="shared" ref="AK3:AK28" si="11">IF($A3=0," ",COUNTIF($G3:$AE3,"=2"))</f>
        <v>3</v>
      </c>
      <c r="AL3" s="408">
        <f>IF($A3=0," ",COUNTIF($G3:$AE3,"=3"))</f>
        <v>0</v>
      </c>
      <c r="AM3" s="408">
        <f>IF($A3=0," ",IF(machina6[[#This Row],[QUART]]&lt;=$G$34,1," "))</f>
        <v>1</v>
      </c>
      <c r="AN3" s="408">
        <f>IF($A3=0," ",RANK(machina6[[#This Row],[QUART]],machina6[QUART],1))</f>
        <v>3</v>
      </c>
      <c r="AO3" s="408">
        <f t="shared" ref="AO3:AO28" si="12">IF($A3=0," ",AI3/$E$34)</f>
        <v>0.375</v>
      </c>
      <c r="AP3" s="408"/>
    </row>
    <row r="4" spans="1:42" x14ac:dyDescent="0.3">
      <c r="A4" s="326">
        <f>RawData[[#This Row],[Num]]</f>
        <v>2</v>
      </c>
      <c r="C4" s="324"/>
      <c r="E4" s="326">
        <f>IF(INDEX('Raw Data'!$A4:$EA4,MATCH(E$2,RawData[#Headers],))=""," ",IF(INDEX('Raw Data'!$A4:$EA4,MATCH(E$2,RawData[#Headers],))="UPL",3,INDEX('Raw Data'!$A4:$EA4,MATCH(E$2,RawData[#Headers],))))</f>
        <v>3.25</v>
      </c>
      <c r="F4" s="324">
        <f>IFERROR(STANDARDIZE(machina6[[#This Row],[Best Fixed Odds]],E$30,E$31)," ")</f>
        <v>-1.1915220932746653</v>
      </c>
      <c r="G4" s="326">
        <f t="shared" si="0"/>
        <v>2</v>
      </c>
      <c r="H4" s="326">
        <f>IF(INDEX('Raw Data'!$A4:$EA4,MATCH(H$2,RawData[#Headers],))=""," ",IF(INDEX('Raw Data'!$A4:$EA4,MATCH(H$2,RawData[#Headers],))="UPL",3,INDEX('Raw Data'!$A4:$EA4,MATCH(H$2,RawData[#Headers],))))</f>
        <v>2</v>
      </c>
      <c r="I4" s="324">
        <f>IFERROR(STANDARDIZE(machina6[[#This Row],[This Distance Runs]],H$30,H$31)," ")</f>
        <v>-0.66554097189885586</v>
      </c>
      <c r="J4" s="326">
        <f t="shared" si="1"/>
        <v>6</v>
      </c>
      <c r="K4" s="318">
        <f>IF(INDEX('Raw Data'!$A4:$EA4,MATCH(K$2,RawData[#Headers],))=""," ",IF(INDEX('Raw Data'!$A4:$EA4,MATCH(K$2,RawData[#Headers],))="UPL",3,INDEX('Raw Data'!$A4:$EA4,MATCH(K$2,RawData[#Headers],))))</f>
        <v>153805</v>
      </c>
      <c r="L4" s="324">
        <f>IFERROR(STANDARDIZE(machina6[[#This Row],[Jockey Last 100 Horse Earnings]],K$30,K$31)," ")</f>
        <v>-0.40933711223151065</v>
      </c>
      <c r="M4" s="326">
        <f t="shared" si="2"/>
        <v>5</v>
      </c>
      <c r="N4" s="326">
        <f>IF(INDEX('Raw Data'!$A4:$EA4,MATCH(N$2,RawData[#Headers],))=""," ",IF(INDEX('Raw Data'!$A4:$EA4,MATCH(N$2,RawData[#Headers],))="UPL",1,INDEX('Raw Data'!$A4:$EA4,MATCH(N$2,RawData[#Headers],))))</f>
        <v>6</v>
      </c>
      <c r="O4" s="324">
        <f>IFERROR(STANDARDIZE(machina6[[#This Row],[Last Start Finish Position]],N$30,N$31)," ")</f>
        <v>0.29559878344928797</v>
      </c>
      <c r="P4" s="326">
        <f t="shared" si="3"/>
        <v>5</v>
      </c>
      <c r="Q4" s="326">
        <f>IF(INDEX('Raw Data'!$A4:$EA4,MATCH(Q$2,RawData[#Headers],))=""," ",IF(INDEX('Raw Data'!$A4:$EA4,MATCH(Q$2,RawData[#Headers],))="UPL",3,INDEX('Raw Data'!$A4:$EA4,MATCH(Q$2,RawData[#Headers],))))</f>
        <v>5.0999999999999996</v>
      </c>
      <c r="R4" s="324">
        <f>IFERROR(STANDARDIZE(machina6[[#This Row],[Last Start Margin]],Q$30,Q$31)," ")</f>
        <v>0.5343568482707417</v>
      </c>
      <c r="S4" s="326">
        <f t="shared" si="4"/>
        <v>7</v>
      </c>
      <c r="T4" s="326">
        <f>IF(INDEX('Raw Data'!$A4:$EA4,MATCH(T$2,RawData[#Headers],))=""," ",IF(INDEX('Raw Data'!$A4:$EA4,MATCH(T$2,RawData[#Headers],))="UPL",3,INDEX('Raw Data'!$A4:$EA4,MATCH(T$2,RawData[#Headers],))))</f>
        <v>430</v>
      </c>
      <c r="U4" s="324">
        <f>IFERROR(STANDARDIZE(machina6[[#This Row],[Last Start Distance Change]],T$30,T$31)," ")</f>
        <v>1.8862118507819952</v>
      </c>
      <c r="V4" s="326">
        <f t="shared" si="5"/>
        <v>8</v>
      </c>
      <c r="W4" s="318" t="str">
        <f>IF(INDEX('Raw Data'!$A4:$EA4,MATCH(W$2,RawData[#Headers],))=""," ",IF(INDEX('Raw Data'!$A4:$EA4,MATCH(W$2,RawData[#Headers],))="UPL",3,INDEX('Raw Data'!$A4:$EA4,MATCH(W$2,RawData[#Headers],))))</f>
        <v xml:space="preserve"> </v>
      </c>
      <c r="X4" s="324" t="str">
        <f>IFERROR(STANDARDIZE(machina6[[#This Row],[Last Start Prize Money]],W$30,W$31)," ")</f>
        <v xml:space="preserve"> </v>
      </c>
      <c r="Y4" s="326" t="str">
        <f t="shared" si="6"/>
        <v xml:space="preserve"> </v>
      </c>
      <c r="Z4" s="326">
        <f>IF(INDEX('Raw Data'!$A4:$EA4,MATCH(Z$2,RawData[#Headers],))=""," ",IF(INDEX('Raw Data'!$A4:$EA4,MATCH(Z$2,RawData[#Headers],))="UPL",3,INDEX('Raw Data'!$A4:$EA4,MATCH(Z$2,RawData[#Headers],))))</f>
        <v>1</v>
      </c>
      <c r="AA4" s="324">
        <f t="shared" si="7"/>
        <v>-0.2581988897471611</v>
      </c>
      <c r="AB4" s="326">
        <f t="shared" si="8"/>
        <v>4</v>
      </c>
      <c r="AC4" s="326">
        <f>IF(INDEX('Raw Data'!$A4:$EA4,MATCH(AC$2,RawData[#Headers],))=""," ",IF(INDEX('Raw Data'!$A4:$EA4,MATCH(AC$2,RawData[#Headers],))="UPL",3,INDEX('Raw Data'!$A4:$EA4,MATCH(AC$2,RawData[#Headers],))))</f>
        <v>0</v>
      </c>
      <c r="AD4" s="324">
        <f t="shared" si="9"/>
        <v>-0.3779644730092272</v>
      </c>
      <c r="AE4" s="326">
        <f t="shared" si="10"/>
        <v>2</v>
      </c>
      <c r="AF4" s="408">
        <f>IFERROR(VLOOKUP(A4,Results!$A$3:$DY$29,129,FALSE)," ")</f>
        <v>0</v>
      </c>
      <c r="AG4" s="408">
        <f>IFERROR(VLOOKUP(A4,Results!$A$3:$DY$29,129,FALSE)," ")</f>
        <v>0</v>
      </c>
      <c r="AH4" s="408">
        <f>IF($A4=0," ",SUM(machina6[[#This Row],[PICK 1]:[PICK 3]]))</f>
        <v>4</v>
      </c>
      <c r="AI4" s="408">
        <f>IF(machina6[[#This Row],[Num]]=0," ",IFERROR(RANK(AH4,AH$3:AH$27,0)," "))</f>
        <v>5</v>
      </c>
      <c r="AJ4" s="408">
        <f t="shared" ref="AJ4:AJ28" si="13">IF($A4=0," ",COUNTIF($G4:$AE4,"=1"))</f>
        <v>1</v>
      </c>
      <c r="AK4" s="408">
        <f t="shared" si="11"/>
        <v>3</v>
      </c>
      <c r="AL4" s="408">
        <f t="shared" ref="AL4:AL28" si="14">IF($A4=0," ",COUNTIF($G4:$AE4,"=3"))</f>
        <v>0</v>
      </c>
      <c r="AM4" s="408" t="str">
        <f>IF($A4=0," ",IF(machina6[[#This Row],[QUART]]&lt;=$G$34,1," "))</f>
        <v xml:space="preserve"> </v>
      </c>
      <c r="AN4" s="408">
        <f>IF($A4=0," ",RANK(machina6[[#This Row],[QUART]],machina6[QUART],1))</f>
        <v>5</v>
      </c>
      <c r="AO4" s="408">
        <f t="shared" si="12"/>
        <v>0.625</v>
      </c>
      <c r="AP4" s="408"/>
    </row>
    <row r="5" spans="1:42" x14ac:dyDescent="0.3">
      <c r="A5" s="326">
        <f>RawData[[#This Row],[Num]]</f>
        <v>3</v>
      </c>
      <c r="C5" s="324"/>
      <c r="E5" s="326">
        <f>IF(INDEX('Raw Data'!$A5:$EA5,MATCH(E$2,RawData[#Headers],))=""," ",IF(INDEX('Raw Data'!$A5:$EA5,MATCH(E$2,RawData[#Headers],))="UPL",3,INDEX('Raw Data'!$A5:$EA5,MATCH(E$2,RawData[#Headers],))))</f>
        <v>3</v>
      </c>
      <c r="F5" s="324">
        <f>IFERROR(STANDARDIZE(machina6[[#This Row],[Best Fixed Odds]],E$30,E$31)," ")</f>
        <v>-1.2235737971959744</v>
      </c>
      <c r="G5" s="326">
        <f t="shared" si="0"/>
        <v>1</v>
      </c>
      <c r="H5" s="326">
        <f>IF(INDEX('Raw Data'!$A5:$EA5,MATCH(H$2,RawData[#Headers],))=""," ",IF(INDEX('Raw Data'!$A5:$EA5,MATCH(H$2,RawData[#Headers],))="UPL",3,INDEX('Raw Data'!$A5:$EA5,MATCH(H$2,RawData[#Headers],))))</f>
        <v>3</v>
      </c>
      <c r="I5" s="324">
        <f>IFERROR(STANDARDIZE(machina6[[#This Row],[This Distance Runs]],H$30,H$31)," ")</f>
        <v>-0.38531319425723232</v>
      </c>
      <c r="J5" s="326">
        <f t="shared" si="1"/>
        <v>5</v>
      </c>
      <c r="K5" s="318">
        <f>IF(INDEX('Raw Data'!$A5:$EA5,MATCH(K$2,RawData[#Headers],))=""," ",IF(INDEX('Raw Data'!$A5:$EA5,MATCH(K$2,RawData[#Headers],))="UPL",3,INDEX('Raw Data'!$A5:$EA5,MATCH(K$2,RawData[#Headers],))))</f>
        <v>166550</v>
      </c>
      <c r="L5" s="324">
        <f>IFERROR(STANDARDIZE(machina6[[#This Row],[Jockey Last 100 Horse Earnings]],K$30,K$31)," ")</f>
        <v>-0.23816932813873809</v>
      </c>
      <c r="M5" s="326">
        <f t="shared" si="2"/>
        <v>4</v>
      </c>
      <c r="N5" s="326">
        <f>IF(INDEX('Raw Data'!$A5:$EA5,MATCH(N$2,RawData[#Headers],))=""," ",IF(INDEX('Raw Data'!$A5:$EA5,MATCH(N$2,RawData[#Headers],))="UPL",1,INDEX('Raw Data'!$A5:$EA5,MATCH(N$2,RawData[#Headers],))))</f>
        <v>7</v>
      </c>
      <c r="O5" s="324">
        <f>IFERROR(STANDARDIZE(machina6[[#This Row],[Last Start Finish Position]],N$30,N$31)," ")</f>
        <v>0.68973049471500525</v>
      </c>
      <c r="P5" s="326">
        <f t="shared" si="3"/>
        <v>6</v>
      </c>
      <c r="Q5" s="326">
        <f>IF(INDEX('Raw Data'!$A5:$EA5,MATCH(Q$2,RawData[#Headers],))=""," ",IF(INDEX('Raw Data'!$A5:$EA5,MATCH(Q$2,RawData[#Headers],))="UPL",3,INDEX('Raw Data'!$A5:$EA5,MATCH(Q$2,RawData[#Headers],))))</f>
        <v>2.8</v>
      </c>
      <c r="R5" s="324">
        <f>IFERROR(STANDARDIZE(machina6[[#This Row],[Last Start Margin]],Q$30,Q$31)," ")</f>
        <v>-0.48982711091484665</v>
      </c>
      <c r="S5" s="326">
        <f t="shared" si="4"/>
        <v>3</v>
      </c>
      <c r="T5" s="326">
        <f>IF(INDEX('Raw Data'!$A5:$EA5,MATCH(T$2,RawData[#Headers],))=""," ",IF(INDEX('Raw Data'!$A5:$EA5,MATCH(T$2,RawData[#Headers],))="UPL",3,INDEX('Raw Data'!$A5:$EA5,MATCH(T$2,RawData[#Headers],))))</f>
        <v>-10</v>
      </c>
      <c r="U5" s="324">
        <f>IFERROR(STANDARDIZE(machina6[[#This Row],[Last Start Distance Change]],T$30,T$31)," ")</f>
        <v>-1.6833933722032861</v>
      </c>
      <c r="V5" s="326">
        <f t="shared" si="5"/>
        <v>1</v>
      </c>
      <c r="W5" s="318" t="str">
        <f>IF(INDEX('Raw Data'!$A5:$EA5,MATCH(W$2,RawData[#Headers],))=""," ",IF(INDEX('Raw Data'!$A5:$EA5,MATCH(W$2,RawData[#Headers],))="UPL",3,INDEX('Raw Data'!$A5:$EA5,MATCH(W$2,RawData[#Headers],))))</f>
        <v xml:space="preserve"> </v>
      </c>
      <c r="X5" s="324" t="str">
        <f>IFERROR(STANDARDIZE(machina6[[#This Row],[Last Start Prize Money]],W$30,W$31)," ")</f>
        <v xml:space="preserve"> </v>
      </c>
      <c r="Y5" s="326" t="str">
        <f t="shared" si="6"/>
        <v xml:space="preserve"> </v>
      </c>
      <c r="Z5" s="326">
        <f>IF(INDEX('Raw Data'!$A5:$EA5,MATCH(Z$2,RawData[#Headers],))=""," ",IF(INDEX('Raw Data'!$A5:$EA5,MATCH(Z$2,RawData[#Headers],))="UPL",3,INDEX('Raw Data'!$A5:$EA5,MATCH(Z$2,RawData[#Headers],))))</f>
        <v>1</v>
      </c>
      <c r="AA5" s="324">
        <f t="shared" si="7"/>
        <v>-0.2581988897471611</v>
      </c>
      <c r="AB5" s="326">
        <f t="shared" si="8"/>
        <v>4</v>
      </c>
      <c r="AC5" s="326">
        <f>IF(INDEX('Raw Data'!$A5:$EA5,MATCH(AC$2,RawData[#Headers],))=""," ",IF(INDEX('Raw Data'!$A5:$EA5,MATCH(AC$2,RawData[#Headers],))="UPL",3,INDEX('Raw Data'!$A5:$EA5,MATCH(AC$2,RawData[#Headers],))))</f>
        <v>0</v>
      </c>
      <c r="AD5" s="324">
        <f t="shared" si="9"/>
        <v>-0.3779644730092272</v>
      </c>
      <c r="AE5" s="326">
        <f t="shared" si="10"/>
        <v>2</v>
      </c>
      <c r="AF5" s="408">
        <f>IFERROR(VLOOKUP(A5,Results!$A$3:$DY$29,129,FALSE)," ")</f>
        <v>0</v>
      </c>
      <c r="AG5" s="408">
        <f>IFERROR(VLOOKUP(A5,Results!$A$3:$DY$29,129,FALSE)," ")</f>
        <v>0</v>
      </c>
      <c r="AH5" s="408">
        <f>IF($A5=0," ",SUM(machina6[[#This Row],[PICK 1]:[PICK 3]]))</f>
        <v>6</v>
      </c>
      <c r="AI5" s="408">
        <f>IF(machina6[[#This Row],[Num]]=0," ",IFERROR(RANK(AH5,AH$3:AH$27,0)," "))</f>
        <v>4</v>
      </c>
      <c r="AJ5" s="408">
        <f t="shared" si="13"/>
        <v>3</v>
      </c>
      <c r="AK5" s="408">
        <f t="shared" si="11"/>
        <v>1</v>
      </c>
      <c r="AL5" s="408">
        <f t="shared" si="14"/>
        <v>2</v>
      </c>
      <c r="AM5" s="408">
        <f>IF($A5=0," ",IF(machina6[[#This Row],[QUART]]&lt;=$G$34,1," "))</f>
        <v>1</v>
      </c>
      <c r="AN5" s="408">
        <f>IF($A5=0," ",RANK(machina6[[#This Row],[QUART]],machina6[QUART],1))</f>
        <v>4</v>
      </c>
      <c r="AO5" s="408">
        <f t="shared" si="12"/>
        <v>0.5</v>
      </c>
      <c r="AP5" s="408"/>
    </row>
    <row r="6" spans="1:42" x14ac:dyDescent="0.3">
      <c r="A6" s="326">
        <f>RawData[[#This Row],[Num]]</f>
        <v>5</v>
      </c>
      <c r="C6" s="324"/>
      <c r="E6" s="326">
        <f>IF(INDEX('Raw Data'!$A6:$EA6,MATCH(E$2,RawData[#Headers],))=""," ",IF(INDEX('Raw Data'!$A6:$EA6,MATCH(E$2,RawData[#Headers],))="UPL",3,INDEX('Raw Data'!$A6:$EA6,MATCH(E$2,RawData[#Headers],))))</f>
        <v>7.1</v>
      </c>
      <c r="F6" s="324">
        <f>IFERROR(STANDARDIZE(machina6[[#This Row],[Best Fixed Odds]],E$30,E$31)," ")</f>
        <v>-0.69792585288650533</v>
      </c>
      <c r="G6" s="326">
        <f t="shared" si="0"/>
        <v>3</v>
      </c>
      <c r="H6" s="326">
        <f>IF(INDEX('Raw Data'!$A6:$EA6,MATCH(H$2,RawData[#Headers],))=""," ",IF(INDEX('Raw Data'!$A6:$EA6,MATCH(H$2,RawData[#Headers],))="UPL",3,INDEX('Raw Data'!$A6:$EA6,MATCH(H$2,RawData[#Headers],))))</f>
        <v>12</v>
      </c>
      <c r="I6" s="324">
        <f>IFERROR(STANDARDIZE(machina6[[#This Row],[This Distance Runs]],H$30,H$31)," ")</f>
        <v>2.1367368045173794</v>
      </c>
      <c r="J6" s="326">
        <f t="shared" si="1"/>
        <v>1</v>
      </c>
      <c r="K6" s="318">
        <f>IF(INDEX('Raw Data'!$A6:$EA6,MATCH(K$2,RawData[#Headers],))=""," ",IF(INDEX('Raw Data'!$A6:$EA6,MATCH(K$2,RawData[#Headers],))="UPL",3,INDEX('Raw Data'!$A6:$EA6,MATCH(K$2,RawData[#Headers],))))</f>
        <v>359425</v>
      </c>
      <c r="L6" s="324">
        <f>IFERROR(STANDARDIZE(machina6[[#This Row],[Jockey Last 100 Horse Earnings]],K$30,K$31)," ")</f>
        <v>2.3521787579258762</v>
      </c>
      <c r="M6" s="326">
        <f t="shared" si="2"/>
        <v>1</v>
      </c>
      <c r="N6" s="326">
        <f>IF(INDEX('Raw Data'!$A6:$EA6,MATCH(N$2,RawData[#Headers],))=""," ",IF(INDEX('Raw Data'!$A6:$EA6,MATCH(N$2,RawData[#Headers],))="UPL",1,INDEX('Raw Data'!$A6:$EA6,MATCH(N$2,RawData[#Headers],))))</f>
        <v>2</v>
      </c>
      <c r="O6" s="324">
        <f>IFERROR(STANDARDIZE(machina6[[#This Row],[Last Start Finish Position]],N$30,N$31)," ")</f>
        <v>-1.2809280616135812</v>
      </c>
      <c r="P6" s="326">
        <f t="shared" si="3"/>
        <v>1</v>
      </c>
      <c r="Q6" s="326">
        <f>IF(INDEX('Raw Data'!$A6:$EA6,MATCH(Q$2,RawData[#Headers],))=""," ",IF(INDEX('Raw Data'!$A6:$EA6,MATCH(Q$2,RawData[#Headers],))="UPL",3,INDEX('Raw Data'!$A6:$EA6,MATCH(Q$2,RawData[#Headers],))))</f>
        <v>4.5</v>
      </c>
      <c r="R6" s="324">
        <f>IFERROR(STANDARDIZE(machina6[[#This Row],[Last Start Margin]],Q$30,Q$31)," ")</f>
        <v>0.26717842413537091</v>
      </c>
      <c r="S6" s="326">
        <f t="shared" si="4"/>
        <v>6</v>
      </c>
      <c r="T6" s="326">
        <f>IF(INDEX('Raw Data'!$A6:$EA6,MATCH(T$2,RawData[#Headers],))=""," ",IF(INDEX('Raw Data'!$A6:$EA6,MATCH(T$2,RawData[#Headers],))="UPL",3,INDEX('Raw Data'!$A6:$EA6,MATCH(T$2,RawData[#Headers],))))</f>
        <v>160</v>
      </c>
      <c r="U6" s="324">
        <f>IFERROR(STANDARDIZE(machina6[[#This Row],[Last Start Distance Change]],T$30,T$31)," ")</f>
        <v>-0.30422771786806374</v>
      </c>
      <c r="V6" s="326">
        <f t="shared" si="5"/>
        <v>3</v>
      </c>
      <c r="W6" s="318">
        <f>IF(INDEX('Raw Data'!$A6:$EA6,MATCH(W$2,RawData[#Headers],))=""," ",IF(INDEX('Raw Data'!$A6:$EA6,MATCH(W$2,RawData[#Headers],))="UPL",3,INDEX('Raw Data'!$A6:$EA6,MATCH(W$2,RawData[#Headers],))))</f>
        <v>1600</v>
      </c>
      <c r="X6" s="324">
        <f>IFERROR(STANDARDIZE(machina6[[#This Row],[Last Start Prize Money]],W$30,W$31)," ")</f>
        <v>-0.6559047160558189</v>
      </c>
      <c r="Y6" s="326">
        <f t="shared" si="6"/>
        <v>2</v>
      </c>
      <c r="Z6" s="326">
        <f>IF(INDEX('Raw Data'!$A6:$EA6,MATCH(Z$2,RawData[#Headers],))=""," ",IF(INDEX('Raw Data'!$A6:$EA6,MATCH(Z$2,RawData[#Headers],))="UPL",3,INDEX('Raw Data'!$A6:$EA6,MATCH(Z$2,RawData[#Headers],))))</f>
        <v>3</v>
      </c>
      <c r="AA6" s="324">
        <f t="shared" si="7"/>
        <v>1.8073922282301278</v>
      </c>
      <c r="AB6" s="326">
        <f t="shared" si="8"/>
        <v>1</v>
      </c>
      <c r="AC6" s="326">
        <f>IF(INDEX('Raw Data'!$A6:$EA6,MATCH(AC$2,RawData[#Headers],))=""," ",IF(INDEX('Raw Data'!$A6:$EA6,MATCH(AC$2,RawData[#Headers],))="UPL",3,INDEX('Raw Data'!$A6:$EA6,MATCH(AC$2,RawData[#Headers],))))</f>
        <v>0</v>
      </c>
      <c r="AD6" s="324">
        <f t="shared" si="9"/>
        <v>-0.3779644730092272</v>
      </c>
      <c r="AE6" s="326">
        <f t="shared" si="10"/>
        <v>2</v>
      </c>
      <c r="AF6" s="408">
        <f>IFERROR(VLOOKUP(A6,Results!$A$3:$DY$29,129,FALSE)," ")</f>
        <v>0</v>
      </c>
      <c r="AG6" s="408">
        <f>IFERROR(VLOOKUP(A6,Results!$A$3:$DY$29,129,FALSE)," ")</f>
        <v>0</v>
      </c>
      <c r="AH6" s="408">
        <f>IF($A6=0," ",SUM(machina6[[#This Row],[PICK 1]:[PICK 3]]))</f>
        <v>10</v>
      </c>
      <c r="AI6" s="408">
        <f>IF(machina6[[#This Row],[Num]]=0," ",IFERROR(RANK(AH6,AH$3:AH$27,0)," "))</f>
        <v>1</v>
      </c>
      <c r="AJ6" s="408">
        <f t="shared" si="13"/>
        <v>4</v>
      </c>
      <c r="AK6" s="408">
        <f t="shared" si="11"/>
        <v>3</v>
      </c>
      <c r="AL6" s="408">
        <f t="shared" si="14"/>
        <v>3</v>
      </c>
      <c r="AM6" s="408">
        <f>IF($A6=0," ",IF(machina6[[#This Row],[QUART]]&lt;=$G$34,1," "))</f>
        <v>1</v>
      </c>
      <c r="AN6" s="408">
        <f>IF($A6=0," ",RANK(machina6[[#This Row],[QUART]],machina6[QUART],1))</f>
        <v>1</v>
      </c>
      <c r="AO6" s="408">
        <f t="shared" si="12"/>
        <v>0.125</v>
      </c>
      <c r="AP6" s="408"/>
    </row>
    <row r="7" spans="1:42" x14ac:dyDescent="0.3">
      <c r="A7" s="326">
        <f>RawData[[#This Row],[Num]]</f>
        <v>6</v>
      </c>
      <c r="C7" s="324"/>
      <c r="E7" s="326">
        <f>IF(INDEX('Raw Data'!$A7:$EA7,MATCH(E$2,RawData[#Headers],))=""," ",IF(INDEX('Raw Data'!$A7:$EA7,MATCH(E$2,RawData[#Headers],))="UPL",3,INDEX('Raw Data'!$A7:$EA7,MATCH(E$2,RawData[#Headers],))))</f>
        <v>21</v>
      </c>
      <c r="F7" s="324">
        <f>IFERROR(STANDARDIZE(machina6[[#This Row],[Best Fixed Odds]],E$30,E$31)," ")</f>
        <v>1.0841488851382799</v>
      </c>
      <c r="G7" s="326">
        <f t="shared" si="0"/>
        <v>6</v>
      </c>
      <c r="H7" s="326">
        <f>IF(INDEX('Raw Data'!$A7:$EA7,MATCH(H$2,RawData[#Headers],))=""," ",IF(INDEX('Raw Data'!$A7:$EA7,MATCH(H$2,RawData[#Headers],))="UPL",3,INDEX('Raw Data'!$A7:$EA7,MATCH(H$2,RawData[#Headers],))))</f>
        <v>6</v>
      </c>
      <c r="I7" s="324">
        <f>IFERROR(STANDARDIZE(machina6[[#This Row],[This Distance Runs]],H$30,H$31)," ")</f>
        <v>0.4553701386676382</v>
      </c>
      <c r="J7" s="326">
        <f t="shared" si="1"/>
        <v>2</v>
      </c>
      <c r="K7" s="318">
        <f>IF(INDEX('Raw Data'!$A7:$EA7,MATCH(K$2,RawData[#Headers],))=""," ",IF(INDEX('Raw Data'!$A7:$EA7,MATCH(K$2,RawData[#Headers],))="UPL",3,INDEX('Raw Data'!$A7:$EA7,MATCH(K$2,RawData[#Headers],))))</f>
        <v>120930</v>
      </c>
      <c r="L7" s="324">
        <f>IFERROR(STANDARDIZE(machina6[[#This Row],[Jockey Last 100 Horse Earnings]],K$30,K$31)," ")</f>
        <v>-0.8508546408348765</v>
      </c>
      <c r="M7" s="326">
        <f t="shared" si="2"/>
        <v>8</v>
      </c>
      <c r="N7" s="326">
        <f>IF(INDEX('Raw Data'!$A7:$EA7,MATCH(N$2,RawData[#Headers],))=""," ",IF(INDEX('Raw Data'!$A7:$EA7,MATCH(N$2,RawData[#Headers],))="UPL",1,INDEX('Raw Data'!$A7:$EA7,MATCH(N$2,RawData[#Headers],))))</f>
        <v>3</v>
      </c>
      <c r="O7" s="324">
        <f>IFERROR(STANDARDIZE(machina6[[#This Row],[Last Start Finish Position]],N$30,N$31)," ")</f>
        <v>-0.88679635034786386</v>
      </c>
      <c r="P7" s="326">
        <f t="shared" si="3"/>
        <v>3</v>
      </c>
      <c r="Q7" s="326">
        <f>IF(INDEX('Raw Data'!$A7:$EA7,MATCH(Q$2,RawData[#Headers],))=""," ",IF(INDEX('Raw Data'!$A7:$EA7,MATCH(Q$2,RawData[#Headers],))="UPL",3,INDEX('Raw Data'!$A7:$EA7,MATCH(Q$2,RawData[#Headers],))))</f>
        <v>2.85</v>
      </c>
      <c r="R7" s="324">
        <f>IFERROR(STANDARDIZE(machina6[[#This Row],[Last Start Margin]],Q$30,Q$31)," ")</f>
        <v>-0.46756224223689896</v>
      </c>
      <c r="S7" s="326">
        <f t="shared" si="4"/>
        <v>4</v>
      </c>
      <c r="T7" s="326">
        <f>IF(INDEX('Raw Data'!$A7:$EA7,MATCH(T$2,RawData[#Headers],))=""," ",IF(INDEX('Raw Data'!$A7:$EA7,MATCH(T$2,RawData[#Headers],))="UPL",3,INDEX('Raw Data'!$A7:$EA7,MATCH(T$2,RawData[#Headers],))))</f>
        <v>130</v>
      </c>
      <c r="U7" s="324">
        <f>IFERROR(STANDARDIZE(machina6[[#This Row],[Last Start Distance Change]],T$30,T$31)," ")</f>
        <v>-0.54760989216251477</v>
      </c>
      <c r="V7" s="326">
        <f t="shared" si="5"/>
        <v>2</v>
      </c>
      <c r="W7" s="318">
        <f>IF(INDEX('Raw Data'!$A7:$EA7,MATCH(W$2,RawData[#Headers],))=""," ",IF(INDEX('Raw Data'!$A7:$EA7,MATCH(W$2,RawData[#Headers],))="UPL",3,INDEX('Raw Data'!$A7:$EA7,MATCH(W$2,RawData[#Headers],))))</f>
        <v>700</v>
      </c>
      <c r="X7" s="324">
        <f>IFERROR(STANDARDIZE(machina6[[#This Row],[Last Start Prize Money]],W$30,W$31)," ")</f>
        <v>-0.75710144367585952</v>
      </c>
      <c r="Y7" s="326">
        <f t="shared" si="6"/>
        <v>3</v>
      </c>
      <c r="Z7" s="326">
        <f>IF(INDEX('Raw Data'!$A7:$EA7,MATCH(Z$2,RawData[#Headers],))=""," ",IF(INDEX('Raw Data'!$A7:$EA7,MATCH(Z$2,RawData[#Headers],))="UPL",3,INDEX('Raw Data'!$A7:$EA7,MATCH(Z$2,RawData[#Headers],))))</f>
        <v>2</v>
      </c>
      <c r="AA7" s="324">
        <f t="shared" si="7"/>
        <v>0.7745966692414834</v>
      </c>
      <c r="AB7" s="326">
        <f t="shared" si="8"/>
        <v>2</v>
      </c>
      <c r="AC7" s="326">
        <f>IF(INDEX('Raw Data'!$A7:$EA7,MATCH(AC$2,RawData[#Headers],))=""," ",IF(INDEX('Raw Data'!$A7:$EA7,MATCH(AC$2,RawData[#Headers],))="UPL",3,INDEX('Raw Data'!$A7:$EA7,MATCH(AC$2,RawData[#Headers],))))</f>
        <v>1</v>
      </c>
      <c r="AD7" s="324">
        <f t="shared" si="9"/>
        <v>2.6457513110645903</v>
      </c>
      <c r="AE7" s="326">
        <f t="shared" si="10"/>
        <v>1</v>
      </c>
      <c r="AF7" s="408">
        <f>IFERROR(VLOOKUP(A7,Results!$A$3:$DY$29,129,FALSE)," ")</f>
        <v>0</v>
      </c>
      <c r="AG7" s="408">
        <f>IFERROR(VLOOKUP(A7,Results!$A$3:$DY$29,129,FALSE)," ")</f>
        <v>0</v>
      </c>
      <c r="AH7" s="408">
        <f>IF($A7=0," ",SUM(machina6[[#This Row],[PICK 1]:[PICK 3]]))</f>
        <v>9</v>
      </c>
      <c r="AI7" s="408">
        <f>IF(machina6[[#This Row],[Num]]=0," ",IFERROR(RANK(AH7,AH$3:AH$27,0)," "))</f>
        <v>2</v>
      </c>
      <c r="AJ7" s="408">
        <f t="shared" si="13"/>
        <v>2</v>
      </c>
      <c r="AK7" s="408">
        <f>IF($A7=0," ",COUNTIF($G7:$AE7,"=2"))</f>
        <v>4</v>
      </c>
      <c r="AL7" s="408">
        <f t="shared" si="14"/>
        <v>3</v>
      </c>
      <c r="AM7" s="408">
        <f>IF($A7=0," ",IF(machina6[[#This Row],[QUART]]&lt;=$G$34,1," "))</f>
        <v>1</v>
      </c>
      <c r="AN7" s="408">
        <f>IF($A7=0," ",RANK(machina6[[#This Row],[QUART]],machina6[QUART],1))</f>
        <v>2</v>
      </c>
      <c r="AO7" s="408">
        <f t="shared" si="12"/>
        <v>0.25</v>
      </c>
      <c r="AP7" s="408"/>
    </row>
    <row r="8" spans="1:42" x14ac:dyDescent="0.3">
      <c r="A8" s="326">
        <f>RawData[[#This Row],[Num]]</f>
        <v>7</v>
      </c>
      <c r="C8" s="324"/>
      <c r="E8" s="326">
        <f>IF(INDEX('Raw Data'!$A8:$EA8,MATCH(E$2,RawData[#Headers],))=""," ",IF(INDEX('Raw Data'!$A8:$EA8,MATCH(E$2,RawData[#Headers],))="UPL",3,INDEX('Raw Data'!$A8:$EA8,MATCH(E$2,RawData[#Headers],))))</f>
        <v>23.5</v>
      </c>
      <c r="F8" s="324">
        <f>IFERROR(STANDARDIZE(machina6[[#This Row],[Best Fixed Odds]],E$30,E$31)," ")</f>
        <v>1.4046659243513708</v>
      </c>
      <c r="G8" s="326">
        <f t="shared" si="0"/>
        <v>8</v>
      </c>
      <c r="H8" s="326">
        <f>IF(INDEX('Raw Data'!$A8:$EA8,MATCH(H$2,RawData[#Headers],))=""," ",IF(INDEX('Raw Data'!$A8:$EA8,MATCH(H$2,RawData[#Headers],))="UPL",3,INDEX('Raw Data'!$A8:$EA8,MATCH(H$2,RawData[#Headers],))))</f>
        <v>5</v>
      </c>
      <c r="I8" s="324">
        <f>IFERROR(STANDARDIZE(machina6[[#This Row],[This Distance Runs]],H$30,H$31)," ")</f>
        <v>0.17514236102601469</v>
      </c>
      <c r="J8" s="326">
        <f t="shared" si="1"/>
        <v>4</v>
      </c>
      <c r="K8" s="318">
        <f>IF(INDEX('Raw Data'!$A8:$EA8,MATCH(K$2,RawData[#Headers],))=""," ",IF(INDEX('Raw Data'!$A8:$EA8,MATCH(K$2,RawData[#Headers],))="UPL",3,INDEX('Raw Data'!$A8:$EA8,MATCH(K$2,RawData[#Headers],))))</f>
        <v>125765</v>
      </c>
      <c r="L8" s="324">
        <f>IFERROR(STANDARDIZE(machina6[[#This Row],[Jockey Last 100 Horse Earnings]],K$30,K$31)," ")</f>
        <v>-0.78591966742659436</v>
      </c>
      <c r="M8" s="326">
        <f t="shared" si="2"/>
        <v>7</v>
      </c>
      <c r="N8" s="326">
        <f>IF(INDEX('Raw Data'!$A8:$EA8,MATCH(N$2,RawData[#Headers],))=""," ",IF(INDEX('Raw Data'!$A8:$EA8,MATCH(N$2,RawData[#Headers],))="UPL",1,INDEX('Raw Data'!$A8:$EA8,MATCH(N$2,RawData[#Headers],))))</f>
        <v>8</v>
      </c>
      <c r="O8" s="324">
        <f>IFERROR(STANDARDIZE(machina6[[#This Row],[Last Start Finish Position]],N$30,N$31)," ")</f>
        <v>1.0838622059807226</v>
      </c>
      <c r="P8" s="326">
        <f t="shared" si="3"/>
        <v>7</v>
      </c>
      <c r="Q8" s="326">
        <f>IF(INDEX('Raw Data'!$A8:$EA8,MATCH(Q$2,RawData[#Headers],))=""," ",IF(INDEX('Raw Data'!$A8:$EA8,MATCH(Q$2,RawData[#Headers],))="UPL",3,INDEX('Raw Data'!$A8:$EA8,MATCH(Q$2,RawData[#Headers],))))</f>
        <v>2.75</v>
      </c>
      <c r="R8" s="324">
        <f>IFERROR(STANDARDIZE(machina6[[#This Row],[Last Start Margin]],Q$30,Q$31)," ")</f>
        <v>-0.51209197959279418</v>
      </c>
      <c r="S8" s="326">
        <f t="shared" si="4"/>
        <v>2</v>
      </c>
      <c r="T8" s="326">
        <f>IF(INDEX('Raw Data'!$A8:$EA8,MATCH(T$2,RawData[#Headers],))=""," ",IF(INDEX('Raw Data'!$A8:$EA8,MATCH(T$2,RawData[#Headers],))="UPL",3,INDEX('Raw Data'!$A8:$EA8,MATCH(T$2,RawData[#Headers],))))</f>
        <v>180</v>
      </c>
      <c r="U8" s="324">
        <f>IFERROR(STANDARDIZE(machina6[[#This Row],[Last Start Distance Change]],T$30,T$31)," ")</f>
        <v>-0.14197293500509642</v>
      </c>
      <c r="V8" s="326">
        <f t="shared" si="5"/>
        <v>4</v>
      </c>
      <c r="W8" s="318" t="str">
        <f>IF(INDEX('Raw Data'!$A8:$EA8,MATCH(W$2,RawData[#Headers],))=""," ",IF(INDEX('Raw Data'!$A8:$EA8,MATCH(W$2,RawData[#Headers],))="UPL",3,INDEX('Raw Data'!$A8:$EA8,MATCH(W$2,RawData[#Headers],))))</f>
        <v xml:space="preserve"> </v>
      </c>
      <c r="X8" s="324" t="str">
        <f>IFERROR(STANDARDIZE(machina6[[#This Row],[Last Start Prize Money]],W$30,W$31)," ")</f>
        <v xml:space="preserve"> </v>
      </c>
      <c r="Y8" s="326" t="str">
        <f t="shared" si="6"/>
        <v xml:space="preserve"> </v>
      </c>
      <c r="Z8" s="326">
        <f>IF(INDEX('Raw Data'!$A8:$EA8,MATCH(Z$2,RawData[#Headers],))=""," ",IF(INDEX('Raw Data'!$A8:$EA8,MATCH(Z$2,RawData[#Headers],))="UPL",3,INDEX('Raw Data'!$A8:$EA8,MATCH(Z$2,RawData[#Headers],))))</f>
        <v>2</v>
      </c>
      <c r="AA8" s="324">
        <f t="shared" si="7"/>
        <v>0.7745966692414834</v>
      </c>
      <c r="AB8" s="326">
        <f t="shared" si="8"/>
        <v>2</v>
      </c>
      <c r="AC8" s="326">
        <f>IF(INDEX('Raw Data'!$A8:$EA8,MATCH(AC$2,RawData[#Headers],))=""," ",IF(INDEX('Raw Data'!$A8:$EA8,MATCH(AC$2,RawData[#Headers],))="UPL",3,INDEX('Raw Data'!$A8:$EA8,MATCH(AC$2,RawData[#Headers],))))</f>
        <v>0</v>
      </c>
      <c r="AD8" s="324">
        <f t="shared" si="9"/>
        <v>-0.3779644730092272</v>
      </c>
      <c r="AE8" s="326">
        <f t="shared" si="10"/>
        <v>2</v>
      </c>
      <c r="AF8" s="408">
        <f>IFERROR(VLOOKUP(A8,Results!$A$3:$DY$29,129,FALSE)," ")</f>
        <v>0</v>
      </c>
      <c r="AG8" s="408">
        <f>IFERROR(VLOOKUP(A8,Results!$A$3:$DY$29,129,FALSE)," ")</f>
        <v>0</v>
      </c>
      <c r="AH8" s="408">
        <f>IF($A8=0," ",SUM(machina6[[#This Row],[PICK 1]:[PICK 3]]))</f>
        <v>4</v>
      </c>
      <c r="AI8" s="408">
        <f>IF(machina6[[#This Row],[Num]]=0," ",IFERROR(RANK(AH8,AH$3:AH$27,0)," "))</f>
        <v>5</v>
      </c>
      <c r="AJ8" s="408">
        <f t="shared" si="13"/>
        <v>0</v>
      </c>
      <c r="AK8" s="408">
        <f t="shared" si="11"/>
        <v>4</v>
      </c>
      <c r="AL8" s="408">
        <f t="shared" si="14"/>
        <v>0</v>
      </c>
      <c r="AM8" s="408" t="str">
        <f>IF($A8=0," ",IF(machina6[[#This Row],[QUART]]&lt;=$G$34,1," "))</f>
        <v xml:space="preserve"> </v>
      </c>
      <c r="AN8" s="408">
        <f>IF($A8=0," ",RANK(machina6[[#This Row],[QUART]],machina6[QUART],1))</f>
        <v>5</v>
      </c>
      <c r="AO8" s="408">
        <f t="shared" si="12"/>
        <v>0.625</v>
      </c>
      <c r="AP8" s="408"/>
    </row>
    <row r="9" spans="1:42" x14ac:dyDescent="0.3">
      <c r="A9" s="326">
        <f>RawData[[#This Row],[Num]]</f>
        <v>8</v>
      </c>
      <c r="C9" s="324"/>
      <c r="E9" s="326">
        <f>IF(INDEX('Raw Data'!$A9:$EA9,MATCH(E$2,RawData[#Headers],))=""," ",IF(INDEX('Raw Data'!$A9:$EA9,MATCH(E$2,RawData[#Headers],))="UPL",3,INDEX('Raw Data'!$A9:$EA9,MATCH(E$2,RawData[#Headers],))))</f>
        <v>13</v>
      </c>
      <c r="F9" s="324">
        <f>IFERROR(STANDARDIZE(machina6[[#This Row],[Best Fixed Odds]],E$30,E$31)," ")</f>
        <v>5.8494359656389175E-2</v>
      </c>
      <c r="G9" s="326">
        <f t="shared" si="0"/>
        <v>5</v>
      </c>
      <c r="H9" s="326">
        <f>IF(INDEX('Raw Data'!$A9:$EA9,MATCH(H$2,RawData[#Headers],))=""," ",IF(INDEX('Raw Data'!$A9:$EA9,MATCH(H$2,RawData[#Headers],))="UPL",3,INDEX('Raw Data'!$A9:$EA9,MATCH(H$2,RawData[#Headers],))))</f>
        <v>6</v>
      </c>
      <c r="I9" s="324">
        <f>IFERROR(STANDARDIZE(machina6[[#This Row],[This Distance Runs]],H$30,H$31)," ")</f>
        <v>0.4553701386676382</v>
      </c>
      <c r="J9" s="326">
        <f t="shared" si="1"/>
        <v>2</v>
      </c>
      <c r="K9" s="318">
        <f>IF(INDEX('Raw Data'!$A9:$EA9,MATCH(K$2,RawData[#Headers],))=""," ",IF(INDEX('Raw Data'!$A9:$EA9,MATCH(K$2,RawData[#Headers],))="UPL",3,INDEX('Raw Data'!$A9:$EA9,MATCH(K$2,RawData[#Headers],))))</f>
        <v>132881</v>
      </c>
      <c r="L9" s="324">
        <f>IFERROR(STANDARDIZE(machina6[[#This Row],[Jockey Last 100 Horse Earnings]],K$30,K$31)," ")</f>
        <v>-0.69035042838350535</v>
      </c>
      <c r="M9" s="326">
        <f t="shared" si="2"/>
        <v>6</v>
      </c>
      <c r="N9" s="326">
        <f>IF(INDEX('Raw Data'!$A9:$EA9,MATCH(N$2,RawData[#Headers],))=""," ",IF(INDEX('Raw Data'!$A9:$EA9,MATCH(N$2,RawData[#Headers],))="UPL",1,INDEX('Raw Data'!$A9:$EA9,MATCH(N$2,RawData[#Headers],))))</f>
        <v>5</v>
      </c>
      <c r="O9" s="324">
        <f>IFERROR(STANDARDIZE(machina6[[#This Row],[Last Start Finish Position]],N$30,N$31)," ")</f>
        <v>-9.8532927816429319E-2</v>
      </c>
      <c r="P9" s="326">
        <f t="shared" si="3"/>
        <v>4</v>
      </c>
      <c r="Q9" s="326">
        <f>IF(INDEX('Raw Data'!$A9:$EA9,MATCH(Q$2,RawData[#Headers],))=""," ",IF(INDEX('Raw Data'!$A9:$EA9,MATCH(Q$2,RawData[#Headers],))="UPL",3,INDEX('Raw Data'!$A9:$EA9,MATCH(Q$2,RawData[#Headers],))))</f>
        <v>3.2</v>
      </c>
      <c r="R9" s="324">
        <f>IFERROR(STANDARDIZE(machina6[[#This Row],[Last Start Margin]],Q$30,Q$31)," ")</f>
        <v>-0.3117081614912659</v>
      </c>
      <c r="S9" s="326">
        <f t="shared" si="4"/>
        <v>5</v>
      </c>
      <c r="T9" s="326">
        <f>IF(INDEX('Raw Data'!$A9:$EA9,MATCH(T$2,RawData[#Headers],))=""," ",IF(INDEX('Raw Data'!$A9:$EA9,MATCH(T$2,RawData[#Headers],))="UPL",3,INDEX('Raw Data'!$A9:$EA9,MATCH(T$2,RawData[#Headers],))))</f>
        <v>180</v>
      </c>
      <c r="U9" s="324">
        <f>IFERROR(STANDARDIZE(machina6[[#This Row],[Last Start Distance Change]],T$30,T$31)," ")</f>
        <v>-0.14197293500509642</v>
      </c>
      <c r="V9" s="326">
        <f t="shared" si="5"/>
        <v>4</v>
      </c>
      <c r="W9" s="318" t="str">
        <f>IF(INDEX('Raw Data'!$A9:$EA9,MATCH(W$2,RawData[#Headers],))=""," ",IF(INDEX('Raw Data'!$A9:$EA9,MATCH(W$2,RawData[#Headers],))="UPL",3,INDEX('Raw Data'!$A9:$EA9,MATCH(W$2,RawData[#Headers],))))</f>
        <v xml:space="preserve"> </v>
      </c>
      <c r="X9" s="324" t="str">
        <f>IFERROR(STANDARDIZE(machina6[[#This Row],[Last Start Prize Money]],W$30,W$31)," ")</f>
        <v xml:space="preserve"> </v>
      </c>
      <c r="Y9" s="326" t="str">
        <f t="shared" si="6"/>
        <v xml:space="preserve"> </v>
      </c>
      <c r="Z9" s="326">
        <f>IF(INDEX('Raw Data'!$A9:$EA9,MATCH(Z$2,RawData[#Headers],))=""," ",IF(INDEX('Raw Data'!$A9:$EA9,MATCH(Z$2,RawData[#Headers],))="UPL",3,INDEX('Raw Data'!$A9:$EA9,MATCH(Z$2,RawData[#Headers],))))</f>
        <v>1</v>
      </c>
      <c r="AA9" s="324">
        <f t="shared" si="7"/>
        <v>-0.2581988897471611</v>
      </c>
      <c r="AB9" s="326">
        <f t="shared" si="8"/>
        <v>4</v>
      </c>
      <c r="AC9" s="326">
        <f>IF(INDEX('Raw Data'!$A9:$EA9,MATCH(AC$2,RawData[#Headers],))=""," ",IF(INDEX('Raw Data'!$A9:$EA9,MATCH(AC$2,RawData[#Headers],))="UPL",3,INDEX('Raw Data'!$A9:$EA9,MATCH(AC$2,RawData[#Headers],))))</f>
        <v>0</v>
      </c>
      <c r="AD9" s="324">
        <f t="shared" si="9"/>
        <v>-0.3779644730092272</v>
      </c>
      <c r="AE9" s="326">
        <f t="shared" si="10"/>
        <v>2</v>
      </c>
      <c r="AF9" s="408">
        <f>IFERROR(VLOOKUP(A9,Results!$A$3:$DY$29,129,FALSE)," ")</f>
        <v>0</v>
      </c>
      <c r="AG9" s="408">
        <f>IFERROR(VLOOKUP(A9,Results!$A$3:$DY$29,129,FALSE)," ")</f>
        <v>0</v>
      </c>
      <c r="AH9" s="408">
        <f>IF($A9=0," ",SUM(machina6[[#This Row],[PICK 1]:[PICK 3]]))</f>
        <v>3</v>
      </c>
      <c r="AI9" s="408">
        <f>IF(machina6[[#This Row],[Num]]=0," ",IFERROR(RANK(AH9,AH$3:AH$27,0)," "))</f>
        <v>7</v>
      </c>
      <c r="AJ9" s="408">
        <f t="shared" si="13"/>
        <v>1</v>
      </c>
      <c r="AK9" s="408">
        <f t="shared" si="11"/>
        <v>2</v>
      </c>
      <c r="AL9" s="408">
        <f t="shared" si="14"/>
        <v>0</v>
      </c>
      <c r="AM9" s="408" t="str">
        <f>IF($A9=0," ",IF(machina6[[#This Row],[QUART]]&lt;=$G$34,1," "))</f>
        <v xml:space="preserve"> </v>
      </c>
      <c r="AN9" s="408">
        <f>IF($A9=0," ",RANK(machina6[[#This Row],[QUART]],machina6[QUART],1))</f>
        <v>7</v>
      </c>
      <c r="AO9" s="408">
        <f t="shared" si="12"/>
        <v>0.875</v>
      </c>
      <c r="AP9" s="408"/>
    </row>
    <row r="10" spans="1:42" x14ac:dyDescent="0.3">
      <c r="A10" s="326">
        <f>RawData[[#This Row],[Num]]</f>
        <v>9</v>
      </c>
      <c r="C10" s="324"/>
      <c r="E10" s="326">
        <f>IF(INDEX('Raw Data'!$A10:$EA10,MATCH(E$2,RawData[#Headers],))=""," ",IF(INDEX('Raw Data'!$A10:$EA10,MATCH(E$2,RawData[#Headers],))="UPL",3,INDEX('Raw Data'!$A10:$EA10,MATCH(E$2,RawData[#Headers],))))</f>
        <v>8.5</v>
      </c>
      <c r="F10" s="324">
        <f>IFERROR(STANDARDIZE(machina6[[#This Row],[Best Fixed Odds]],E$30,E$31)," ")</f>
        <v>-0.51843631092717435</v>
      </c>
      <c r="G10" s="326">
        <f t="shared" si="0"/>
        <v>4</v>
      </c>
      <c r="H10" s="326">
        <f>IF(INDEX('Raw Data'!$A10:$EA10,MATCH(H$2,RawData[#Headers],))=""," ",IF(INDEX('Raw Data'!$A10:$EA10,MATCH(H$2,RawData[#Headers],))="UPL",3,INDEX('Raw Data'!$A10:$EA10,MATCH(H$2,RawData[#Headers],))))</f>
        <v>1</v>
      </c>
      <c r="I10" s="324">
        <f>IFERROR(STANDARDIZE(machina6[[#This Row],[This Distance Runs]],H$30,H$31)," ")</f>
        <v>-0.9457687495404794</v>
      </c>
      <c r="J10" s="326">
        <f t="shared" si="1"/>
        <v>7</v>
      </c>
      <c r="K10" s="318">
        <f>IF(INDEX('Raw Data'!$A10:$EA10,MATCH(K$2,RawData[#Headers],))=""," ",IF(INDEX('Raw Data'!$A10:$EA10,MATCH(K$2,RawData[#Headers],))="UPL",3,INDEX('Raw Data'!$A10:$EA10,MATCH(K$2,RawData[#Headers],))))</f>
        <v>182150</v>
      </c>
      <c r="L10" s="324">
        <f>IFERROR(STANDARDIZE(machina6[[#This Row],[Jockey Last 100 Horse Earnings]],K$30,K$31)," ")</f>
        <v>-2.8658348786266382E-2</v>
      </c>
      <c r="M10" s="326">
        <f t="shared" si="2"/>
        <v>3</v>
      </c>
      <c r="N10" s="326">
        <f>IF(INDEX('Raw Data'!$A10:$EA10,MATCH(N$2,RawData[#Headers],))=""," ",IF(INDEX('Raw Data'!$A10:$EA10,MATCH(N$2,RawData[#Headers],))="UPL",1,INDEX('Raw Data'!$A10:$EA10,MATCH(N$2,RawData[#Headers],))))</f>
        <v>9</v>
      </c>
      <c r="O10" s="324">
        <f>IFERROR(STANDARDIZE(machina6[[#This Row],[Last Start Finish Position]],N$30,N$31)," ")</f>
        <v>1.4779939172464398</v>
      </c>
      <c r="P10" s="326">
        <f t="shared" si="3"/>
        <v>8</v>
      </c>
      <c r="Q10" s="326">
        <f>IF(INDEX('Raw Data'!$A10:$EA10,MATCH(Q$2,RawData[#Headers],))=""," ",IF(INDEX('Raw Data'!$A10:$EA10,MATCH(Q$2,RawData[#Headers],))="UPL",3,INDEX('Raw Data'!$A10:$EA10,MATCH(Q$2,RawData[#Headers],))))</f>
        <v>9</v>
      </c>
      <c r="R10" s="324">
        <f>IFERROR(STANDARDIZE(machina6[[#This Row],[Last Start Margin]],Q$30,Q$31)," ")</f>
        <v>2.2710166051506526</v>
      </c>
      <c r="S10" s="326">
        <f t="shared" si="4"/>
        <v>8</v>
      </c>
      <c r="T10" s="326">
        <f>IF(INDEX('Raw Data'!$A10:$EA10,MATCH(T$2,RawData[#Headers],))=""," ",IF(INDEX('Raw Data'!$A10:$EA10,MATCH(T$2,RawData[#Headers],))="UPL",3,INDEX('Raw Data'!$A10:$EA10,MATCH(T$2,RawData[#Headers],))))</f>
        <v>180</v>
      </c>
      <c r="U10" s="324">
        <f>IFERROR(STANDARDIZE(machina6[[#This Row],[Last Start Distance Change]],T$30,T$31)," ")</f>
        <v>-0.14197293500509642</v>
      </c>
      <c r="V10" s="326">
        <f t="shared" si="5"/>
        <v>4</v>
      </c>
      <c r="W10" s="318" t="str">
        <f>IF(INDEX('Raw Data'!$A10:$EA10,MATCH(W$2,RawData[#Headers],))=""," ",IF(INDEX('Raw Data'!$A10:$EA10,MATCH(W$2,RawData[#Headers],))="UPL",3,INDEX('Raw Data'!$A10:$EA10,MATCH(W$2,RawData[#Headers],))))</f>
        <v xml:space="preserve"> </v>
      </c>
      <c r="X10" s="324" t="str">
        <f>IFERROR(STANDARDIZE(machina6[[#This Row],[Last Start Prize Money]],W$30,W$31)," ")</f>
        <v xml:space="preserve"> </v>
      </c>
      <c r="Y10" s="326" t="str">
        <f t="shared" si="6"/>
        <v xml:space="preserve"> </v>
      </c>
      <c r="Z10" s="326">
        <f>IF(INDEX('Raw Data'!$A10:$EA10,MATCH(Z$2,RawData[#Headers],))=""," ",IF(INDEX('Raw Data'!$A10:$EA10,MATCH(Z$2,RawData[#Headers],))="UPL",3,INDEX('Raw Data'!$A10:$EA10,MATCH(Z$2,RawData[#Headers],))))</f>
        <v>0</v>
      </c>
      <c r="AA10" s="324">
        <f t="shared" si="7"/>
        <v>-1.2909944487358056</v>
      </c>
      <c r="AB10" s="326">
        <f t="shared" si="8"/>
        <v>7</v>
      </c>
      <c r="AC10" s="326">
        <f>IF(INDEX('Raw Data'!$A10:$EA10,MATCH(AC$2,RawData[#Headers],))=""," ",IF(INDEX('Raw Data'!$A10:$EA10,MATCH(AC$2,RawData[#Headers],))="UPL",3,INDEX('Raw Data'!$A10:$EA10,MATCH(AC$2,RawData[#Headers],))))</f>
        <v>0</v>
      </c>
      <c r="AD10" s="324">
        <f t="shared" si="9"/>
        <v>-0.3779644730092272</v>
      </c>
      <c r="AE10" s="326">
        <f t="shared" si="10"/>
        <v>2</v>
      </c>
      <c r="AF10" s="408">
        <f>IFERROR(VLOOKUP(A10,Results!$A$3:$DY$29,129,FALSE)," ")</f>
        <v>0</v>
      </c>
      <c r="AG10" s="408">
        <f>IFERROR(VLOOKUP(A10,Results!$A$3:$DY$29,129,FALSE)," ")</f>
        <v>0</v>
      </c>
      <c r="AH10" s="408">
        <f>IF($A10=0," ",SUM(machina6[[#This Row],[PICK 1]:[PICK 3]]))</f>
        <v>3</v>
      </c>
      <c r="AI10" s="408">
        <f>IF(machina6[[#This Row],[Num]]=0," ",IFERROR(RANK(AH10,AH$3:AH$27,0)," "))</f>
        <v>7</v>
      </c>
      <c r="AJ10" s="408">
        <f>IF($A10=0," ",COUNTIF($G10:$AE10,"=1"))</f>
        <v>1</v>
      </c>
      <c r="AK10" s="408">
        <f t="shared" si="11"/>
        <v>1</v>
      </c>
      <c r="AL10" s="408">
        <f t="shared" si="14"/>
        <v>1</v>
      </c>
      <c r="AM10" s="408" t="str">
        <f>IF($A10=0," ",IF(machina6[[#This Row],[QUART]]&lt;=$G$34,1," "))</f>
        <v xml:space="preserve"> </v>
      </c>
      <c r="AN10" s="408">
        <f>IF($A10=0," ",RANK(machina6[[#This Row],[QUART]],machina6[QUART],1))</f>
        <v>7</v>
      </c>
      <c r="AO10" s="408">
        <f t="shared" si="12"/>
        <v>0.875</v>
      </c>
      <c r="AP10" s="408"/>
    </row>
    <row r="11" spans="1:42" x14ac:dyDescent="0.3">
      <c r="A11" s="326">
        <f>RawData[[#This Row],[Num]]</f>
        <v>0</v>
      </c>
      <c r="C11" s="324"/>
      <c r="E11" s="326" t="str">
        <f>IF(INDEX('Raw Data'!$A11:$EA11,MATCH(E$2,RawData[#Headers],))=""," ",IF(INDEX('Raw Data'!$A11:$EA11,MATCH(E$2,RawData[#Headers],))="UPL",3,INDEX('Raw Data'!$A11:$EA11,MATCH(E$2,RawData[#Headers],))))</f>
        <v xml:space="preserve"> </v>
      </c>
      <c r="F11" s="324" t="str">
        <f>IFERROR(STANDARDIZE(machina6[[#This Row],[Best Fixed Odds]],E$30,E$31)," ")</f>
        <v xml:space="preserve"> </v>
      </c>
      <c r="G11" s="326" t="str">
        <f t="shared" si="0"/>
        <v xml:space="preserve"> </v>
      </c>
      <c r="H11" s="326" t="str">
        <f>IF(INDEX('Raw Data'!$A11:$EA11,MATCH(H$2,RawData[#Headers],))=""," ",IF(INDEX('Raw Data'!$A11:$EA11,MATCH(H$2,RawData[#Headers],))="UPL",3,INDEX('Raw Data'!$A11:$EA11,MATCH(H$2,RawData[#Headers],))))</f>
        <v xml:space="preserve"> </v>
      </c>
      <c r="I11" s="324" t="str">
        <f>IFERROR(STANDARDIZE(machina6[[#This Row],[This Distance Runs]],H$30,H$31)," ")</f>
        <v xml:space="preserve"> </v>
      </c>
      <c r="J11" s="326" t="str">
        <f t="shared" si="1"/>
        <v xml:space="preserve"> </v>
      </c>
      <c r="K11" s="318" t="str">
        <f>IF(INDEX('Raw Data'!$A11:$EA11,MATCH(K$2,RawData[#Headers],))=""," ",IF(INDEX('Raw Data'!$A11:$EA11,MATCH(K$2,RawData[#Headers],))="UPL",3,INDEX('Raw Data'!$A11:$EA11,MATCH(K$2,RawData[#Headers],))))</f>
        <v xml:space="preserve"> </v>
      </c>
      <c r="L11" s="324" t="str">
        <f>IFERROR(STANDARDIZE(machina6[[#This Row],[Jockey Last 100 Horse Earnings]],K$30,K$31)," ")</f>
        <v xml:space="preserve"> </v>
      </c>
      <c r="M11" s="326" t="str">
        <f t="shared" si="2"/>
        <v xml:space="preserve"> </v>
      </c>
      <c r="N11" s="326" t="str">
        <f>IF(INDEX('Raw Data'!$A11:$EA11,MATCH(N$2,RawData[#Headers],))=""," ",IF(INDEX('Raw Data'!$A11:$EA11,MATCH(N$2,RawData[#Headers],))="UPL",1,INDEX('Raw Data'!$A11:$EA11,MATCH(N$2,RawData[#Headers],))))</f>
        <v xml:space="preserve"> </v>
      </c>
      <c r="O11" s="324" t="str">
        <f>IFERROR(STANDARDIZE(machina6[[#This Row],[Last Start Finish Position]],N$30,N$31)," ")</f>
        <v xml:space="preserve"> </v>
      </c>
      <c r="P11" s="326" t="str">
        <f t="shared" si="3"/>
        <v xml:space="preserve"> </v>
      </c>
      <c r="Q11" s="326" t="str">
        <f>IF(INDEX('Raw Data'!$A11:$EA11,MATCH(Q$2,RawData[#Headers],))=""," ",IF(INDEX('Raw Data'!$A11:$EA11,MATCH(Q$2,RawData[#Headers],))="UPL",3,INDEX('Raw Data'!$A11:$EA11,MATCH(Q$2,RawData[#Headers],))))</f>
        <v xml:space="preserve"> </v>
      </c>
      <c r="R11" s="324" t="str">
        <f>IFERROR(STANDARDIZE(machina6[[#This Row],[Last Start Margin]],Q$30,Q$31)," ")</f>
        <v xml:space="preserve"> </v>
      </c>
      <c r="S11" s="326" t="str">
        <f t="shared" si="4"/>
        <v xml:space="preserve"> </v>
      </c>
      <c r="T11" s="326" t="str">
        <f>IF(INDEX('Raw Data'!$A11:$EA11,MATCH(T$2,RawData[#Headers],))=""," ",IF(INDEX('Raw Data'!$A11:$EA11,MATCH(T$2,RawData[#Headers],))="UPL",3,INDEX('Raw Data'!$A11:$EA11,MATCH(T$2,RawData[#Headers],))))</f>
        <v xml:space="preserve"> </v>
      </c>
      <c r="U11" s="324" t="str">
        <f>IFERROR(STANDARDIZE(machina6[[#This Row],[Last Start Distance Change]],T$30,T$31)," ")</f>
        <v xml:space="preserve"> </v>
      </c>
      <c r="V11" s="326" t="str">
        <f t="shared" si="5"/>
        <v xml:space="preserve"> </v>
      </c>
      <c r="W11" s="318" t="str">
        <f>IF(INDEX('Raw Data'!$A11:$EA11,MATCH(W$2,RawData[#Headers],))=""," ",IF(INDEX('Raw Data'!$A11:$EA11,MATCH(W$2,RawData[#Headers],))="UPL",3,INDEX('Raw Data'!$A11:$EA11,MATCH(W$2,RawData[#Headers],))))</f>
        <v xml:space="preserve"> </v>
      </c>
      <c r="X11" s="324" t="str">
        <f>IFERROR(STANDARDIZE(machina6[[#This Row],[Last Start Prize Money]],W$30,W$31)," ")</f>
        <v xml:space="preserve"> </v>
      </c>
      <c r="Y11" s="326" t="str">
        <f t="shared" si="6"/>
        <v xml:space="preserve"> </v>
      </c>
      <c r="Z11" s="326" t="str">
        <f>IF(INDEX('Raw Data'!$A11:$EA11,MATCH(Z$2,RawData[#Headers],))=""," ",IF(INDEX('Raw Data'!$A11:$EA11,MATCH(Z$2,RawData[#Headers],))="UPL",3,INDEX('Raw Data'!$A11:$EA11,MATCH(Z$2,RawData[#Headers],))))</f>
        <v xml:space="preserve"> </v>
      </c>
      <c r="AA11" s="324" t="str">
        <f t="shared" si="7"/>
        <v xml:space="preserve"> </v>
      </c>
      <c r="AB11" s="326" t="str">
        <f t="shared" si="8"/>
        <v xml:space="preserve"> </v>
      </c>
      <c r="AC11" s="326" t="str">
        <f>IF(INDEX('Raw Data'!$A11:$EA11,MATCH(AC$2,RawData[#Headers],))=""," ",IF(INDEX('Raw Data'!$A11:$EA11,MATCH(AC$2,RawData[#Headers],))="UPL",3,INDEX('Raw Data'!$A11:$EA11,MATCH(AC$2,RawData[#Headers],))))</f>
        <v xml:space="preserve"> </v>
      </c>
      <c r="AD11" s="324" t="str">
        <f t="shared" si="9"/>
        <v xml:space="preserve"> </v>
      </c>
      <c r="AE11" s="326" t="str">
        <f t="shared" si="10"/>
        <v xml:space="preserve"> </v>
      </c>
      <c r="AF11" s="408" t="str">
        <f>IFERROR(VLOOKUP(A11,Results!$A$3:$DY$29,129,FALSE)," ")</f>
        <v xml:space="preserve"> </v>
      </c>
      <c r="AG11" s="408" t="str">
        <f>IFERROR(VLOOKUP(A11,Results!$A$3:$DY$29,129,FALSE)," ")</f>
        <v xml:space="preserve"> </v>
      </c>
      <c r="AH11" s="408" t="str">
        <f>IF($A11=0," ",SUM(machina6[[#This Row],[PICK 1]:[PICK 3]]))</f>
        <v xml:space="preserve"> </v>
      </c>
      <c r="AI11" s="408" t="str">
        <f>IF(machina6[[#This Row],[Num]]=0," ",IFERROR(RANK(AH11,AH$3:AH$27,0)," "))</f>
        <v xml:space="preserve"> </v>
      </c>
      <c r="AJ11" s="408" t="str">
        <f t="shared" si="13"/>
        <v xml:space="preserve"> </v>
      </c>
      <c r="AK11" s="408" t="str">
        <f t="shared" si="11"/>
        <v xml:space="preserve"> </v>
      </c>
      <c r="AL11" s="408" t="str">
        <f t="shared" si="14"/>
        <v xml:space="preserve"> </v>
      </c>
      <c r="AM11" s="408" t="str">
        <f>IF($A11=0," ",IF(machina6[[#This Row],[QUART]]&lt;=$G$34,1," "))</f>
        <v xml:space="preserve"> </v>
      </c>
      <c r="AN11" s="408" t="str">
        <f>IF($A11=0," ",RANK(machina6[[#This Row],[QUART]],machina6[QUART],1))</f>
        <v xml:space="preserve"> </v>
      </c>
      <c r="AO11" s="408" t="str">
        <f t="shared" si="12"/>
        <v xml:space="preserve"> </v>
      </c>
      <c r="AP11" s="408"/>
    </row>
    <row r="12" spans="1:42" x14ac:dyDescent="0.3">
      <c r="A12" s="326">
        <f>RawData[[#This Row],[Num]]</f>
        <v>0</v>
      </c>
      <c r="C12" s="324"/>
      <c r="E12" s="326" t="str">
        <f>IF(INDEX('Raw Data'!$A12:$EA12,MATCH(E$2,RawData[#Headers],))=""," ",IF(INDEX('Raw Data'!$A12:$EA12,MATCH(E$2,RawData[#Headers],))="UPL",3,INDEX('Raw Data'!$A12:$EA12,MATCH(E$2,RawData[#Headers],))))</f>
        <v xml:space="preserve"> </v>
      </c>
      <c r="F12" s="324" t="str">
        <f>IFERROR(STANDARDIZE(machina6[[#This Row],[Best Fixed Odds]],E$30,E$31)," ")</f>
        <v xml:space="preserve"> </v>
      </c>
      <c r="G12" s="326" t="str">
        <f t="shared" si="0"/>
        <v xml:space="preserve"> </v>
      </c>
      <c r="H12" s="326" t="str">
        <f>IF(INDEX('Raw Data'!$A12:$EA12,MATCH(H$2,RawData[#Headers],))=""," ",IF(INDEX('Raw Data'!$A12:$EA12,MATCH(H$2,RawData[#Headers],))="UPL",3,INDEX('Raw Data'!$A12:$EA12,MATCH(H$2,RawData[#Headers],))))</f>
        <v xml:space="preserve"> </v>
      </c>
      <c r="I12" s="324" t="str">
        <f>IFERROR(STANDARDIZE(machina6[[#This Row],[This Distance Runs]],H$30,H$31)," ")</f>
        <v xml:space="preserve"> </v>
      </c>
      <c r="J12" s="326" t="str">
        <f t="shared" si="1"/>
        <v xml:space="preserve"> </v>
      </c>
      <c r="K12" s="318" t="str">
        <f>IF(INDEX('Raw Data'!$A12:$EA12,MATCH(K$2,RawData[#Headers],))=""," ",IF(INDEX('Raw Data'!$A12:$EA12,MATCH(K$2,RawData[#Headers],))="UPL",3,INDEX('Raw Data'!$A12:$EA12,MATCH(K$2,RawData[#Headers],))))</f>
        <v xml:space="preserve"> </v>
      </c>
      <c r="L12" s="324" t="str">
        <f>IFERROR(STANDARDIZE(machina6[[#This Row],[Jockey Last 100 Horse Earnings]],K$30,K$31)," ")</f>
        <v xml:space="preserve"> </v>
      </c>
      <c r="M12" s="326" t="str">
        <f t="shared" si="2"/>
        <v xml:space="preserve"> </v>
      </c>
      <c r="N12" s="326" t="str">
        <f>IF(INDEX('Raw Data'!$A12:$EA12,MATCH(N$2,RawData[#Headers],))=""," ",IF(INDEX('Raw Data'!$A12:$EA12,MATCH(N$2,RawData[#Headers],))="UPL",1,INDEX('Raw Data'!$A12:$EA12,MATCH(N$2,RawData[#Headers],))))</f>
        <v xml:space="preserve"> </v>
      </c>
      <c r="O12" s="324" t="str">
        <f>IFERROR(STANDARDIZE(machina6[[#This Row],[Last Start Finish Position]],N$30,N$31)," ")</f>
        <v xml:space="preserve"> </v>
      </c>
      <c r="P12" s="326" t="str">
        <f t="shared" si="3"/>
        <v xml:space="preserve"> </v>
      </c>
      <c r="Q12" s="326" t="str">
        <f>IF(INDEX('Raw Data'!$A12:$EA12,MATCH(Q$2,RawData[#Headers],))=""," ",IF(INDEX('Raw Data'!$A12:$EA12,MATCH(Q$2,RawData[#Headers],))="UPL",3,INDEX('Raw Data'!$A12:$EA12,MATCH(Q$2,RawData[#Headers],))))</f>
        <v xml:space="preserve"> </v>
      </c>
      <c r="R12" s="324" t="str">
        <f>IFERROR(STANDARDIZE(machina6[[#This Row],[Last Start Margin]],Q$30,Q$31)," ")</f>
        <v xml:space="preserve"> </v>
      </c>
      <c r="S12" s="326" t="str">
        <f t="shared" si="4"/>
        <v xml:space="preserve"> </v>
      </c>
      <c r="T12" s="326" t="str">
        <f>IF(INDEX('Raw Data'!$A12:$EA12,MATCH(T$2,RawData[#Headers],))=""," ",IF(INDEX('Raw Data'!$A12:$EA12,MATCH(T$2,RawData[#Headers],))="UPL",3,INDEX('Raw Data'!$A12:$EA12,MATCH(T$2,RawData[#Headers],))))</f>
        <v xml:space="preserve"> </v>
      </c>
      <c r="U12" s="324" t="str">
        <f>IFERROR(STANDARDIZE(machina6[[#This Row],[Last Start Distance Change]],T$30,T$31)," ")</f>
        <v xml:space="preserve"> </v>
      </c>
      <c r="V12" s="326" t="str">
        <f t="shared" si="5"/>
        <v xml:space="preserve"> </v>
      </c>
      <c r="W12" s="318" t="str">
        <f>IF(INDEX('Raw Data'!$A12:$EA12,MATCH(W$2,RawData[#Headers],))=""," ",IF(INDEX('Raw Data'!$A12:$EA12,MATCH(W$2,RawData[#Headers],))="UPL",3,INDEX('Raw Data'!$A12:$EA12,MATCH(W$2,RawData[#Headers],))))</f>
        <v xml:space="preserve"> </v>
      </c>
      <c r="X12" s="324" t="str">
        <f>IFERROR(STANDARDIZE(machina6[[#This Row],[Last Start Prize Money]],W$30,W$31)," ")</f>
        <v xml:space="preserve"> </v>
      </c>
      <c r="Y12" s="326" t="str">
        <f t="shared" si="6"/>
        <v xml:space="preserve"> </v>
      </c>
      <c r="Z12" s="326" t="str">
        <f>IF(INDEX('Raw Data'!$A12:$EA12,MATCH(Z$2,RawData[#Headers],))=""," ",IF(INDEX('Raw Data'!$A12:$EA12,MATCH(Z$2,RawData[#Headers],))="UPL",3,INDEX('Raw Data'!$A12:$EA12,MATCH(Z$2,RawData[#Headers],))))</f>
        <v xml:space="preserve"> </v>
      </c>
      <c r="AA12" s="324" t="str">
        <f t="shared" si="7"/>
        <v xml:space="preserve"> </v>
      </c>
      <c r="AB12" s="326" t="str">
        <f t="shared" si="8"/>
        <v xml:space="preserve"> </v>
      </c>
      <c r="AC12" s="326" t="str">
        <f>IF(INDEX('Raw Data'!$A12:$EA12,MATCH(AC$2,RawData[#Headers],))=""," ",IF(INDEX('Raw Data'!$A12:$EA12,MATCH(AC$2,RawData[#Headers],))="UPL",3,INDEX('Raw Data'!$A12:$EA12,MATCH(AC$2,RawData[#Headers],))))</f>
        <v xml:space="preserve"> </v>
      </c>
      <c r="AD12" s="324" t="str">
        <f t="shared" si="9"/>
        <v xml:space="preserve"> </v>
      </c>
      <c r="AE12" s="326" t="str">
        <f t="shared" si="10"/>
        <v xml:space="preserve"> </v>
      </c>
      <c r="AF12" s="408" t="str">
        <f>IFERROR(VLOOKUP(A12,Results!$A$3:$DY$29,129,FALSE)," ")</f>
        <v xml:space="preserve"> </v>
      </c>
      <c r="AG12" s="408" t="str">
        <f>IFERROR(VLOOKUP(A12,Results!$A$3:$DY$29,129,FALSE)," ")</f>
        <v xml:space="preserve"> </v>
      </c>
      <c r="AH12" s="408" t="str">
        <f>IF($A12=0," ",SUM(machina6[[#This Row],[PICK 1]:[PICK 3]]))</f>
        <v xml:space="preserve"> </v>
      </c>
      <c r="AI12" s="408" t="str">
        <f>IF(machina6[[#This Row],[Num]]=0," ",IFERROR(RANK(AH12,AH$3:AH$27,0)," "))</f>
        <v xml:space="preserve"> </v>
      </c>
      <c r="AJ12" s="408" t="str">
        <f t="shared" si="13"/>
        <v xml:space="preserve"> </v>
      </c>
      <c r="AK12" s="408" t="str">
        <f t="shared" si="11"/>
        <v xml:space="preserve"> </v>
      </c>
      <c r="AL12" s="408" t="str">
        <f t="shared" si="14"/>
        <v xml:space="preserve"> </v>
      </c>
      <c r="AM12" s="408" t="str">
        <f>IF($A12=0," ",IF(machina6[[#This Row],[QUART]]&lt;=$G$34,1," "))</f>
        <v xml:space="preserve"> </v>
      </c>
      <c r="AN12" s="408" t="str">
        <f>IF($A12=0," ",RANK(machina6[[#This Row],[QUART]],machina6[QUART],1))</f>
        <v xml:space="preserve"> </v>
      </c>
      <c r="AO12" s="408" t="str">
        <f t="shared" si="12"/>
        <v xml:space="preserve"> </v>
      </c>
      <c r="AP12" s="408"/>
    </row>
    <row r="13" spans="1:42" x14ac:dyDescent="0.3">
      <c r="A13" s="326">
        <f>RawData[[#This Row],[Num]]</f>
        <v>0</v>
      </c>
      <c r="C13" s="324"/>
      <c r="E13" s="326" t="str">
        <f>IF(INDEX('Raw Data'!$A13:$EA13,MATCH(E$2,RawData[#Headers],))=""," ",IF(INDEX('Raw Data'!$A13:$EA13,MATCH(E$2,RawData[#Headers],))="UPL",3,INDEX('Raw Data'!$A13:$EA13,MATCH(E$2,RawData[#Headers],))))</f>
        <v xml:space="preserve"> </v>
      </c>
      <c r="F13" s="324" t="str">
        <f>IFERROR(STANDARDIZE(machina6[[#This Row],[Best Fixed Odds]],E$30,E$31)," ")</f>
        <v xml:space="preserve"> </v>
      </c>
      <c r="G13" s="326" t="str">
        <f t="shared" si="0"/>
        <v xml:space="preserve"> </v>
      </c>
      <c r="H13" s="326" t="str">
        <f>IF(INDEX('Raw Data'!$A13:$EA13,MATCH(H$2,RawData[#Headers],))=""," ",IF(INDEX('Raw Data'!$A13:$EA13,MATCH(H$2,RawData[#Headers],))="UPL",3,INDEX('Raw Data'!$A13:$EA13,MATCH(H$2,RawData[#Headers],))))</f>
        <v xml:space="preserve"> </v>
      </c>
      <c r="I13" s="324" t="str">
        <f>IFERROR(STANDARDIZE(machina6[[#This Row],[This Distance Runs]],H$30,H$31)," ")</f>
        <v xml:space="preserve"> </v>
      </c>
      <c r="J13" s="326" t="str">
        <f t="shared" si="1"/>
        <v xml:space="preserve"> </v>
      </c>
      <c r="K13" s="318" t="str">
        <f>IF(INDEX('Raw Data'!$A13:$EA13,MATCH(K$2,RawData[#Headers],))=""," ",IF(INDEX('Raw Data'!$A13:$EA13,MATCH(K$2,RawData[#Headers],))="UPL",3,INDEX('Raw Data'!$A13:$EA13,MATCH(K$2,RawData[#Headers],))))</f>
        <v xml:space="preserve"> </v>
      </c>
      <c r="L13" s="324" t="str">
        <f>IFERROR(STANDARDIZE(machina6[[#This Row],[Jockey Last 100 Horse Earnings]],K$30,K$31)," ")</f>
        <v xml:space="preserve"> </v>
      </c>
      <c r="M13" s="326" t="str">
        <f t="shared" si="2"/>
        <v xml:space="preserve"> </v>
      </c>
      <c r="N13" s="326" t="str">
        <f>IF(INDEX('Raw Data'!$A13:$EA13,MATCH(N$2,RawData[#Headers],))=""," ",IF(INDEX('Raw Data'!$A13:$EA13,MATCH(N$2,RawData[#Headers],))="UPL",1,INDEX('Raw Data'!$A13:$EA13,MATCH(N$2,RawData[#Headers],))))</f>
        <v xml:space="preserve"> </v>
      </c>
      <c r="O13" s="324" t="str">
        <f>IFERROR(STANDARDIZE(machina6[[#This Row],[Last Start Finish Position]],N$30,N$31)," ")</f>
        <v xml:space="preserve"> </v>
      </c>
      <c r="P13" s="326" t="str">
        <f t="shared" si="3"/>
        <v xml:space="preserve"> </v>
      </c>
      <c r="Q13" s="326" t="str">
        <f>IF(INDEX('Raw Data'!$A13:$EA13,MATCH(Q$2,RawData[#Headers],))=""," ",IF(INDEX('Raw Data'!$A13:$EA13,MATCH(Q$2,RawData[#Headers],))="UPL",3,INDEX('Raw Data'!$A13:$EA13,MATCH(Q$2,RawData[#Headers],))))</f>
        <v xml:space="preserve"> </v>
      </c>
      <c r="R13" s="324" t="str">
        <f>IFERROR(STANDARDIZE(machina6[[#This Row],[Last Start Margin]],Q$30,Q$31)," ")</f>
        <v xml:space="preserve"> </v>
      </c>
      <c r="S13" s="326" t="str">
        <f t="shared" si="4"/>
        <v xml:space="preserve"> </v>
      </c>
      <c r="T13" s="326" t="str">
        <f>IF(INDEX('Raw Data'!$A13:$EA13,MATCH(T$2,RawData[#Headers],))=""," ",IF(INDEX('Raw Data'!$A13:$EA13,MATCH(T$2,RawData[#Headers],))="UPL",3,INDEX('Raw Data'!$A13:$EA13,MATCH(T$2,RawData[#Headers],))))</f>
        <v xml:space="preserve"> </v>
      </c>
      <c r="U13" s="324" t="str">
        <f>IFERROR(STANDARDIZE(machina6[[#This Row],[Last Start Distance Change]],T$30,T$31)," ")</f>
        <v xml:space="preserve"> </v>
      </c>
      <c r="V13" s="326" t="str">
        <f t="shared" si="5"/>
        <v xml:space="preserve"> </v>
      </c>
      <c r="W13" s="318" t="str">
        <f>IF(INDEX('Raw Data'!$A13:$EA13,MATCH(W$2,RawData[#Headers],))=""," ",IF(INDEX('Raw Data'!$A13:$EA13,MATCH(W$2,RawData[#Headers],))="UPL",3,INDEX('Raw Data'!$A13:$EA13,MATCH(W$2,RawData[#Headers],))))</f>
        <v xml:space="preserve"> </v>
      </c>
      <c r="X13" s="324" t="str">
        <f>IFERROR(STANDARDIZE(machina6[[#This Row],[Last Start Prize Money]],W$30,W$31)," ")</f>
        <v xml:space="preserve"> </v>
      </c>
      <c r="Y13" s="326" t="str">
        <f t="shared" si="6"/>
        <v xml:space="preserve"> </v>
      </c>
      <c r="Z13" s="326" t="str">
        <f>IF(INDEX('Raw Data'!$A13:$EA13,MATCH(Z$2,RawData[#Headers],))=""," ",IF(INDEX('Raw Data'!$A13:$EA13,MATCH(Z$2,RawData[#Headers],))="UPL",3,INDEX('Raw Data'!$A13:$EA13,MATCH(Z$2,RawData[#Headers],))))</f>
        <v xml:space="preserve"> </v>
      </c>
      <c r="AA13" s="324" t="str">
        <f t="shared" si="7"/>
        <v xml:space="preserve"> </v>
      </c>
      <c r="AB13" s="326" t="str">
        <f t="shared" si="8"/>
        <v xml:space="preserve"> </v>
      </c>
      <c r="AC13" s="326" t="str">
        <f>IF(INDEX('Raw Data'!$A13:$EA13,MATCH(AC$2,RawData[#Headers],))=""," ",IF(INDEX('Raw Data'!$A13:$EA13,MATCH(AC$2,RawData[#Headers],))="UPL",3,INDEX('Raw Data'!$A13:$EA13,MATCH(AC$2,RawData[#Headers],))))</f>
        <v xml:space="preserve"> </v>
      </c>
      <c r="AD13" s="324" t="str">
        <f t="shared" si="9"/>
        <v xml:space="preserve"> </v>
      </c>
      <c r="AE13" s="326" t="str">
        <f t="shared" si="10"/>
        <v xml:space="preserve"> </v>
      </c>
      <c r="AF13" s="408" t="str">
        <f>IFERROR(VLOOKUP(A13,Results!$A$3:$DY$29,129,FALSE)," ")</f>
        <v xml:space="preserve"> </v>
      </c>
      <c r="AG13" s="408" t="str">
        <f>IFERROR(VLOOKUP(A13,Results!$A$3:$DY$29,129,FALSE)," ")</f>
        <v xml:space="preserve"> </v>
      </c>
      <c r="AH13" s="408" t="str">
        <f>IF($A13=0," ",SUM(machina6[[#This Row],[PICK 1]:[PICK 3]]))</f>
        <v xml:space="preserve"> </v>
      </c>
      <c r="AI13" s="408" t="str">
        <f>IF(machina6[[#This Row],[Num]]=0," ",IFERROR(RANK(AH13,AH$3:AH$27,0)," "))</f>
        <v xml:space="preserve"> </v>
      </c>
      <c r="AJ13" s="408" t="str">
        <f t="shared" si="13"/>
        <v xml:space="preserve"> </v>
      </c>
      <c r="AK13" s="408" t="str">
        <f t="shared" si="11"/>
        <v xml:space="preserve"> </v>
      </c>
      <c r="AL13" s="408" t="str">
        <f t="shared" si="14"/>
        <v xml:space="preserve"> </v>
      </c>
      <c r="AM13" s="408" t="str">
        <f>IF($A13=0," ",IF(machina6[[#This Row],[QUART]]&lt;=$G$34,1," "))</f>
        <v xml:space="preserve"> </v>
      </c>
      <c r="AN13" s="408" t="str">
        <f>IF($A13=0," ",RANK(machina6[[#This Row],[QUART]],machina6[QUART],1))</f>
        <v xml:space="preserve"> </v>
      </c>
      <c r="AO13" s="408" t="str">
        <f t="shared" si="12"/>
        <v xml:space="preserve"> </v>
      </c>
      <c r="AP13" s="408"/>
    </row>
    <row r="14" spans="1:42" x14ac:dyDescent="0.3">
      <c r="A14" s="326">
        <f>RawData[[#This Row],[Num]]</f>
        <v>0</v>
      </c>
      <c r="C14" s="324"/>
      <c r="E14" s="326" t="str">
        <f>IF(INDEX('Raw Data'!$A14:$EA14,MATCH(E$2,RawData[#Headers],))=""," ",IF(INDEX('Raw Data'!$A14:$EA14,MATCH(E$2,RawData[#Headers],))="UPL",3,INDEX('Raw Data'!$A14:$EA14,MATCH(E$2,RawData[#Headers],))))</f>
        <v xml:space="preserve"> </v>
      </c>
      <c r="F14" s="324" t="str">
        <f>IFERROR(STANDARDIZE(machina6[[#This Row],[Best Fixed Odds]],E$30,E$31)," ")</f>
        <v xml:space="preserve"> </v>
      </c>
      <c r="G14" s="326" t="str">
        <f t="shared" si="0"/>
        <v xml:space="preserve"> </v>
      </c>
      <c r="H14" s="326" t="str">
        <f>IF(INDEX('Raw Data'!$A14:$EA14,MATCH(H$2,RawData[#Headers],))=""," ",IF(INDEX('Raw Data'!$A14:$EA14,MATCH(H$2,RawData[#Headers],))="UPL",3,INDEX('Raw Data'!$A14:$EA14,MATCH(H$2,RawData[#Headers],))))</f>
        <v xml:space="preserve"> </v>
      </c>
      <c r="I14" s="324" t="str">
        <f>IFERROR(STANDARDIZE(machina6[[#This Row],[This Distance Runs]],H$30,H$31)," ")</f>
        <v xml:space="preserve"> </v>
      </c>
      <c r="J14" s="326" t="str">
        <f t="shared" si="1"/>
        <v xml:space="preserve"> </v>
      </c>
      <c r="K14" s="318" t="str">
        <f>IF(INDEX('Raw Data'!$A14:$EA14,MATCH(K$2,RawData[#Headers],))=""," ",IF(INDEX('Raw Data'!$A14:$EA14,MATCH(K$2,RawData[#Headers],))="UPL",3,INDEX('Raw Data'!$A14:$EA14,MATCH(K$2,RawData[#Headers],))))</f>
        <v xml:space="preserve"> </v>
      </c>
      <c r="L14" s="324" t="str">
        <f>IFERROR(STANDARDIZE(machina6[[#This Row],[Jockey Last 100 Horse Earnings]],K$30,K$31)," ")</f>
        <v xml:space="preserve"> </v>
      </c>
      <c r="M14" s="326" t="str">
        <f t="shared" si="2"/>
        <v xml:space="preserve"> </v>
      </c>
      <c r="N14" s="326" t="str">
        <f>IF(INDEX('Raw Data'!$A14:$EA14,MATCH(N$2,RawData[#Headers],))=""," ",IF(INDEX('Raw Data'!$A14:$EA14,MATCH(N$2,RawData[#Headers],))="UPL",1,INDEX('Raw Data'!$A14:$EA14,MATCH(N$2,RawData[#Headers],))))</f>
        <v xml:space="preserve"> </v>
      </c>
      <c r="O14" s="324" t="str">
        <f>IFERROR(STANDARDIZE(machina6[[#This Row],[Last Start Finish Position]],N$30,N$31)," ")</f>
        <v xml:space="preserve"> </v>
      </c>
      <c r="P14" s="326" t="str">
        <f t="shared" si="3"/>
        <v xml:space="preserve"> </v>
      </c>
      <c r="Q14" s="326" t="str">
        <f>IF(INDEX('Raw Data'!$A14:$EA14,MATCH(Q$2,RawData[#Headers],))=""," ",IF(INDEX('Raw Data'!$A14:$EA14,MATCH(Q$2,RawData[#Headers],))="UPL",3,INDEX('Raw Data'!$A14:$EA14,MATCH(Q$2,RawData[#Headers],))))</f>
        <v xml:space="preserve"> </v>
      </c>
      <c r="R14" s="324" t="str">
        <f>IFERROR(STANDARDIZE(machina6[[#This Row],[Last Start Margin]],Q$30,Q$31)," ")</f>
        <v xml:space="preserve"> </v>
      </c>
      <c r="S14" s="326" t="str">
        <f t="shared" si="4"/>
        <v xml:space="preserve"> </v>
      </c>
      <c r="T14" s="326" t="str">
        <f>IF(INDEX('Raw Data'!$A14:$EA14,MATCH(T$2,RawData[#Headers],))=""," ",IF(INDEX('Raw Data'!$A14:$EA14,MATCH(T$2,RawData[#Headers],))="UPL",3,INDEX('Raw Data'!$A14:$EA14,MATCH(T$2,RawData[#Headers],))))</f>
        <v xml:space="preserve"> </v>
      </c>
      <c r="U14" s="324" t="str">
        <f>IFERROR(STANDARDIZE(machina6[[#This Row],[Last Start Distance Change]],T$30,T$31)," ")</f>
        <v xml:space="preserve"> </v>
      </c>
      <c r="V14" s="326" t="str">
        <f t="shared" si="5"/>
        <v xml:space="preserve"> </v>
      </c>
      <c r="W14" s="318" t="str">
        <f>IF(INDEX('Raw Data'!$A14:$EA14,MATCH(W$2,RawData[#Headers],))=""," ",IF(INDEX('Raw Data'!$A14:$EA14,MATCH(W$2,RawData[#Headers],))="UPL",3,INDEX('Raw Data'!$A14:$EA14,MATCH(W$2,RawData[#Headers],))))</f>
        <v xml:space="preserve"> </v>
      </c>
      <c r="X14" s="324" t="str">
        <f>IFERROR(STANDARDIZE(machina6[[#This Row],[Last Start Prize Money]],W$30,W$31)," ")</f>
        <v xml:space="preserve"> </v>
      </c>
      <c r="Y14" s="326" t="str">
        <f t="shared" si="6"/>
        <v xml:space="preserve"> </v>
      </c>
      <c r="Z14" s="326" t="str">
        <f>IF(INDEX('Raw Data'!$A14:$EA14,MATCH(Z$2,RawData[#Headers],))=""," ",IF(INDEX('Raw Data'!$A14:$EA14,MATCH(Z$2,RawData[#Headers],))="UPL",3,INDEX('Raw Data'!$A14:$EA14,MATCH(Z$2,RawData[#Headers],))))</f>
        <v xml:space="preserve"> </v>
      </c>
      <c r="AA14" s="324" t="str">
        <f t="shared" si="7"/>
        <v xml:space="preserve"> </v>
      </c>
      <c r="AB14" s="326" t="str">
        <f t="shared" si="8"/>
        <v xml:space="preserve"> </v>
      </c>
      <c r="AC14" s="326" t="str">
        <f>IF(INDEX('Raw Data'!$A14:$EA14,MATCH(AC$2,RawData[#Headers],))=""," ",IF(INDEX('Raw Data'!$A14:$EA14,MATCH(AC$2,RawData[#Headers],))="UPL",3,INDEX('Raw Data'!$A14:$EA14,MATCH(AC$2,RawData[#Headers],))))</f>
        <v xml:space="preserve"> </v>
      </c>
      <c r="AD14" s="324" t="str">
        <f t="shared" si="9"/>
        <v xml:space="preserve"> </v>
      </c>
      <c r="AE14" s="326" t="str">
        <f t="shared" si="10"/>
        <v xml:space="preserve"> </v>
      </c>
      <c r="AF14" s="408" t="str">
        <f>IFERROR(VLOOKUP(A14,Results!$A$3:$DY$29,129,FALSE)," ")</f>
        <v xml:space="preserve"> </v>
      </c>
      <c r="AG14" s="408" t="str">
        <f>IFERROR(VLOOKUP(A14,Results!$A$3:$DY$29,129,FALSE)," ")</f>
        <v xml:space="preserve"> </v>
      </c>
      <c r="AH14" s="408" t="str">
        <f>IF($A14=0," ",SUM(machina6[[#This Row],[PICK 1]:[PICK 3]]))</f>
        <v xml:space="preserve"> </v>
      </c>
      <c r="AI14" s="408" t="str">
        <f>IF(machina6[[#This Row],[Num]]=0," ",IFERROR(RANK(AH14,AH$3:AH$27,0)," "))</f>
        <v xml:space="preserve"> </v>
      </c>
      <c r="AJ14" s="408" t="str">
        <f t="shared" si="13"/>
        <v xml:space="preserve"> </v>
      </c>
      <c r="AK14" s="408" t="str">
        <f t="shared" si="11"/>
        <v xml:space="preserve"> </v>
      </c>
      <c r="AL14" s="408" t="str">
        <f t="shared" si="14"/>
        <v xml:space="preserve"> </v>
      </c>
      <c r="AM14" s="408" t="str">
        <f>IF($A14=0," ",IF(machina6[[#This Row],[QUART]]&lt;=$G$34,1," "))</f>
        <v xml:space="preserve"> </v>
      </c>
      <c r="AN14" s="408" t="str">
        <f>IF($A14=0," ",RANK(machina6[[#This Row],[QUART]],machina6[QUART],1))</f>
        <v xml:space="preserve"> </v>
      </c>
      <c r="AO14" s="408" t="str">
        <f t="shared" si="12"/>
        <v xml:space="preserve"> </v>
      </c>
      <c r="AP14" s="408"/>
    </row>
    <row r="15" spans="1:42" x14ac:dyDescent="0.3">
      <c r="A15" s="326">
        <f>RawData[[#This Row],[Num]]</f>
        <v>0</v>
      </c>
      <c r="C15" s="324"/>
      <c r="E15" s="326" t="str">
        <f>IF(INDEX('Raw Data'!$A15:$EA15,MATCH(E$2,RawData[#Headers],))=""," ",IF(INDEX('Raw Data'!$A15:$EA15,MATCH(E$2,RawData[#Headers],))="UPL",3,INDEX('Raw Data'!$A15:$EA15,MATCH(E$2,RawData[#Headers],))))</f>
        <v xml:space="preserve"> </v>
      </c>
      <c r="F15" s="324" t="str">
        <f>IFERROR(STANDARDIZE(machina6[[#This Row],[Best Fixed Odds]],E$30,E$31)," ")</f>
        <v xml:space="preserve"> </v>
      </c>
      <c r="G15" s="326" t="str">
        <f t="shared" si="0"/>
        <v xml:space="preserve"> </v>
      </c>
      <c r="H15" s="326" t="str">
        <f>IF(INDEX('Raw Data'!$A15:$EA15,MATCH(H$2,RawData[#Headers],))=""," ",IF(INDEX('Raw Data'!$A15:$EA15,MATCH(H$2,RawData[#Headers],))="UPL",3,INDEX('Raw Data'!$A15:$EA15,MATCH(H$2,RawData[#Headers],))))</f>
        <v xml:space="preserve"> </v>
      </c>
      <c r="I15" s="324" t="str">
        <f>IFERROR(STANDARDIZE(machina6[[#This Row],[This Distance Runs]],H$30,H$31)," ")</f>
        <v xml:space="preserve"> </v>
      </c>
      <c r="J15" s="326" t="str">
        <f t="shared" si="1"/>
        <v xml:space="preserve"> </v>
      </c>
      <c r="K15" s="318" t="str">
        <f>IF(INDEX('Raw Data'!$A15:$EA15,MATCH(K$2,RawData[#Headers],))=""," ",IF(INDEX('Raw Data'!$A15:$EA15,MATCH(K$2,RawData[#Headers],))="UPL",3,INDEX('Raw Data'!$A15:$EA15,MATCH(K$2,RawData[#Headers],))))</f>
        <v xml:space="preserve"> </v>
      </c>
      <c r="L15" s="324" t="str">
        <f>IFERROR(STANDARDIZE(machina6[[#This Row],[Jockey Last 100 Horse Earnings]],K$30,K$31)," ")</f>
        <v xml:space="preserve"> </v>
      </c>
      <c r="M15" s="326" t="str">
        <f t="shared" si="2"/>
        <v xml:space="preserve"> </v>
      </c>
      <c r="N15" s="326" t="str">
        <f>IF(INDEX('Raw Data'!$A15:$EA15,MATCH(N$2,RawData[#Headers],))=""," ",IF(INDEX('Raw Data'!$A15:$EA15,MATCH(N$2,RawData[#Headers],))="UPL",1,INDEX('Raw Data'!$A15:$EA15,MATCH(N$2,RawData[#Headers],))))</f>
        <v xml:space="preserve"> </v>
      </c>
      <c r="O15" s="324" t="str">
        <f>IFERROR(STANDARDIZE(machina6[[#This Row],[Last Start Finish Position]],N$30,N$31)," ")</f>
        <v xml:space="preserve"> </v>
      </c>
      <c r="P15" s="326" t="str">
        <f t="shared" si="3"/>
        <v xml:space="preserve"> </v>
      </c>
      <c r="Q15" s="326" t="str">
        <f>IF(INDEX('Raw Data'!$A15:$EA15,MATCH(Q$2,RawData[#Headers],))=""," ",IF(INDEX('Raw Data'!$A15:$EA15,MATCH(Q$2,RawData[#Headers],))="UPL",3,INDEX('Raw Data'!$A15:$EA15,MATCH(Q$2,RawData[#Headers],))))</f>
        <v xml:space="preserve"> </v>
      </c>
      <c r="R15" s="324" t="str">
        <f>IFERROR(STANDARDIZE(machina6[[#This Row],[Last Start Margin]],Q$30,Q$31)," ")</f>
        <v xml:space="preserve"> </v>
      </c>
      <c r="S15" s="326" t="str">
        <f t="shared" si="4"/>
        <v xml:space="preserve"> </v>
      </c>
      <c r="T15" s="326" t="str">
        <f>IF(INDEX('Raw Data'!$A15:$EA15,MATCH(T$2,RawData[#Headers],))=""," ",IF(INDEX('Raw Data'!$A15:$EA15,MATCH(T$2,RawData[#Headers],))="UPL",3,INDEX('Raw Data'!$A15:$EA15,MATCH(T$2,RawData[#Headers],))))</f>
        <v xml:space="preserve"> </v>
      </c>
      <c r="U15" s="324" t="str">
        <f>IFERROR(STANDARDIZE(machina6[[#This Row],[Last Start Distance Change]],T$30,T$31)," ")</f>
        <v xml:space="preserve"> </v>
      </c>
      <c r="V15" s="326" t="str">
        <f t="shared" si="5"/>
        <v xml:space="preserve"> </v>
      </c>
      <c r="W15" s="318" t="str">
        <f>IF(INDEX('Raw Data'!$A15:$EA15,MATCH(W$2,RawData[#Headers],))=""," ",IF(INDEX('Raw Data'!$A15:$EA15,MATCH(W$2,RawData[#Headers],))="UPL",3,INDEX('Raw Data'!$A15:$EA15,MATCH(W$2,RawData[#Headers],))))</f>
        <v xml:space="preserve"> </v>
      </c>
      <c r="X15" s="324" t="str">
        <f>IFERROR(STANDARDIZE(machina6[[#This Row],[Last Start Prize Money]],W$30,W$31)," ")</f>
        <v xml:space="preserve"> </v>
      </c>
      <c r="Y15" s="326" t="str">
        <f t="shared" si="6"/>
        <v xml:space="preserve"> </v>
      </c>
      <c r="Z15" s="326" t="str">
        <f>IF(INDEX('Raw Data'!$A15:$EA15,MATCH(Z$2,RawData[#Headers],))=""," ",IF(INDEX('Raw Data'!$A15:$EA15,MATCH(Z$2,RawData[#Headers],))="UPL",3,INDEX('Raw Data'!$A15:$EA15,MATCH(Z$2,RawData[#Headers],))))</f>
        <v xml:space="preserve"> </v>
      </c>
      <c r="AA15" s="324" t="str">
        <f t="shared" si="7"/>
        <v xml:space="preserve"> </v>
      </c>
      <c r="AB15" s="326" t="str">
        <f t="shared" si="8"/>
        <v xml:space="preserve"> </v>
      </c>
      <c r="AC15" s="326" t="str">
        <f>IF(INDEX('Raw Data'!$A15:$EA15,MATCH(AC$2,RawData[#Headers],))=""," ",IF(INDEX('Raw Data'!$A15:$EA15,MATCH(AC$2,RawData[#Headers],))="UPL",3,INDEX('Raw Data'!$A15:$EA15,MATCH(AC$2,RawData[#Headers],))))</f>
        <v xml:space="preserve"> </v>
      </c>
      <c r="AD15" s="324" t="str">
        <f t="shared" si="9"/>
        <v xml:space="preserve"> </v>
      </c>
      <c r="AE15" s="326" t="str">
        <f t="shared" si="10"/>
        <v xml:space="preserve"> </v>
      </c>
      <c r="AF15" s="408" t="str">
        <f>IFERROR(VLOOKUP(A15,Results!$A$3:$DY$29,129,FALSE)," ")</f>
        <v xml:space="preserve"> </v>
      </c>
      <c r="AG15" s="408" t="str">
        <f>IFERROR(VLOOKUP(A15,Results!$A$3:$DY$29,129,FALSE)," ")</f>
        <v xml:space="preserve"> </v>
      </c>
      <c r="AH15" s="408" t="str">
        <f>IF($A15=0," ",SUM(machina6[[#This Row],[PICK 1]:[PICK 3]]))</f>
        <v xml:space="preserve"> </v>
      </c>
      <c r="AI15" s="408" t="str">
        <f>IF(machina6[[#This Row],[Num]]=0," ",IFERROR(RANK(AH15,AH$3:AH$27,0)," "))</f>
        <v xml:space="preserve"> </v>
      </c>
      <c r="AJ15" s="408" t="str">
        <f t="shared" si="13"/>
        <v xml:space="preserve"> </v>
      </c>
      <c r="AK15" s="408" t="str">
        <f t="shared" si="11"/>
        <v xml:space="preserve"> </v>
      </c>
      <c r="AL15" s="408" t="str">
        <f t="shared" si="14"/>
        <v xml:space="preserve"> </v>
      </c>
      <c r="AM15" s="408" t="str">
        <f>IF($A15=0," ",IF(machina6[[#This Row],[QUART]]&lt;=$G$34,1," "))</f>
        <v xml:space="preserve"> </v>
      </c>
      <c r="AN15" s="408" t="str">
        <f>IF($A15=0," ",RANK(machina6[[#This Row],[QUART]],machina6[QUART],1))</f>
        <v xml:space="preserve"> </v>
      </c>
      <c r="AO15" s="408" t="str">
        <f t="shared" si="12"/>
        <v xml:space="preserve"> </v>
      </c>
      <c r="AP15" s="408"/>
    </row>
    <row r="16" spans="1:42" x14ac:dyDescent="0.3">
      <c r="A16" s="326">
        <f>RawData[[#This Row],[Num]]</f>
        <v>0</v>
      </c>
      <c r="C16" s="324"/>
      <c r="E16" s="326" t="str">
        <f>IF(INDEX('Raw Data'!$A16:$EA16,MATCH(E$2,RawData[#Headers],))=""," ",IF(INDEX('Raw Data'!$A16:$EA16,MATCH(E$2,RawData[#Headers],))="UPL",3,INDEX('Raw Data'!$A16:$EA16,MATCH(E$2,RawData[#Headers],))))</f>
        <v xml:space="preserve"> </v>
      </c>
      <c r="F16" s="324" t="str">
        <f>IFERROR(STANDARDIZE(machina6[[#This Row],[Best Fixed Odds]],E$30,E$31)," ")</f>
        <v xml:space="preserve"> </v>
      </c>
      <c r="G16" s="326" t="str">
        <f t="shared" si="0"/>
        <v xml:space="preserve"> </v>
      </c>
      <c r="H16" s="326" t="str">
        <f>IF(INDEX('Raw Data'!$A16:$EA16,MATCH(H$2,RawData[#Headers],))=""," ",IF(INDEX('Raw Data'!$A16:$EA16,MATCH(H$2,RawData[#Headers],))="UPL",3,INDEX('Raw Data'!$A16:$EA16,MATCH(H$2,RawData[#Headers],))))</f>
        <v xml:space="preserve"> </v>
      </c>
      <c r="I16" s="324" t="str">
        <f>IFERROR(STANDARDIZE(machina6[[#This Row],[This Distance Runs]],H$30,H$31)," ")</f>
        <v xml:space="preserve"> </v>
      </c>
      <c r="J16" s="326" t="str">
        <f t="shared" si="1"/>
        <v xml:space="preserve"> </v>
      </c>
      <c r="K16" s="318" t="str">
        <f>IF(INDEX('Raw Data'!$A16:$EA16,MATCH(K$2,RawData[#Headers],))=""," ",IF(INDEX('Raw Data'!$A16:$EA16,MATCH(K$2,RawData[#Headers],))="UPL",3,INDEX('Raw Data'!$A16:$EA16,MATCH(K$2,RawData[#Headers],))))</f>
        <v xml:space="preserve"> </v>
      </c>
      <c r="L16" s="324" t="str">
        <f>IFERROR(STANDARDIZE(machina6[[#This Row],[Jockey Last 100 Horse Earnings]],K$30,K$31)," ")</f>
        <v xml:space="preserve"> </v>
      </c>
      <c r="M16" s="326" t="str">
        <f t="shared" si="2"/>
        <v xml:space="preserve"> </v>
      </c>
      <c r="N16" s="326" t="str">
        <f>IF(INDEX('Raw Data'!$A16:$EA16,MATCH(N$2,RawData[#Headers],))=""," ",IF(INDEX('Raw Data'!$A16:$EA16,MATCH(N$2,RawData[#Headers],))="UPL",1,INDEX('Raw Data'!$A16:$EA16,MATCH(N$2,RawData[#Headers],))))</f>
        <v xml:space="preserve"> </v>
      </c>
      <c r="O16" s="324" t="str">
        <f>IFERROR(STANDARDIZE(machina6[[#This Row],[Last Start Finish Position]],N$30,N$31)," ")</f>
        <v xml:space="preserve"> </v>
      </c>
      <c r="P16" s="326" t="str">
        <f t="shared" si="3"/>
        <v xml:space="preserve"> </v>
      </c>
      <c r="Q16" s="326" t="str">
        <f>IF(INDEX('Raw Data'!$A16:$EA16,MATCH(Q$2,RawData[#Headers],))=""," ",IF(INDEX('Raw Data'!$A16:$EA16,MATCH(Q$2,RawData[#Headers],))="UPL",3,INDEX('Raw Data'!$A16:$EA16,MATCH(Q$2,RawData[#Headers],))))</f>
        <v xml:space="preserve"> </v>
      </c>
      <c r="R16" s="324" t="str">
        <f>IFERROR(STANDARDIZE(machina6[[#This Row],[Last Start Margin]],Q$30,Q$31)," ")</f>
        <v xml:space="preserve"> </v>
      </c>
      <c r="S16" s="326" t="str">
        <f t="shared" si="4"/>
        <v xml:space="preserve"> </v>
      </c>
      <c r="T16" s="326" t="str">
        <f>IF(INDEX('Raw Data'!$A16:$EA16,MATCH(T$2,RawData[#Headers],))=""," ",IF(INDEX('Raw Data'!$A16:$EA16,MATCH(T$2,RawData[#Headers],))="UPL",3,INDEX('Raw Data'!$A16:$EA16,MATCH(T$2,RawData[#Headers],))))</f>
        <v xml:space="preserve"> </v>
      </c>
      <c r="U16" s="324" t="str">
        <f>IFERROR(STANDARDIZE(machina6[[#This Row],[Last Start Distance Change]],T$30,T$31)," ")</f>
        <v xml:space="preserve"> </v>
      </c>
      <c r="V16" s="326" t="str">
        <f t="shared" si="5"/>
        <v xml:space="preserve"> </v>
      </c>
      <c r="W16" s="318" t="str">
        <f>IF(INDEX('Raw Data'!$A16:$EA16,MATCH(W$2,RawData[#Headers],))=""," ",IF(INDEX('Raw Data'!$A16:$EA16,MATCH(W$2,RawData[#Headers],))="UPL",3,INDEX('Raw Data'!$A16:$EA16,MATCH(W$2,RawData[#Headers],))))</f>
        <v xml:space="preserve"> </v>
      </c>
      <c r="X16" s="324" t="str">
        <f>IFERROR(STANDARDIZE(machina6[[#This Row],[Last Start Prize Money]],W$30,W$31)," ")</f>
        <v xml:space="preserve"> </v>
      </c>
      <c r="Y16" s="326" t="str">
        <f t="shared" si="6"/>
        <v xml:space="preserve"> </v>
      </c>
      <c r="Z16" s="326" t="str">
        <f>IF(INDEX('Raw Data'!$A16:$EA16,MATCH(Z$2,RawData[#Headers],))=""," ",IF(INDEX('Raw Data'!$A16:$EA16,MATCH(Z$2,RawData[#Headers],))="UPL",3,INDEX('Raw Data'!$A16:$EA16,MATCH(Z$2,RawData[#Headers],))))</f>
        <v xml:space="preserve"> </v>
      </c>
      <c r="AA16" s="324" t="str">
        <f t="shared" si="7"/>
        <v xml:space="preserve"> </v>
      </c>
      <c r="AB16" s="326" t="str">
        <f t="shared" si="8"/>
        <v xml:space="preserve"> </v>
      </c>
      <c r="AC16" s="326" t="str">
        <f>IF(INDEX('Raw Data'!$A16:$EA16,MATCH(AC$2,RawData[#Headers],))=""," ",IF(INDEX('Raw Data'!$A16:$EA16,MATCH(AC$2,RawData[#Headers],))="UPL",3,INDEX('Raw Data'!$A16:$EA16,MATCH(AC$2,RawData[#Headers],))))</f>
        <v xml:space="preserve"> </v>
      </c>
      <c r="AD16" s="324" t="str">
        <f t="shared" si="9"/>
        <v xml:space="preserve"> </v>
      </c>
      <c r="AE16" s="326" t="str">
        <f t="shared" si="10"/>
        <v xml:space="preserve"> </v>
      </c>
      <c r="AF16" s="408" t="str">
        <f>IFERROR(VLOOKUP(A16,Results!$A$3:$DY$29,129,FALSE)," ")</f>
        <v xml:space="preserve"> </v>
      </c>
      <c r="AG16" s="408" t="str">
        <f>IFERROR(VLOOKUP(A16,Results!$A$3:$DY$29,129,FALSE)," ")</f>
        <v xml:space="preserve"> </v>
      </c>
      <c r="AH16" s="408" t="str">
        <f>IF($A16=0," ",SUM(machina6[[#This Row],[PICK 1]:[PICK 3]]))</f>
        <v xml:space="preserve"> </v>
      </c>
      <c r="AI16" s="408" t="str">
        <f>IF(machina6[[#This Row],[Num]]=0," ",IFERROR(RANK(AH16,AH$3:AH$27,0)," "))</f>
        <v xml:space="preserve"> </v>
      </c>
      <c r="AJ16" s="408" t="str">
        <f t="shared" si="13"/>
        <v xml:space="preserve"> </v>
      </c>
      <c r="AK16" s="408" t="str">
        <f t="shared" si="11"/>
        <v xml:space="preserve"> </v>
      </c>
      <c r="AL16" s="408" t="str">
        <f t="shared" si="14"/>
        <v xml:space="preserve"> </v>
      </c>
      <c r="AM16" s="408" t="str">
        <f>IF($A16=0," ",IF(machina6[[#This Row],[QUART]]&lt;=$G$34,1," "))</f>
        <v xml:space="preserve"> </v>
      </c>
      <c r="AN16" s="408" t="str">
        <f>IF($A16=0," ",RANK(machina6[[#This Row],[QUART]],machina6[QUART],1))</f>
        <v xml:space="preserve"> </v>
      </c>
      <c r="AO16" s="408" t="str">
        <f t="shared" si="12"/>
        <v xml:space="preserve"> </v>
      </c>
      <c r="AP16" s="408"/>
    </row>
    <row r="17" spans="1:42" x14ac:dyDescent="0.3">
      <c r="A17" s="326">
        <f>RawData[[#This Row],[Num]]</f>
        <v>0</v>
      </c>
      <c r="C17" s="324"/>
      <c r="E17" s="326" t="str">
        <f>IF(INDEX('Raw Data'!$A17:$EA17,MATCH(E$2,RawData[#Headers],))=""," ",IF(INDEX('Raw Data'!$A17:$EA17,MATCH(E$2,RawData[#Headers],))="UPL",3,INDEX('Raw Data'!$A17:$EA17,MATCH(E$2,RawData[#Headers],))))</f>
        <v xml:space="preserve"> </v>
      </c>
      <c r="F17" s="324" t="str">
        <f>IFERROR(STANDARDIZE(machina6[[#This Row],[Best Fixed Odds]],E$30,E$31)," ")</f>
        <v xml:space="preserve"> </v>
      </c>
      <c r="G17" s="326" t="str">
        <f t="shared" si="0"/>
        <v xml:space="preserve"> </v>
      </c>
      <c r="H17" s="326" t="str">
        <f>IF(INDEX('Raw Data'!$A17:$EA17,MATCH(H$2,RawData[#Headers],))=""," ",IF(INDEX('Raw Data'!$A17:$EA17,MATCH(H$2,RawData[#Headers],))="UPL",3,INDEX('Raw Data'!$A17:$EA17,MATCH(H$2,RawData[#Headers],))))</f>
        <v xml:space="preserve"> </v>
      </c>
      <c r="I17" s="324" t="str">
        <f>IFERROR(STANDARDIZE(machina6[[#This Row],[This Distance Runs]],H$30,H$31)," ")</f>
        <v xml:space="preserve"> </v>
      </c>
      <c r="J17" s="326" t="str">
        <f t="shared" si="1"/>
        <v xml:space="preserve"> </v>
      </c>
      <c r="K17" s="318" t="str">
        <f>IF(INDEX('Raw Data'!$A17:$EA17,MATCH(K$2,RawData[#Headers],))=""," ",IF(INDEX('Raw Data'!$A17:$EA17,MATCH(K$2,RawData[#Headers],))="UPL",3,INDEX('Raw Data'!$A17:$EA17,MATCH(K$2,RawData[#Headers],))))</f>
        <v xml:space="preserve"> </v>
      </c>
      <c r="L17" s="324" t="str">
        <f>IFERROR(STANDARDIZE(machina6[[#This Row],[Jockey Last 100 Horse Earnings]],K$30,K$31)," ")</f>
        <v xml:space="preserve"> </v>
      </c>
      <c r="M17" s="326" t="str">
        <f t="shared" si="2"/>
        <v xml:space="preserve"> </v>
      </c>
      <c r="N17" s="326" t="str">
        <f>IF(INDEX('Raw Data'!$A17:$EA17,MATCH(N$2,RawData[#Headers],))=""," ",IF(INDEX('Raw Data'!$A17:$EA17,MATCH(N$2,RawData[#Headers],))="UPL",1,INDEX('Raw Data'!$A17:$EA17,MATCH(N$2,RawData[#Headers],))))</f>
        <v xml:space="preserve"> </v>
      </c>
      <c r="O17" s="324" t="str">
        <f>IFERROR(STANDARDIZE(machina6[[#This Row],[Last Start Finish Position]],N$30,N$31)," ")</f>
        <v xml:space="preserve"> </v>
      </c>
      <c r="P17" s="326" t="str">
        <f t="shared" si="3"/>
        <v xml:space="preserve"> </v>
      </c>
      <c r="Q17" s="326" t="str">
        <f>IF(INDEX('Raw Data'!$A17:$EA17,MATCH(Q$2,RawData[#Headers],))=""," ",IF(INDEX('Raw Data'!$A17:$EA17,MATCH(Q$2,RawData[#Headers],))="UPL",3,INDEX('Raw Data'!$A17:$EA17,MATCH(Q$2,RawData[#Headers],))))</f>
        <v xml:space="preserve"> </v>
      </c>
      <c r="R17" s="324" t="str">
        <f>IFERROR(STANDARDIZE(machina6[[#This Row],[Last Start Margin]],Q$30,Q$31)," ")</f>
        <v xml:space="preserve"> </v>
      </c>
      <c r="S17" s="326" t="str">
        <f t="shared" si="4"/>
        <v xml:space="preserve"> </v>
      </c>
      <c r="T17" s="326" t="str">
        <f>IF(INDEX('Raw Data'!$A17:$EA17,MATCH(T$2,RawData[#Headers],))=""," ",IF(INDEX('Raw Data'!$A17:$EA17,MATCH(T$2,RawData[#Headers],))="UPL",3,INDEX('Raw Data'!$A17:$EA17,MATCH(T$2,RawData[#Headers],))))</f>
        <v xml:space="preserve"> </v>
      </c>
      <c r="U17" s="324" t="str">
        <f>IFERROR(STANDARDIZE(machina6[[#This Row],[Last Start Distance Change]],T$30,T$31)," ")</f>
        <v xml:space="preserve"> </v>
      </c>
      <c r="V17" s="326" t="str">
        <f t="shared" si="5"/>
        <v xml:space="preserve"> </v>
      </c>
      <c r="W17" s="318" t="str">
        <f>IF(INDEX('Raw Data'!$A17:$EA17,MATCH(W$2,RawData[#Headers],))=""," ",IF(INDEX('Raw Data'!$A17:$EA17,MATCH(W$2,RawData[#Headers],))="UPL",3,INDEX('Raw Data'!$A17:$EA17,MATCH(W$2,RawData[#Headers],))))</f>
        <v xml:space="preserve"> </v>
      </c>
      <c r="X17" s="324" t="str">
        <f>IFERROR(STANDARDIZE(machina6[[#This Row],[Last Start Prize Money]],W$30,W$31)," ")</f>
        <v xml:space="preserve"> </v>
      </c>
      <c r="Y17" s="326" t="str">
        <f t="shared" si="6"/>
        <v xml:space="preserve"> </v>
      </c>
      <c r="Z17" s="326" t="str">
        <f>IF(INDEX('Raw Data'!$A17:$EA17,MATCH(Z$2,RawData[#Headers],))=""," ",IF(INDEX('Raw Data'!$A17:$EA17,MATCH(Z$2,RawData[#Headers],))="UPL",3,INDEX('Raw Data'!$A17:$EA17,MATCH(Z$2,RawData[#Headers],))))</f>
        <v xml:space="preserve"> </v>
      </c>
      <c r="AA17" s="324" t="str">
        <f t="shared" si="7"/>
        <v xml:space="preserve"> </v>
      </c>
      <c r="AB17" s="326" t="str">
        <f t="shared" si="8"/>
        <v xml:space="preserve"> </v>
      </c>
      <c r="AC17" s="326" t="str">
        <f>IF(INDEX('Raw Data'!$A17:$EA17,MATCH(AC$2,RawData[#Headers],))=""," ",IF(INDEX('Raw Data'!$A17:$EA17,MATCH(AC$2,RawData[#Headers],))="UPL",3,INDEX('Raw Data'!$A17:$EA17,MATCH(AC$2,RawData[#Headers],))))</f>
        <v xml:space="preserve"> </v>
      </c>
      <c r="AD17" s="324" t="str">
        <f t="shared" si="9"/>
        <v xml:space="preserve"> </v>
      </c>
      <c r="AE17" s="326" t="str">
        <f t="shared" si="10"/>
        <v xml:space="preserve"> </v>
      </c>
      <c r="AF17" s="408" t="str">
        <f>IFERROR(VLOOKUP(A17,Results!$A$3:$DY$29,129,FALSE)," ")</f>
        <v xml:space="preserve"> </v>
      </c>
      <c r="AG17" s="408" t="str">
        <f>IFERROR(VLOOKUP(A17,Results!$A$3:$DY$29,129,FALSE)," ")</f>
        <v xml:space="preserve"> </v>
      </c>
      <c r="AH17" s="408" t="str">
        <f>IF($A17=0," ",SUM(machina6[[#This Row],[PICK 1]:[PICK 3]]))</f>
        <v xml:space="preserve"> </v>
      </c>
      <c r="AI17" s="408" t="str">
        <f>IF(machina6[[#This Row],[Num]]=0," ",IFERROR(RANK(AH17,AH$3:AH$27,0)," "))</f>
        <v xml:space="preserve"> </v>
      </c>
      <c r="AJ17" s="408" t="str">
        <f t="shared" si="13"/>
        <v xml:space="preserve"> </v>
      </c>
      <c r="AK17" s="408" t="str">
        <f t="shared" si="11"/>
        <v xml:space="preserve"> </v>
      </c>
      <c r="AL17" s="408" t="str">
        <f t="shared" si="14"/>
        <v xml:space="preserve"> </v>
      </c>
      <c r="AM17" s="408" t="str">
        <f>IF($A17=0," ",IF(machina6[[#This Row],[QUART]]&lt;=$G$34,1," "))</f>
        <v xml:space="preserve"> </v>
      </c>
      <c r="AN17" s="408" t="str">
        <f>IF($A17=0," ",RANK(machina6[[#This Row],[QUART]],machina6[QUART],1))</f>
        <v xml:space="preserve"> </v>
      </c>
      <c r="AO17" s="408" t="str">
        <f t="shared" si="12"/>
        <v xml:space="preserve"> </v>
      </c>
      <c r="AP17" s="408"/>
    </row>
    <row r="18" spans="1:42" x14ac:dyDescent="0.3">
      <c r="A18" s="326">
        <f>RawData[[#This Row],[Num]]</f>
        <v>0</v>
      </c>
      <c r="C18" s="324"/>
      <c r="E18" s="326" t="str">
        <f>IF(INDEX('Raw Data'!$A18:$EA18,MATCH(E$2,RawData[#Headers],))=""," ",IF(INDEX('Raw Data'!$A18:$EA18,MATCH(E$2,RawData[#Headers],))="UPL",3,INDEX('Raw Data'!$A18:$EA18,MATCH(E$2,RawData[#Headers],))))</f>
        <v xml:space="preserve"> </v>
      </c>
      <c r="F18" s="324" t="str">
        <f>IFERROR(STANDARDIZE(machina6[[#This Row],[Best Fixed Odds]],E$30,E$31)," ")</f>
        <v xml:space="preserve"> </v>
      </c>
      <c r="G18" s="326" t="str">
        <f t="shared" si="0"/>
        <v xml:space="preserve"> </v>
      </c>
      <c r="H18" s="326" t="str">
        <f>IF(INDEX('Raw Data'!$A18:$EA18,MATCH(H$2,RawData[#Headers],))=""," ",IF(INDEX('Raw Data'!$A18:$EA18,MATCH(H$2,RawData[#Headers],))="UPL",3,INDEX('Raw Data'!$A18:$EA18,MATCH(H$2,RawData[#Headers],))))</f>
        <v xml:space="preserve"> </v>
      </c>
      <c r="I18" s="324" t="str">
        <f>IFERROR(STANDARDIZE(machina6[[#This Row],[This Distance Runs]],H$30,H$31)," ")</f>
        <v xml:space="preserve"> </v>
      </c>
      <c r="J18" s="326" t="str">
        <f t="shared" si="1"/>
        <v xml:space="preserve"> </v>
      </c>
      <c r="K18" s="318" t="str">
        <f>IF(INDEX('Raw Data'!$A18:$EA18,MATCH(K$2,RawData[#Headers],))=""," ",IF(INDEX('Raw Data'!$A18:$EA18,MATCH(K$2,RawData[#Headers],))="UPL",3,INDEX('Raw Data'!$A18:$EA18,MATCH(K$2,RawData[#Headers],))))</f>
        <v xml:space="preserve"> </v>
      </c>
      <c r="L18" s="324" t="str">
        <f>IFERROR(STANDARDIZE(machina6[[#This Row],[Jockey Last 100 Horse Earnings]],K$30,K$31)," ")</f>
        <v xml:space="preserve"> </v>
      </c>
      <c r="M18" s="326" t="str">
        <f t="shared" si="2"/>
        <v xml:space="preserve"> </v>
      </c>
      <c r="N18" s="326" t="str">
        <f>IF(INDEX('Raw Data'!$A18:$EA18,MATCH(N$2,RawData[#Headers],))=""," ",IF(INDEX('Raw Data'!$A18:$EA18,MATCH(N$2,RawData[#Headers],))="UPL",1,INDEX('Raw Data'!$A18:$EA18,MATCH(N$2,RawData[#Headers],))))</f>
        <v xml:space="preserve"> </v>
      </c>
      <c r="O18" s="324" t="str">
        <f>IFERROR(STANDARDIZE(machina6[[#This Row],[Last Start Finish Position]],N$30,N$31)," ")</f>
        <v xml:space="preserve"> </v>
      </c>
      <c r="P18" s="326" t="str">
        <f t="shared" si="3"/>
        <v xml:space="preserve"> </v>
      </c>
      <c r="Q18" s="326" t="str">
        <f>IF(INDEX('Raw Data'!$A18:$EA18,MATCH(Q$2,RawData[#Headers],))=""," ",IF(INDEX('Raw Data'!$A18:$EA18,MATCH(Q$2,RawData[#Headers],))="UPL",3,INDEX('Raw Data'!$A18:$EA18,MATCH(Q$2,RawData[#Headers],))))</f>
        <v xml:space="preserve"> </v>
      </c>
      <c r="R18" s="324" t="str">
        <f>IFERROR(STANDARDIZE(machina6[[#This Row],[Last Start Margin]],Q$30,Q$31)," ")</f>
        <v xml:space="preserve"> </v>
      </c>
      <c r="S18" s="326" t="str">
        <f t="shared" si="4"/>
        <v xml:space="preserve"> </v>
      </c>
      <c r="T18" s="326" t="str">
        <f>IF(INDEX('Raw Data'!$A18:$EA18,MATCH(T$2,RawData[#Headers],))=""," ",IF(INDEX('Raw Data'!$A18:$EA18,MATCH(T$2,RawData[#Headers],))="UPL",3,INDEX('Raw Data'!$A18:$EA18,MATCH(T$2,RawData[#Headers],))))</f>
        <v xml:space="preserve"> </v>
      </c>
      <c r="U18" s="324" t="str">
        <f>IFERROR(STANDARDIZE(machina6[[#This Row],[Last Start Distance Change]],T$30,T$31)," ")</f>
        <v xml:space="preserve"> </v>
      </c>
      <c r="V18" s="326" t="str">
        <f t="shared" si="5"/>
        <v xml:space="preserve"> </v>
      </c>
      <c r="W18" s="318" t="str">
        <f>IF(INDEX('Raw Data'!$A18:$EA18,MATCH(W$2,RawData[#Headers],))=""," ",IF(INDEX('Raw Data'!$A18:$EA18,MATCH(W$2,RawData[#Headers],))="UPL",3,INDEX('Raw Data'!$A18:$EA18,MATCH(W$2,RawData[#Headers],))))</f>
        <v xml:space="preserve"> </v>
      </c>
      <c r="X18" s="324" t="str">
        <f>IFERROR(STANDARDIZE(machina6[[#This Row],[Last Start Prize Money]],W$30,W$31)," ")</f>
        <v xml:space="preserve"> </v>
      </c>
      <c r="Y18" s="326" t="str">
        <f t="shared" si="6"/>
        <v xml:space="preserve"> </v>
      </c>
      <c r="Z18" s="326" t="str">
        <f>IF(INDEX('Raw Data'!$A18:$EA18,MATCH(Z$2,RawData[#Headers],))=""," ",IF(INDEX('Raw Data'!$A18:$EA18,MATCH(Z$2,RawData[#Headers],))="UPL",3,INDEX('Raw Data'!$A18:$EA18,MATCH(Z$2,RawData[#Headers],))))</f>
        <v xml:space="preserve"> </v>
      </c>
      <c r="AA18" s="324" t="str">
        <f t="shared" si="7"/>
        <v xml:space="preserve"> </v>
      </c>
      <c r="AB18" s="326" t="str">
        <f t="shared" si="8"/>
        <v xml:space="preserve"> </v>
      </c>
      <c r="AC18" s="326" t="str">
        <f>IF(INDEX('Raw Data'!$A18:$EA18,MATCH(AC$2,RawData[#Headers],))=""," ",IF(INDEX('Raw Data'!$A18:$EA18,MATCH(AC$2,RawData[#Headers],))="UPL",3,INDEX('Raw Data'!$A18:$EA18,MATCH(AC$2,RawData[#Headers],))))</f>
        <v xml:space="preserve"> </v>
      </c>
      <c r="AD18" s="324" t="str">
        <f t="shared" si="9"/>
        <v xml:space="preserve"> </v>
      </c>
      <c r="AE18" s="326" t="str">
        <f t="shared" si="10"/>
        <v xml:space="preserve"> </v>
      </c>
      <c r="AF18" s="408" t="str">
        <f>IFERROR(VLOOKUP(A18,Results!$A$3:$DY$29,129,FALSE)," ")</f>
        <v xml:space="preserve"> </v>
      </c>
      <c r="AG18" s="408" t="str">
        <f>IFERROR(VLOOKUP(A18,Results!$A$3:$DY$29,129,FALSE)," ")</f>
        <v xml:space="preserve"> </v>
      </c>
      <c r="AH18" s="408" t="str">
        <f>IF($A18=0," ",SUM(machina6[[#This Row],[PICK 1]:[PICK 3]]))</f>
        <v xml:space="preserve"> </v>
      </c>
      <c r="AI18" s="408" t="str">
        <f>IF(machina6[[#This Row],[Num]]=0," ",IFERROR(RANK(AH18,AH$3:AH$27,0)," "))</f>
        <v xml:space="preserve"> </v>
      </c>
      <c r="AJ18" s="408" t="str">
        <f t="shared" si="13"/>
        <v xml:space="preserve"> </v>
      </c>
      <c r="AK18" s="408" t="str">
        <f t="shared" si="11"/>
        <v xml:space="preserve"> </v>
      </c>
      <c r="AL18" s="408" t="str">
        <f t="shared" si="14"/>
        <v xml:space="preserve"> </v>
      </c>
      <c r="AM18" s="408" t="str">
        <f>IF($A18=0," ",IF(machina6[[#This Row],[QUART]]&lt;=$G$34,1," "))</f>
        <v xml:space="preserve"> </v>
      </c>
      <c r="AN18" s="408" t="str">
        <f>IF($A18=0," ",RANK(machina6[[#This Row],[QUART]],machina6[QUART],1))</f>
        <v xml:space="preserve"> </v>
      </c>
      <c r="AO18" s="408" t="str">
        <f t="shared" si="12"/>
        <v xml:space="preserve"> </v>
      </c>
      <c r="AP18" s="408"/>
    </row>
    <row r="19" spans="1:42" x14ac:dyDescent="0.3">
      <c r="A19" s="326">
        <f>RawData[[#This Row],[Num]]</f>
        <v>0</v>
      </c>
      <c r="C19" s="324"/>
      <c r="E19" s="326" t="str">
        <f>IF(INDEX('Raw Data'!$A19:$EA19,MATCH(E$2,RawData[#Headers],))=""," ",IF(INDEX('Raw Data'!$A19:$EA19,MATCH(E$2,RawData[#Headers],))="UPL",3,INDEX('Raw Data'!$A19:$EA19,MATCH(E$2,RawData[#Headers],))))</f>
        <v xml:space="preserve"> </v>
      </c>
      <c r="F19" s="324" t="str">
        <f>IFERROR(STANDARDIZE(machina6[[#This Row],[Best Fixed Odds]],E$30,E$31)," ")</f>
        <v xml:space="preserve"> </v>
      </c>
      <c r="G19" s="326" t="str">
        <f t="shared" si="0"/>
        <v xml:space="preserve"> </v>
      </c>
      <c r="H19" s="326" t="str">
        <f>IF(INDEX('Raw Data'!$A19:$EA19,MATCH(H$2,RawData[#Headers],))=""," ",IF(INDEX('Raw Data'!$A19:$EA19,MATCH(H$2,RawData[#Headers],))="UPL",3,INDEX('Raw Data'!$A19:$EA19,MATCH(H$2,RawData[#Headers],))))</f>
        <v xml:space="preserve"> </v>
      </c>
      <c r="I19" s="324" t="str">
        <f>IFERROR(STANDARDIZE(machina6[[#This Row],[This Distance Runs]],H$30,H$31)," ")</f>
        <v xml:space="preserve"> </v>
      </c>
      <c r="J19" s="326" t="str">
        <f t="shared" si="1"/>
        <v xml:space="preserve"> </v>
      </c>
      <c r="K19" s="318" t="str">
        <f>IF(INDEX('Raw Data'!$A19:$EA19,MATCH(K$2,RawData[#Headers],))=""," ",IF(INDEX('Raw Data'!$A19:$EA19,MATCH(K$2,RawData[#Headers],))="UPL",3,INDEX('Raw Data'!$A19:$EA19,MATCH(K$2,RawData[#Headers],))))</f>
        <v xml:space="preserve"> </v>
      </c>
      <c r="L19" s="324" t="str">
        <f>IFERROR(STANDARDIZE(machina6[[#This Row],[Jockey Last 100 Horse Earnings]],K$30,K$31)," ")</f>
        <v xml:space="preserve"> </v>
      </c>
      <c r="M19" s="326" t="str">
        <f t="shared" si="2"/>
        <v xml:space="preserve"> </v>
      </c>
      <c r="N19" s="326" t="str">
        <f>IF(INDEX('Raw Data'!$A19:$EA19,MATCH(N$2,RawData[#Headers],))=""," ",IF(INDEX('Raw Data'!$A19:$EA19,MATCH(N$2,RawData[#Headers],))="UPL",1,INDEX('Raw Data'!$A19:$EA19,MATCH(N$2,RawData[#Headers],))))</f>
        <v xml:space="preserve"> </v>
      </c>
      <c r="O19" s="324" t="str">
        <f>IFERROR(STANDARDIZE(machina6[[#This Row],[Last Start Finish Position]],N$30,N$31)," ")</f>
        <v xml:space="preserve"> </v>
      </c>
      <c r="P19" s="326" t="str">
        <f t="shared" si="3"/>
        <v xml:space="preserve"> </v>
      </c>
      <c r="Q19" s="326" t="str">
        <f>IF(INDEX('Raw Data'!$A19:$EA19,MATCH(Q$2,RawData[#Headers],))=""," ",IF(INDEX('Raw Data'!$A19:$EA19,MATCH(Q$2,RawData[#Headers],))="UPL",3,INDEX('Raw Data'!$A19:$EA19,MATCH(Q$2,RawData[#Headers],))))</f>
        <v xml:space="preserve"> </v>
      </c>
      <c r="R19" s="324" t="str">
        <f>IFERROR(STANDARDIZE(machina6[[#This Row],[Last Start Margin]],Q$30,Q$31)," ")</f>
        <v xml:space="preserve"> </v>
      </c>
      <c r="S19" s="326" t="str">
        <f t="shared" si="4"/>
        <v xml:space="preserve"> </v>
      </c>
      <c r="T19" s="326" t="str">
        <f>IF(INDEX('Raw Data'!$A19:$EA19,MATCH(T$2,RawData[#Headers],))=""," ",IF(INDEX('Raw Data'!$A19:$EA19,MATCH(T$2,RawData[#Headers],))="UPL",3,INDEX('Raw Data'!$A19:$EA19,MATCH(T$2,RawData[#Headers],))))</f>
        <v xml:space="preserve"> </v>
      </c>
      <c r="U19" s="324" t="str">
        <f>IFERROR(STANDARDIZE(machina6[[#This Row],[Last Start Distance Change]],T$30,T$31)," ")</f>
        <v xml:space="preserve"> </v>
      </c>
      <c r="V19" s="326" t="str">
        <f t="shared" si="5"/>
        <v xml:space="preserve"> </v>
      </c>
      <c r="W19" s="318" t="str">
        <f>IF(INDEX('Raw Data'!$A19:$EA19,MATCH(W$2,RawData[#Headers],))=""," ",IF(INDEX('Raw Data'!$A19:$EA19,MATCH(W$2,RawData[#Headers],))="UPL",3,INDEX('Raw Data'!$A19:$EA19,MATCH(W$2,RawData[#Headers],))))</f>
        <v xml:space="preserve"> </v>
      </c>
      <c r="X19" s="324" t="str">
        <f>IFERROR(STANDARDIZE(machina6[[#This Row],[Last Start Prize Money]],W$30,W$31)," ")</f>
        <v xml:space="preserve"> </v>
      </c>
      <c r="Y19" s="326" t="str">
        <f t="shared" si="6"/>
        <v xml:space="preserve"> </v>
      </c>
      <c r="Z19" s="326" t="str">
        <f>IF(INDEX('Raw Data'!$A19:$EA19,MATCH(Z$2,RawData[#Headers],))=""," ",IF(INDEX('Raw Data'!$A19:$EA19,MATCH(Z$2,RawData[#Headers],))="UPL",3,INDEX('Raw Data'!$A19:$EA19,MATCH(Z$2,RawData[#Headers],))))</f>
        <v xml:space="preserve"> </v>
      </c>
      <c r="AA19" s="324" t="str">
        <f t="shared" si="7"/>
        <v xml:space="preserve"> </v>
      </c>
      <c r="AB19" s="326" t="str">
        <f t="shared" si="8"/>
        <v xml:space="preserve"> </v>
      </c>
      <c r="AC19" s="326" t="str">
        <f>IF(INDEX('Raw Data'!$A19:$EA19,MATCH(AC$2,RawData[#Headers],))=""," ",IF(INDEX('Raw Data'!$A19:$EA19,MATCH(AC$2,RawData[#Headers],))="UPL",3,INDEX('Raw Data'!$A19:$EA19,MATCH(AC$2,RawData[#Headers],))))</f>
        <v xml:space="preserve"> </v>
      </c>
      <c r="AD19" s="324" t="str">
        <f t="shared" si="9"/>
        <v xml:space="preserve"> </v>
      </c>
      <c r="AE19" s="326" t="str">
        <f t="shared" si="10"/>
        <v xml:space="preserve"> </v>
      </c>
      <c r="AF19" s="408" t="str">
        <f>IFERROR(VLOOKUP(A19,Results!$A$3:$DY$29,129,FALSE)," ")</f>
        <v xml:space="preserve"> </v>
      </c>
      <c r="AG19" s="408" t="str">
        <f>IFERROR(VLOOKUP(A19,Results!$A$3:$DY$29,129,FALSE)," ")</f>
        <v xml:space="preserve"> </v>
      </c>
      <c r="AH19" s="408" t="str">
        <f>IF($A19=0," ",SUM(machina6[[#This Row],[PICK 1]:[PICK 3]]))</f>
        <v xml:space="preserve"> </v>
      </c>
      <c r="AI19" s="408" t="str">
        <f>IF(machina6[[#This Row],[Num]]=0," ",IFERROR(RANK(AH19,AH$3:AH$27,0)," "))</f>
        <v xml:space="preserve"> </v>
      </c>
      <c r="AJ19" s="408" t="str">
        <f t="shared" si="13"/>
        <v xml:space="preserve"> </v>
      </c>
      <c r="AK19" s="408" t="str">
        <f t="shared" si="11"/>
        <v xml:space="preserve"> </v>
      </c>
      <c r="AL19" s="408" t="str">
        <f t="shared" si="14"/>
        <v xml:space="preserve"> </v>
      </c>
      <c r="AM19" s="408" t="str">
        <f>IF($A19=0," ",IF(machina6[[#This Row],[QUART]]&lt;=$G$34,1," "))</f>
        <v xml:space="preserve"> </v>
      </c>
      <c r="AN19" s="408" t="str">
        <f>IF($A19=0," ",RANK(machina6[[#This Row],[QUART]],machina6[QUART],1))</f>
        <v xml:space="preserve"> </v>
      </c>
      <c r="AO19" s="408" t="str">
        <f t="shared" si="12"/>
        <v xml:space="preserve"> </v>
      </c>
      <c r="AP19" s="408"/>
    </row>
    <row r="20" spans="1:42" x14ac:dyDescent="0.3">
      <c r="A20" s="326">
        <f>RawData[[#This Row],[Num]]</f>
        <v>0</v>
      </c>
      <c r="C20" s="324"/>
      <c r="E20" s="326" t="str">
        <f>IF(INDEX('Raw Data'!$A20:$EA20,MATCH(E$2,RawData[#Headers],))=""," ",IF(INDEX('Raw Data'!$A20:$EA20,MATCH(E$2,RawData[#Headers],))="UPL",3,INDEX('Raw Data'!$A20:$EA20,MATCH(E$2,RawData[#Headers],))))</f>
        <v xml:space="preserve"> </v>
      </c>
      <c r="F20" s="324" t="str">
        <f>IFERROR(STANDARDIZE(machina6[[#This Row],[Best Fixed Odds]],E$30,E$31)," ")</f>
        <v xml:space="preserve"> </v>
      </c>
      <c r="G20" s="326" t="str">
        <f t="shared" si="0"/>
        <v xml:space="preserve"> </v>
      </c>
      <c r="H20" s="326" t="str">
        <f>IF(INDEX('Raw Data'!$A20:$EA20,MATCH(H$2,RawData[#Headers],))=""," ",IF(INDEX('Raw Data'!$A20:$EA20,MATCH(H$2,RawData[#Headers],))="UPL",3,INDEX('Raw Data'!$A20:$EA20,MATCH(H$2,RawData[#Headers],))))</f>
        <v xml:space="preserve"> </v>
      </c>
      <c r="I20" s="324" t="str">
        <f>IFERROR(STANDARDIZE(machina6[[#This Row],[This Distance Runs]],H$30,H$31)," ")</f>
        <v xml:space="preserve"> </v>
      </c>
      <c r="J20" s="326" t="str">
        <f t="shared" si="1"/>
        <v xml:space="preserve"> </v>
      </c>
      <c r="K20" s="318" t="str">
        <f>IF(INDEX('Raw Data'!$A20:$EA20,MATCH(K$2,RawData[#Headers],))=""," ",IF(INDEX('Raw Data'!$A20:$EA20,MATCH(K$2,RawData[#Headers],))="UPL",3,INDEX('Raw Data'!$A20:$EA20,MATCH(K$2,RawData[#Headers],))))</f>
        <v xml:space="preserve"> </v>
      </c>
      <c r="L20" s="324" t="str">
        <f>IFERROR(STANDARDIZE(machina6[[#This Row],[Jockey Last 100 Horse Earnings]],K$30,K$31)," ")</f>
        <v xml:space="preserve"> </v>
      </c>
      <c r="M20" s="326" t="str">
        <f t="shared" si="2"/>
        <v xml:space="preserve"> </v>
      </c>
      <c r="N20" s="326" t="str">
        <f>IF(INDEX('Raw Data'!$A20:$EA20,MATCH(N$2,RawData[#Headers],))=""," ",IF(INDEX('Raw Data'!$A20:$EA20,MATCH(N$2,RawData[#Headers],))="UPL",1,INDEX('Raw Data'!$A20:$EA20,MATCH(N$2,RawData[#Headers],))))</f>
        <v xml:space="preserve"> </v>
      </c>
      <c r="O20" s="324" t="str">
        <f>IFERROR(STANDARDIZE(machina6[[#This Row],[Last Start Finish Position]],N$30,N$31)," ")</f>
        <v xml:space="preserve"> </v>
      </c>
      <c r="P20" s="326" t="str">
        <f t="shared" si="3"/>
        <v xml:space="preserve"> </v>
      </c>
      <c r="Q20" s="326" t="str">
        <f>IF(INDEX('Raw Data'!$A20:$EA20,MATCH(Q$2,RawData[#Headers],))=""," ",IF(INDEX('Raw Data'!$A20:$EA20,MATCH(Q$2,RawData[#Headers],))="UPL",3,INDEX('Raw Data'!$A20:$EA20,MATCH(Q$2,RawData[#Headers],))))</f>
        <v xml:space="preserve"> </v>
      </c>
      <c r="R20" s="324" t="str">
        <f>IFERROR(STANDARDIZE(machina6[[#This Row],[Last Start Margin]],Q$30,Q$31)," ")</f>
        <v xml:space="preserve"> </v>
      </c>
      <c r="S20" s="326" t="str">
        <f t="shared" si="4"/>
        <v xml:space="preserve"> </v>
      </c>
      <c r="T20" s="326" t="str">
        <f>IF(INDEX('Raw Data'!$A20:$EA20,MATCH(T$2,RawData[#Headers],))=""," ",IF(INDEX('Raw Data'!$A20:$EA20,MATCH(T$2,RawData[#Headers],))="UPL",3,INDEX('Raw Data'!$A20:$EA20,MATCH(T$2,RawData[#Headers],))))</f>
        <v xml:space="preserve"> </v>
      </c>
      <c r="U20" s="324" t="str">
        <f>IFERROR(STANDARDIZE(machina6[[#This Row],[Last Start Distance Change]],T$30,T$31)," ")</f>
        <v xml:space="preserve"> </v>
      </c>
      <c r="V20" s="326" t="str">
        <f t="shared" si="5"/>
        <v xml:space="preserve"> </v>
      </c>
      <c r="W20" s="318" t="str">
        <f>IF(INDEX('Raw Data'!$A20:$EA20,MATCH(W$2,RawData[#Headers],))=""," ",IF(INDEX('Raw Data'!$A20:$EA20,MATCH(W$2,RawData[#Headers],))="UPL",3,INDEX('Raw Data'!$A20:$EA20,MATCH(W$2,RawData[#Headers],))))</f>
        <v xml:space="preserve"> </v>
      </c>
      <c r="X20" s="324" t="str">
        <f>IFERROR(STANDARDIZE(machina6[[#This Row],[Last Start Prize Money]],W$30,W$31)," ")</f>
        <v xml:space="preserve"> </v>
      </c>
      <c r="Y20" s="326" t="str">
        <f t="shared" si="6"/>
        <v xml:space="preserve"> </v>
      </c>
      <c r="Z20" s="326" t="str">
        <f>IF(INDEX('Raw Data'!$A20:$EA20,MATCH(Z$2,RawData[#Headers],))=""," ",IF(INDEX('Raw Data'!$A20:$EA20,MATCH(Z$2,RawData[#Headers],))="UPL",3,INDEX('Raw Data'!$A20:$EA20,MATCH(Z$2,RawData[#Headers],))))</f>
        <v xml:space="preserve"> </v>
      </c>
      <c r="AA20" s="324" t="str">
        <f t="shared" si="7"/>
        <v xml:space="preserve"> </v>
      </c>
      <c r="AB20" s="326" t="str">
        <f t="shared" si="8"/>
        <v xml:space="preserve"> </v>
      </c>
      <c r="AC20" s="326" t="str">
        <f>IF(INDEX('Raw Data'!$A20:$EA20,MATCH(AC$2,RawData[#Headers],))=""," ",IF(INDEX('Raw Data'!$A20:$EA20,MATCH(AC$2,RawData[#Headers],))="UPL",3,INDEX('Raw Data'!$A20:$EA20,MATCH(AC$2,RawData[#Headers],))))</f>
        <v xml:space="preserve"> </v>
      </c>
      <c r="AD20" s="324" t="str">
        <f t="shared" si="9"/>
        <v xml:space="preserve"> </v>
      </c>
      <c r="AE20" s="326" t="str">
        <f t="shared" si="10"/>
        <v xml:space="preserve"> </v>
      </c>
      <c r="AF20" s="408" t="str">
        <f>IFERROR(VLOOKUP(A20,Results!$A$3:$DY$29,129,FALSE)," ")</f>
        <v xml:space="preserve"> </v>
      </c>
      <c r="AG20" s="408" t="str">
        <f>IFERROR(VLOOKUP(A20,Results!$A$3:$DY$29,129,FALSE)," ")</f>
        <v xml:space="preserve"> </v>
      </c>
      <c r="AH20" s="408" t="str">
        <f>IF($A20=0," ",SUM(machina6[[#This Row],[PICK 1]:[PICK 3]]))</f>
        <v xml:space="preserve"> </v>
      </c>
      <c r="AI20" s="408" t="str">
        <f>IF(machina6[[#This Row],[Num]]=0," ",IFERROR(RANK(AH20,AH$3:AH$27,0)," "))</f>
        <v xml:space="preserve"> </v>
      </c>
      <c r="AJ20" s="408" t="str">
        <f t="shared" si="13"/>
        <v xml:space="preserve"> </v>
      </c>
      <c r="AK20" s="408" t="str">
        <f t="shared" si="11"/>
        <v xml:space="preserve"> </v>
      </c>
      <c r="AL20" s="408" t="str">
        <f t="shared" si="14"/>
        <v xml:space="preserve"> </v>
      </c>
      <c r="AM20" s="408" t="str">
        <f>IF($A20=0," ",IF(machina6[[#This Row],[QUART]]&lt;=$G$34,1," "))</f>
        <v xml:space="preserve"> </v>
      </c>
      <c r="AN20" s="408" t="str">
        <f>IF($A20=0," ",RANK(machina6[[#This Row],[QUART]],machina6[QUART],1))</f>
        <v xml:space="preserve"> </v>
      </c>
      <c r="AO20" s="408" t="str">
        <f t="shared" si="12"/>
        <v xml:space="preserve"> </v>
      </c>
      <c r="AP20" s="408"/>
    </row>
    <row r="21" spans="1:42" x14ac:dyDescent="0.3">
      <c r="A21" s="326">
        <f>RawData[[#This Row],[Num]]</f>
        <v>0</v>
      </c>
      <c r="C21" s="324"/>
      <c r="E21" s="326" t="str">
        <f>IF(INDEX('Raw Data'!$A21:$EA21,MATCH(E$2,RawData[#Headers],))=""," ",IF(INDEX('Raw Data'!$A21:$EA21,MATCH(E$2,RawData[#Headers],))="UPL",3,INDEX('Raw Data'!$A21:$EA21,MATCH(E$2,RawData[#Headers],))))</f>
        <v xml:space="preserve"> </v>
      </c>
      <c r="F21" s="324" t="str">
        <f>IFERROR(STANDARDIZE(machina6[[#This Row],[Best Fixed Odds]],E$30,E$31)," ")</f>
        <v xml:space="preserve"> </v>
      </c>
      <c r="G21" s="326" t="str">
        <f t="shared" si="0"/>
        <v xml:space="preserve"> </v>
      </c>
      <c r="H21" s="326" t="str">
        <f>IF(INDEX('Raw Data'!$A21:$EA21,MATCH(H$2,RawData[#Headers],))=""," ",IF(INDEX('Raw Data'!$A21:$EA21,MATCH(H$2,RawData[#Headers],))="UPL",3,INDEX('Raw Data'!$A21:$EA21,MATCH(H$2,RawData[#Headers],))))</f>
        <v xml:space="preserve"> </v>
      </c>
      <c r="I21" s="324" t="str">
        <f>IFERROR(STANDARDIZE(machina6[[#This Row],[This Distance Runs]],H$30,H$31)," ")</f>
        <v xml:space="preserve"> </v>
      </c>
      <c r="J21" s="326" t="str">
        <f t="shared" si="1"/>
        <v xml:space="preserve"> </v>
      </c>
      <c r="K21" s="318" t="str">
        <f>IF(INDEX('Raw Data'!$A21:$EA21,MATCH(K$2,RawData[#Headers],))=""," ",IF(INDEX('Raw Data'!$A21:$EA21,MATCH(K$2,RawData[#Headers],))="UPL",3,INDEX('Raw Data'!$A21:$EA21,MATCH(K$2,RawData[#Headers],))))</f>
        <v xml:space="preserve"> </v>
      </c>
      <c r="L21" s="324" t="str">
        <f>IFERROR(STANDARDIZE(machina6[[#This Row],[Jockey Last 100 Horse Earnings]],K$30,K$31)," ")</f>
        <v xml:space="preserve"> </v>
      </c>
      <c r="M21" s="326" t="str">
        <f t="shared" si="2"/>
        <v xml:space="preserve"> </v>
      </c>
      <c r="N21" s="326" t="str">
        <f>IF(INDEX('Raw Data'!$A21:$EA21,MATCH(N$2,RawData[#Headers],))=""," ",IF(INDEX('Raw Data'!$A21:$EA21,MATCH(N$2,RawData[#Headers],))="UPL",1,INDEX('Raw Data'!$A21:$EA21,MATCH(N$2,RawData[#Headers],))))</f>
        <v xml:space="preserve"> </v>
      </c>
      <c r="O21" s="324" t="str">
        <f>IFERROR(STANDARDIZE(machina6[[#This Row],[Last Start Finish Position]],N$30,N$31)," ")</f>
        <v xml:space="preserve"> </v>
      </c>
      <c r="P21" s="326" t="str">
        <f t="shared" si="3"/>
        <v xml:space="preserve"> </v>
      </c>
      <c r="Q21" s="326" t="str">
        <f>IF(INDEX('Raw Data'!$A21:$EA21,MATCH(Q$2,RawData[#Headers],))=""," ",IF(INDEX('Raw Data'!$A21:$EA21,MATCH(Q$2,RawData[#Headers],))="UPL",3,INDEX('Raw Data'!$A21:$EA21,MATCH(Q$2,RawData[#Headers],))))</f>
        <v xml:space="preserve"> </v>
      </c>
      <c r="R21" s="324" t="str">
        <f>IFERROR(STANDARDIZE(machina6[[#This Row],[Last Start Margin]],Q$30,Q$31)," ")</f>
        <v xml:space="preserve"> </v>
      </c>
      <c r="S21" s="326" t="str">
        <f t="shared" si="4"/>
        <v xml:space="preserve"> </v>
      </c>
      <c r="T21" s="326" t="str">
        <f>IF(INDEX('Raw Data'!$A21:$EA21,MATCH(T$2,RawData[#Headers],))=""," ",IF(INDEX('Raw Data'!$A21:$EA21,MATCH(T$2,RawData[#Headers],))="UPL",3,INDEX('Raw Data'!$A21:$EA21,MATCH(T$2,RawData[#Headers],))))</f>
        <v xml:space="preserve"> </v>
      </c>
      <c r="U21" s="324" t="str">
        <f>IFERROR(STANDARDIZE(machina6[[#This Row],[Last Start Distance Change]],T$30,T$31)," ")</f>
        <v xml:space="preserve"> </v>
      </c>
      <c r="V21" s="326" t="str">
        <f t="shared" si="5"/>
        <v xml:space="preserve"> </v>
      </c>
      <c r="W21" s="318" t="str">
        <f>IF(INDEX('Raw Data'!$A21:$EA21,MATCH(W$2,RawData[#Headers],))=""," ",IF(INDEX('Raw Data'!$A21:$EA21,MATCH(W$2,RawData[#Headers],))="UPL",3,INDEX('Raw Data'!$A21:$EA21,MATCH(W$2,RawData[#Headers],))))</f>
        <v xml:space="preserve"> </v>
      </c>
      <c r="X21" s="324" t="str">
        <f>IFERROR(STANDARDIZE(machina6[[#This Row],[Last Start Prize Money]],W$30,W$31)," ")</f>
        <v xml:space="preserve"> </v>
      </c>
      <c r="Y21" s="326" t="str">
        <f t="shared" si="6"/>
        <v xml:space="preserve"> </v>
      </c>
      <c r="Z21" s="326" t="str">
        <f>IF(INDEX('Raw Data'!$A21:$EA21,MATCH(Z$2,RawData[#Headers],))=""," ",IF(INDEX('Raw Data'!$A21:$EA21,MATCH(Z$2,RawData[#Headers],))="UPL",3,INDEX('Raw Data'!$A21:$EA21,MATCH(Z$2,RawData[#Headers],))))</f>
        <v xml:space="preserve"> </v>
      </c>
      <c r="AA21" s="324" t="str">
        <f t="shared" si="7"/>
        <v xml:space="preserve"> </v>
      </c>
      <c r="AB21" s="326" t="str">
        <f t="shared" si="8"/>
        <v xml:space="preserve"> </v>
      </c>
      <c r="AC21" s="326" t="str">
        <f>IF(INDEX('Raw Data'!$A21:$EA21,MATCH(AC$2,RawData[#Headers],))=""," ",IF(INDEX('Raw Data'!$A21:$EA21,MATCH(AC$2,RawData[#Headers],))="UPL",3,INDEX('Raw Data'!$A21:$EA21,MATCH(AC$2,RawData[#Headers],))))</f>
        <v xml:space="preserve"> </v>
      </c>
      <c r="AD21" s="324" t="str">
        <f t="shared" si="9"/>
        <v xml:space="preserve"> </v>
      </c>
      <c r="AE21" s="326" t="str">
        <f t="shared" si="10"/>
        <v xml:space="preserve"> </v>
      </c>
      <c r="AF21" s="408" t="str">
        <f>IFERROR(VLOOKUP(A21,Results!$A$3:$DY$29,129,FALSE)," ")</f>
        <v xml:space="preserve"> </v>
      </c>
      <c r="AG21" s="408" t="str">
        <f>IFERROR(VLOOKUP(A21,Results!$A$3:$DY$29,129,FALSE)," ")</f>
        <v xml:space="preserve"> </v>
      </c>
      <c r="AH21" s="408" t="str">
        <f>IF($A21=0," ",SUM(machina6[[#This Row],[PICK 1]:[PICK 3]]))</f>
        <v xml:space="preserve"> </v>
      </c>
      <c r="AI21" s="408" t="str">
        <f>IF(machina6[[#This Row],[Num]]=0," ",IFERROR(RANK(AH21,AH$3:AH$27,0)," "))</f>
        <v xml:space="preserve"> </v>
      </c>
      <c r="AJ21" s="408" t="str">
        <f t="shared" si="13"/>
        <v xml:space="preserve"> </v>
      </c>
      <c r="AK21" s="408" t="str">
        <f t="shared" si="11"/>
        <v xml:space="preserve"> </v>
      </c>
      <c r="AL21" s="408" t="str">
        <f t="shared" si="14"/>
        <v xml:space="preserve"> </v>
      </c>
      <c r="AM21" s="408" t="str">
        <f>IF($A21=0," ",IF(machina6[[#This Row],[QUART]]&lt;=$G$34,1," "))</f>
        <v xml:space="preserve"> </v>
      </c>
      <c r="AN21" s="408" t="str">
        <f>IF($A21=0," ",RANK(machina6[[#This Row],[QUART]],machina6[QUART],1))</f>
        <v xml:space="preserve"> </v>
      </c>
      <c r="AO21" s="408" t="str">
        <f t="shared" si="12"/>
        <v xml:space="preserve"> </v>
      </c>
      <c r="AP21" s="408"/>
    </row>
    <row r="22" spans="1:42" x14ac:dyDescent="0.3">
      <c r="A22" s="326">
        <f>RawData[[#This Row],[Num]]</f>
        <v>0</v>
      </c>
      <c r="C22" s="324"/>
      <c r="E22" s="326" t="str">
        <f>IF(INDEX('Raw Data'!$A22:$EA22,MATCH(E$2,RawData[#Headers],))=""," ",IF(INDEX('Raw Data'!$A22:$EA22,MATCH(E$2,RawData[#Headers],))="UPL",3,INDEX('Raw Data'!$A22:$EA22,MATCH(E$2,RawData[#Headers],))))</f>
        <v xml:space="preserve"> </v>
      </c>
      <c r="F22" s="324" t="str">
        <f>IFERROR(STANDARDIZE(machina6[[#This Row],[Best Fixed Odds]],E$30,E$31)," ")</f>
        <v xml:space="preserve"> </v>
      </c>
      <c r="G22" s="326" t="str">
        <f t="shared" si="0"/>
        <v xml:space="preserve"> </v>
      </c>
      <c r="H22" s="326" t="str">
        <f>IF(INDEX('Raw Data'!$A22:$EA22,MATCH(H$2,RawData[#Headers],))=""," ",IF(INDEX('Raw Data'!$A22:$EA22,MATCH(H$2,RawData[#Headers],))="UPL",3,INDEX('Raw Data'!$A22:$EA22,MATCH(H$2,RawData[#Headers],))))</f>
        <v xml:space="preserve"> </v>
      </c>
      <c r="I22" s="324" t="str">
        <f>IFERROR(STANDARDIZE(machina6[[#This Row],[This Distance Runs]],H$30,H$31)," ")</f>
        <v xml:space="preserve"> </v>
      </c>
      <c r="J22" s="326" t="str">
        <f t="shared" si="1"/>
        <v xml:space="preserve"> </v>
      </c>
      <c r="K22" s="318" t="str">
        <f>IF(INDEX('Raw Data'!$A22:$EA22,MATCH(K$2,RawData[#Headers],))=""," ",IF(INDEX('Raw Data'!$A22:$EA22,MATCH(K$2,RawData[#Headers],))="UPL",3,INDEX('Raw Data'!$A22:$EA22,MATCH(K$2,RawData[#Headers],))))</f>
        <v xml:space="preserve"> </v>
      </c>
      <c r="L22" s="324" t="str">
        <f>IFERROR(STANDARDIZE(machina6[[#This Row],[Jockey Last 100 Horse Earnings]],K$30,K$31)," ")</f>
        <v xml:space="preserve"> </v>
      </c>
      <c r="M22" s="326" t="str">
        <f t="shared" si="2"/>
        <v xml:space="preserve"> </v>
      </c>
      <c r="N22" s="326" t="str">
        <f>IF(INDEX('Raw Data'!$A22:$EA22,MATCH(N$2,RawData[#Headers],))=""," ",IF(INDEX('Raw Data'!$A22:$EA22,MATCH(N$2,RawData[#Headers],))="UPL",1,INDEX('Raw Data'!$A22:$EA22,MATCH(N$2,RawData[#Headers],))))</f>
        <v xml:space="preserve"> </v>
      </c>
      <c r="O22" s="324" t="str">
        <f>IFERROR(STANDARDIZE(machina6[[#This Row],[Last Start Finish Position]],N$30,N$31)," ")</f>
        <v xml:space="preserve"> </v>
      </c>
      <c r="P22" s="326" t="str">
        <f t="shared" si="3"/>
        <v xml:space="preserve"> </v>
      </c>
      <c r="Q22" s="326" t="str">
        <f>IF(INDEX('Raw Data'!$A22:$EA22,MATCH(Q$2,RawData[#Headers],))=""," ",IF(INDEX('Raw Data'!$A22:$EA22,MATCH(Q$2,RawData[#Headers],))="UPL",3,INDEX('Raw Data'!$A22:$EA22,MATCH(Q$2,RawData[#Headers],))))</f>
        <v xml:space="preserve"> </v>
      </c>
      <c r="R22" s="324" t="str">
        <f>IFERROR(STANDARDIZE(machina6[[#This Row],[Last Start Margin]],Q$30,Q$31)," ")</f>
        <v xml:space="preserve"> </v>
      </c>
      <c r="S22" s="326" t="str">
        <f t="shared" si="4"/>
        <v xml:space="preserve"> </v>
      </c>
      <c r="T22" s="326" t="str">
        <f>IF(INDEX('Raw Data'!$A22:$EA22,MATCH(T$2,RawData[#Headers],))=""," ",IF(INDEX('Raw Data'!$A22:$EA22,MATCH(T$2,RawData[#Headers],))="UPL",3,INDEX('Raw Data'!$A22:$EA22,MATCH(T$2,RawData[#Headers],))))</f>
        <v xml:space="preserve"> </v>
      </c>
      <c r="U22" s="324" t="str">
        <f>IFERROR(STANDARDIZE(machina6[[#This Row],[Last Start Distance Change]],T$30,T$31)," ")</f>
        <v xml:space="preserve"> </v>
      </c>
      <c r="V22" s="326" t="str">
        <f t="shared" si="5"/>
        <v xml:space="preserve"> </v>
      </c>
      <c r="W22" s="318" t="str">
        <f>IF(INDEX('Raw Data'!$A22:$EA22,MATCH(W$2,RawData[#Headers],))=""," ",IF(INDEX('Raw Data'!$A22:$EA22,MATCH(W$2,RawData[#Headers],))="UPL",3,INDEX('Raw Data'!$A22:$EA22,MATCH(W$2,RawData[#Headers],))))</f>
        <v xml:space="preserve"> </v>
      </c>
      <c r="X22" s="324" t="str">
        <f>IFERROR(STANDARDIZE(machina6[[#This Row],[Last Start Prize Money]],W$30,W$31)," ")</f>
        <v xml:space="preserve"> </v>
      </c>
      <c r="Y22" s="326" t="str">
        <f t="shared" si="6"/>
        <v xml:space="preserve"> </v>
      </c>
      <c r="Z22" s="326" t="str">
        <f>IF(INDEX('Raw Data'!$A22:$EA22,MATCH(Z$2,RawData[#Headers],))=""," ",IF(INDEX('Raw Data'!$A22:$EA22,MATCH(Z$2,RawData[#Headers],))="UPL",3,INDEX('Raw Data'!$A22:$EA22,MATCH(Z$2,RawData[#Headers],))))</f>
        <v xml:space="preserve"> </v>
      </c>
      <c r="AA22" s="324" t="str">
        <f t="shared" si="7"/>
        <v xml:space="preserve"> </v>
      </c>
      <c r="AB22" s="326" t="str">
        <f t="shared" si="8"/>
        <v xml:space="preserve"> </v>
      </c>
      <c r="AC22" s="326" t="str">
        <f>IF(INDEX('Raw Data'!$A22:$EA22,MATCH(AC$2,RawData[#Headers],))=""," ",IF(INDEX('Raw Data'!$A22:$EA22,MATCH(AC$2,RawData[#Headers],))="UPL",3,INDEX('Raw Data'!$A22:$EA22,MATCH(AC$2,RawData[#Headers],))))</f>
        <v xml:space="preserve"> </v>
      </c>
      <c r="AD22" s="324" t="str">
        <f t="shared" si="9"/>
        <v xml:space="preserve"> </v>
      </c>
      <c r="AE22" s="326" t="str">
        <f t="shared" si="10"/>
        <v xml:space="preserve"> </v>
      </c>
      <c r="AF22" s="408" t="str">
        <f>IFERROR(VLOOKUP(A22,Results!$A$3:$DY$29,129,FALSE)," ")</f>
        <v xml:space="preserve"> </v>
      </c>
      <c r="AG22" s="408" t="str">
        <f>IFERROR(VLOOKUP(A22,Results!$A$3:$DY$29,129,FALSE)," ")</f>
        <v xml:space="preserve"> </v>
      </c>
      <c r="AH22" s="408" t="str">
        <f>IF($A22=0," ",SUM(machina6[[#This Row],[PICK 1]:[PICK 3]]))</f>
        <v xml:space="preserve"> </v>
      </c>
      <c r="AI22" s="408" t="str">
        <f>IF(machina6[[#This Row],[Num]]=0," ",IFERROR(RANK(AH22,AH$3:AH$27,0)," "))</f>
        <v xml:space="preserve"> </v>
      </c>
      <c r="AJ22" s="408" t="str">
        <f t="shared" si="13"/>
        <v xml:space="preserve"> </v>
      </c>
      <c r="AK22" s="408" t="str">
        <f t="shared" si="11"/>
        <v xml:space="preserve"> </v>
      </c>
      <c r="AL22" s="408" t="str">
        <f t="shared" si="14"/>
        <v xml:space="preserve"> </v>
      </c>
      <c r="AM22" s="408" t="str">
        <f>IF($A22=0," ",IF(machina6[[#This Row],[QUART]]&lt;=$G$34,1," "))</f>
        <v xml:space="preserve"> </v>
      </c>
      <c r="AN22" s="408" t="str">
        <f>IF($A22=0," ",RANK(machina6[[#This Row],[QUART]],machina6[QUART],1))</f>
        <v xml:space="preserve"> </v>
      </c>
      <c r="AO22" s="408" t="str">
        <f t="shared" si="12"/>
        <v xml:space="preserve"> </v>
      </c>
      <c r="AP22" s="408"/>
    </row>
    <row r="23" spans="1:42" x14ac:dyDescent="0.3">
      <c r="A23" s="326">
        <f>RawData[[#This Row],[Num]]</f>
        <v>0</v>
      </c>
      <c r="C23" s="324"/>
      <c r="E23" s="326" t="str">
        <f>IF(INDEX('Raw Data'!$A23:$EA23,MATCH(E$2,RawData[#Headers],))=""," ",IF(INDEX('Raw Data'!$A23:$EA23,MATCH(E$2,RawData[#Headers],))="UPL",3,INDEX('Raw Data'!$A23:$EA23,MATCH(E$2,RawData[#Headers],))))</f>
        <v xml:space="preserve"> </v>
      </c>
      <c r="F23" s="324" t="str">
        <f>IFERROR(STANDARDIZE(machina6[[#This Row],[Best Fixed Odds]],E$30,E$31)," ")</f>
        <v xml:space="preserve"> </v>
      </c>
      <c r="G23" s="326" t="str">
        <f t="shared" si="0"/>
        <v xml:space="preserve"> </v>
      </c>
      <c r="H23" s="326" t="str">
        <f>IF(INDEX('Raw Data'!$A23:$EA23,MATCH(H$2,RawData[#Headers],))=""," ",IF(INDEX('Raw Data'!$A23:$EA23,MATCH(H$2,RawData[#Headers],))="UPL",3,INDEX('Raw Data'!$A23:$EA23,MATCH(H$2,RawData[#Headers],))))</f>
        <v xml:space="preserve"> </v>
      </c>
      <c r="I23" s="324" t="str">
        <f>IFERROR(STANDARDIZE(machina6[[#This Row],[This Distance Runs]],H$30,H$31)," ")</f>
        <v xml:space="preserve"> </v>
      </c>
      <c r="J23" s="326" t="str">
        <f t="shared" si="1"/>
        <v xml:space="preserve"> </v>
      </c>
      <c r="K23" s="318" t="str">
        <f>IF(INDEX('Raw Data'!$A23:$EA23,MATCH(K$2,RawData[#Headers],))=""," ",IF(INDEX('Raw Data'!$A23:$EA23,MATCH(K$2,RawData[#Headers],))="UPL",3,INDEX('Raw Data'!$A23:$EA23,MATCH(K$2,RawData[#Headers],))))</f>
        <v xml:space="preserve"> </v>
      </c>
      <c r="L23" s="324" t="str">
        <f>IFERROR(STANDARDIZE(machina6[[#This Row],[Jockey Last 100 Horse Earnings]],K$30,K$31)," ")</f>
        <v xml:space="preserve"> </v>
      </c>
      <c r="M23" s="326" t="str">
        <f t="shared" si="2"/>
        <v xml:space="preserve"> </v>
      </c>
      <c r="N23" s="326" t="str">
        <f>IF(INDEX('Raw Data'!$A23:$EA23,MATCH(N$2,RawData[#Headers],))=""," ",IF(INDEX('Raw Data'!$A23:$EA23,MATCH(N$2,RawData[#Headers],))="UPL",1,INDEX('Raw Data'!$A23:$EA23,MATCH(N$2,RawData[#Headers],))))</f>
        <v xml:space="preserve"> </v>
      </c>
      <c r="O23" s="324" t="str">
        <f>IFERROR(STANDARDIZE(machina6[[#This Row],[Last Start Finish Position]],N$30,N$31)," ")</f>
        <v xml:space="preserve"> </v>
      </c>
      <c r="P23" s="326" t="str">
        <f t="shared" si="3"/>
        <v xml:space="preserve"> </v>
      </c>
      <c r="Q23" s="326" t="str">
        <f>IF(INDEX('Raw Data'!$A23:$EA23,MATCH(Q$2,RawData[#Headers],))=""," ",IF(INDEX('Raw Data'!$A23:$EA23,MATCH(Q$2,RawData[#Headers],))="UPL",3,INDEX('Raw Data'!$A23:$EA23,MATCH(Q$2,RawData[#Headers],))))</f>
        <v xml:space="preserve"> </v>
      </c>
      <c r="R23" s="324" t="str">
        <f>IFERROR(STANDARDIZE(machina6[[#This Row],[Last Start Margin]],Q$30,Q$31)," ")</f>
        <v xml:space="preserve"> </v>
      </c>
      <c r="S23" s="326" t="str">
        <f t="shared" si="4"/>
        <v xml:space="preserve"> </v>
      </c>
      <c r="T23" s="326" t="str">
        <f>IF(INDEX('Raw Data'!$A23:$EA23,MATCH(T$2,RawData[#Headers],))=""," ",IF(INDEX('Raw Data'!$A23:$EA23,MATCH(T$2,RawData[#Headers],))="UPL",3,INDEX('Raw Data'!$A23:$EA23,MATCH(T$2,RawData[#Headers],))))</f>
        <v xml:space="preserve"> </v>
      </c>
      <c r="U23" s="324" t="str">
        <f>IFERROR(STANDARDIZE(machina6[[#This Row],[Last Start Distance Change]],T$30,T$31)," ")</f>
        <v xml:space="preserve"> </v>
      </c>
      <c r="V23" s="326" t="str">
        <f t="shared" si="5"/>
        <v xml:space="preserve"> </v>
      </c>
      <c r="W23" s="318" t="str">
        <f>IF(INDEX('Raw Data'!$A23:$EA23,MATCH(W$2,RawData[#Headers],))=""," ",IF(INDEX('Raw Data'!$A23:$EA23,MATCH(W$2,RawData[#Headers],))="UPL",3,INDEX('Raw Data'!$A23:$EA23,MATCH(W$2,RawData[#Headers],))))</f>
        <v xml:space="preserve"> </v>
      </c>
      <c r="X23" s="324" t="str">
        <f>IFERROR(STANDARDIZE(machina6[[#This Row],[Last Start Prize Money]],W$30,W$31)," ")</f>
        <v xml:space="preserve"> </v>
      </c>
      <c r="Y23" s="326" t="str">
        <f t="shared" si="6"/>
        <v xml:space="preserve"> </v>
      </c>
      <c r="Z23" s="326" t="str">
        <f>IF(INDEX('Raw Data'!$A23:$EA23,MATCH(Z$2,RawData[#Headers],))=""," ",IF(INDEX('Raw Data'!$A23:$EA23,MATCH(Z$2,RawData[#Headers],))="UPL",3,INDEX('Raw Data'!$A23:$EA23,MATCH(Z$2,RawData[#Headers],))))</f>
        <v xml:space="preserve"> </v>
      </c>
      <c r="AA23" s="324" t="str">
        <f t="shared" si="7"/>
        <v xml:space="preserve"> </v>
      </c>
      <c r="AB23" s="326" t="str">
        <f t="shared" si="8"/>
        <v xml:space="preserve"> </v>
      </c>
      <c r="AC23" s="326" t="str">
        <f>IF(INDEX('Raw Data'!$A23:$EA23,MATCH(AC$2,RawData[#Headers],))=""," ",IF(INDEX('Raw Data'!$A23:$EA23,MATCH(AC$2,RawData[#Headers],))="UPL",3,INDEX('Raw Data'!$A23:$EA23,MATCH(AC$2,RawData[#Headers],))))</f>
        <v xml:space="preserve"> </v>
      </c>
      <c r="AD23" s="324" t="str">
        <f t="shared" si="9"/>
        <v xml:space="preserve"> </v>
      </c>
      <c r="AE23" s="326" t="str">
        <f t="shared" si="10"/>
        <v xml:space="preserve"> </v>
      </c>
      <c r="AF23" s="408" t="str">
        <f>IFERROR(VLOOKUP(A23,Results!$A$3:$DY$29,129,FALSE)," ")</f>
        <v xml:space="preserve"> </v>
      </c>
      <c r="AG23" s="408" t="str">
        <f>IFERROR(VLOOKUP(A23,Results!$A$3:$DY$29,129,FALSE)," ")</f>
        <v xml:space="preserve"> </v>
      </c>
      <c r="AH23" s="408" t="str">
        <f>IF($A23=0," ",SUM(machina6[[#This Row],[PICK 1]:[PICK 3]]))</f>
        <v xml:space="preserve"> </v>
      </c>
      <c r="AI23" s="408" t="str">
        <f>IF(machina6[[#This Row],[Num]]=0," ",IFERROR(RANK(AH23,AH$3:AH$27,0)," "))</f>
        <v xml:space="preserve"> </v>
      </c>
      <c r="AJ23" s="408" t="str">
        <f t="shared" si="13"/>
        <v xml:space="preserve"> </v>
      </c>
      <c r="AK23" s="408" t="str">
        <f t="shared" si="11"/>
        <v xml:space="preserve"> </v>
      </c>
      <c r="AL23" s="408" t="str">
        <f t="shared" si="14"/>
        <v xml:space="preserve"> </v>
      </c>
      <c r="AM23" s="408" t="str">
        <f>IF($A23=0," ",IF(machina6[[#This Row],[QUART]]&lt;=$G$34,1," "))</f>
        <v xml:space="preserve"> </v>
      </c>
      <c r="AN23" s="408" t="str">
        <f>IF($A23=0," ",RANK(machina6[[#This Row],[QUART]],machina6[QUART],1))</f>
        <v xml:space="preserve"> </v>
      </c>
      <c r="AO23" s="408" t="str">
        <f t="shared" si="12"/>
        <v xml:space="preserve"> </v>
      </c>
      <c r="AP23" s="408"/>
    </row>
    <row r="24" spans="1:42" x14ac:dyDescent="0.3">
      <c r="A24" s="326">
        <f>RawData[[#This Row],[Num]]</f>
        <v>0</v>
      </c>
      <c r="C24" s="324"/>
      <c r="E24" s="326" t="str">
        <f>IF(INDEX('Raw Data'!$A24:$EA24,MATCH(E$2,RawData[#Headers],))=""," ",IF(INDEX('Raw Data'!$A24:$EA24,MATCH(E$2,RawData[#Headers],))="UPL",3,INDEX('Raw Data'!$A24:$EA24,MATCH(E$2,RawData[#Headers],))))</f>
        <v xml:space="preserve"> </v>
      </c>
      <c r="F24" s="324" t="str">
        <f>IFERROR(STANDARDIZE(machina6[[#This Row],[Best Fixed Odds]],E$30,E$31)," ")</f>
        <v xml:space="preserve"> </v>
      </c>
      <c r="G24" s="326" t="str">
        <f t="shared" si="0"/>
        <v xml:space="preserve"> </v>
      </c>
      <c r="H24" s="326" t="str">
        <f>IF(INDEX('Raw Data'!$A24:$EA24,MATCH(H$2,RawData[#Headers],))=""," ",IF(INDEX('Raw Data'!$A24:$EA24,MATCH(H$2,RawData[#Headers],))="UPL",3,INDEX('Raw Data'!$A24:$EA24,MATCH(H$2,RawData[#Headers],))))</f>
        <v xml:space="preserve"> </v>
      </c>
      <c r="I24" s="324" t="str">
        <f>IFERROR(STANDARDIZE(machina6[[#This Row],[This Distance Runs]],H$30,H$31)," ")</f>
        <v xml:space="preserve"> </v>
      </c>
      <c r="J24" s="326" t="str">
        <f t="shared" si="1"/>
        <v xml:space="preserve"> </v>
      </c>
      <c r="K24" s="318" t="str">
        <f>IF(INDEX('Raw Data'!$A24:$EA24,MATCH(K$2,RawData[#Headers],))=""," ",IF(INDEX('Raw Data'!$A24:$EA24,MATCH(K$2,RawData[#Headers],))="UPL",3,INDEX('Raw Data'!$A24:$EA24,MATCH(K$2,RawData[#Headers],))))</f>
        <v xml:space="preserve"> </v>
      </c>
      <c r="L24" s="324" t="str">
        <f>IFERROR(STANDARDIZE(machina6[[#This Row],[Jockey Last 100 Horse Earnings]],K$30,K$31)," ")</f>
        <v xml:space="preserve"> </v>
      </c>
      <c r="M24" s="326" t="str">
        <f t="shared" si="2"/>
        <v xml:space="preserve"> </v>
      </c>
      <c r="N24" s="326" t="str">
        <f>IF(INDEX('Raw Data'!$A24:$EA24,MATCH(N$2,RawData[#Headers],))=""," ",IF(INDEX('Raw Data'!$A24:$EA24,MATCH(N$2,RawData[#Headers],))="UPL",1,INDEX('Raw Data'!$A24:$EA24,MATCH(N$2,RawData[#Headers],))))</f>
        <v xml:space="preserve"> </v>
      </c>
      <c r="O24" s="324" t="str">
        <f>IFERROR(STANDARDIZE(machina6[[#This Row],[Last Start Finish Position]],N$30,N$31)," ")</f>
        <v xml:space="preserve"> </v>
      </c>
      <c r="P24" s="326" t="str">
        <f t="shared" si="3"/>
        <v xml:space="preserve"> </v>
      </c>
      <c r="Q24" s="326" t="str">
        <f>IF(INDEX('Raw Data'!$A24:$EA24,MATCH(Q$2,RawData[#Headers],))=""," ",IF(INDEX('Raw Data'!$A24:$EA24,MATCH(Q$2,RawData[#Headers],))="UPL",3,INDEX('Raw Data'!$A24:$EA24,MATCH(Q$2,RawData[#Headers],))))</f>
        <v xml:space="preserve"> </v>
      </c>
      <c r="R24" s="324" t="str">
        <f>IFERROR(STANDARDIZE(machina6[[#This Row],[Last Start Margin]],Q$30,Q$31)," ")</f>
        <v xml:space="preserve"> </v>
      </c>
      <c r="S24" s="326" t="str">
        <f t="shared" si="4"/>
        <v xml:space="preserve"> </v>
      </c>
      <c r="T24" s="326" t="str">
        <f>IF(INDEX('Raw Data'!$A24:$EA24,MATCH(T$2,RawData[#Headers],))=""," ",IF(INDEX('Raw Data'!$A24:$EA24,MATCH(T$2,RawData[#Headers],))="UPL",3,INDEX('Raw Data'!$A24:$EA24,MATCH(T$2,RawData[#Headers],))))</f>
        <v xml:space="preserve"> </v>
      </c>
      <c r="U24" s="324" t="str">
        <f>IFERROR(STANDARDIZE(machina6[[#This Row],[Last Start Distance Change]],T$30,T$31)," ")</f>
        <v xml:space="preserve"> </v>
      </c>
      <c r="V24" s="326" t="str">
        <f t="shared" si="5"/>
        <v xml:space="preserve"> </v>
      </c>
      <c r="W24" s="318" t="str">
        <f>IF(INDEX('Raw Data'!$A24:$EA24,MATCH(W$2,RawData[#Headers],))=""," ",IF(INDEX('Raw Data'!$A24:$EA24,MATCH(W$2,RawData[#Headers],))="UPL",3,INDEX('Raw Data'!$A24:$EA24,MATCH(W$2,RawData[#Headers],))))</f>
        <v xml:space="preserve"> </v>
      </c>
      <c r="X24" s="324" t="str">
        <f>IFERROR(STANDARDIZE(machina6[[#This Row],[Last Start Prize Money]],W$30,W$31)," ")</f>
        <v xml:space="preserve"> </v>
      </c>
      <c r="Y24" s="326" t="str">
        <f t="shared" si="6"/>
        <v xml:space="preserve"> </v>
      </c>
      <c r="Z24" s="326" t="str">
        <f>IF(INDEX('Raw Data'!$A24:$EA24,MATCH(Z$2,RawData[#Headers],))=""," ",IF(INDEX('Raw Data'!$A24:$EA24,MATCH(Z$2,RawData[#Headers],))="UPL",3,INDEX('Raw Data'!$A24:$EA24,MATCH(Z$2,RawData[#Headers],))))</f>
        <v xml:space="preserve"> </v>
      </c>
      <c r="AA24" s="324" t="str">
        <f t="shared" si="7"/>
        <v xml:space="preserve"> </v>
      </c>
      <c r="AB24" s="326" t="str">
        <f t="shared" si="8"/>
        <v xml:space="preserve"> </v>
      </c>
      <c r="AC24" s="326" t="str">
        <f>IF(INDEX('Raw Data'!$A24:$EA24,MATCH(AC$2,RawData[#Headers],))=""," ",IF(INDEX('Raw Data'!$A24:$EA24,MATCH(AC$2,RawData[#Headers],))="UPL",3,INDEX('Raw Data'!$A24:$EA24,MATCH(AC$2,RawData[#Headers],))))</f>
        <v xml:space="preserve"> </v>
      </c>
      <c r="AD24" s="324" t="str">
        <f t="shared" si="9"/>
        <v xml:space="preserve"> </v>
      </c>
      <c r="AE24" s="326" t="str">
        <f t="shared" si="10"/>
        <v xml:space="preserve"> </v>
      </c>
      <c r="AF24" s="408" t="str">
        <f>IFERROR(VLOOKUP(A24,Results!$A$3:$DY$29,129,FALSE)," ")</f>
        <v xml:space="preserve"> </v>
      </c>
      <c r="AG24" s="408" t="str">
        <f>IFERROR(VLOOKUP(A24,Results!$A$3:$DY$29,129,FALSE)," ")</f>
        <v xml:space="preserve"> </v>
      </c>
      <c r="AH24" s="408" t="str">
        <f>IF($A24=0," ",SUM(machina6[[#This Row],[PICK 1]:[PICK 3]]))</f>
        <v xml:space="preserve"> </v>
      </c>
      <c r="AI24" s="408" t="str">
        <f>IF(machina6[[#This Row],[Num]]=0," ",IFERROR(RANK(AH24,AH$3:AH$27,0)," "))</f>
        <v xml:space="preserve"> </v>
      </c>
      <c r="AJ24" s="408" t="str">
        <f t="shared" si="13"/>
        <v xml:space="preserve"> </v>
      </c>
      <c r="AK24" s="408" t="str">
        <f t="shared" si="11"/>
        <v xml:space="preserve"> </v>
      </c>
      <c r="AL24" s="408" t="str">
        <f t="shared" si="14"/>
        <v xml:space="preserve"> </v>
      </c>
      <c r="AM24" s="408" t="str">
        <f>IF($A24=0," ",IF(machina6[[#This Row],[QUART]]&lt;=$G$34,1," "))</f>
        <v xml:space="preserve"> </v>
      </c>
      <c r="AN24" s="408" t="str">
        <f>IF($A24=0," ",RANK(machina6[[#This Row],[QUART]],machina6[QUART],1))</f>
        <v xml:space="preserve"> </v>
      </c>
      <c r="AO24" s="408" t="str">
        <f t="shared" si="12"/>
        <v xml:space="preserve"> </v>
      </c>
      <c r="AP24" s="408"/>
    </row>
    <row r="25" spans="1:42" x14ac:dyDescent="0.3">
      <c r="A25" s="326">
        <f>RawData[[#This Row],[Num]]</f>
        <v>0</v>
      </c>
      <c r="C25" s="324"/>
      <c r="E25" s="326" t="str">
        <f>IF(INDEX('Raw Data'!$A25:$EA25,MATCH(E$2,RawData[#Headers],))=""," ",IF(INDEX('Raw Data'!$A25:$EA25,MATCH(E$2,RawData[#Headers],))="UPL",3,INDEX('Raw Data'!$A25:$EA25,MATCH(E$2,RawData[#Headers],))))</f>
        <v xml:space="preserve"> </v>
      </c>
      <c r="F25" s="324" t="str">
        <f>IFERROR(STANDARDIZE(machina6[[#This Row],[Best Fixed Odds]],E$30,E$31)," ")</f>
        <v xml:space="preserve"> </v>
      </c>
      <c r="G25" s="326" t="str">
        <f t="shared" si="0"/>
        <v xml:space="preserve"> </v>
      </c>
      <c r="H25" s="326" t="str">
        <f>IF(INDEX('Raw Data'!$A25:$EA25,MATCH(H$2,RawData[#Headers],))=""," ",IF(INDEX('Raw Data'!$A25:$EA25,MATCH(H$2,RawData[#Headers],))="UPL",3,INDEX('Raw Data'!$A25:$EA25,MATCH(H$2,RawData[#Headers],))))</f>
        <v xml:space="preserve"> </v>
      </c>
      <c r="I25" s="324" t="str">
        <f>IFERROR(STANDARDIZE(machina6[[#This Row],[This Distance Runs]],H$30,H$31)," ")</f>
        <v xml:space="preserve"> </v>
      </c>
      <c r="J25" s="326" t="str">
        <f t="shared" si="1"/>
        <v xml:space="preserve"> </v>
      </c>
      <c r="K25" s="318" t="str">
        <f>IF(INDEX('Raw Data'!$A25:$EA25,MATCH(K$2,RawData[#Headers],))=""," ",IF(INDEX('Raw Data'!$A25:$EA25,MATCH(K$2,RawData[#Headers],))="UPL",3,INDEX('Raw Data'!$A25:$EA25,MATCH(K$2,RawData[#Headers],))))</f>
        <v xml:space="preserve"> </v>
      </c>
      <c r="L25" s="324" t="str">
        <f>IFERROR(STANDARDIZE(machina6[[#This Row],[Jockey Last 100 Horse Earnings]],K$30,K$31)," ")</f>
        <v xml:space="preserve"> </v>
      </c>
      <c r="M25" s="326" t="str">
        <f t="shared" si="2"/>
        <v xml:space="preserve"> </v>
      </c>
      <c r="N25" s="326" t="str">
        <f>IF(INDEX('Raw Data'!$A25:$EA25,MATCH(N$2,RawData[#Headers],))=""," ",IF(INDEX('Raw Data'!$A25:$EA25,MATCH(N$2,RawData[#Headers],))="UPL",1,INDEX('Raw Data'!$A25:$EA25,MATCH(N$2,RawData[#Headers],))))</f>
        <v xml:space="preserve"> </v>
      </c>
      <c r="O25" s="324" t="str">
        <f>IFERROR(STANDARDIZE(machina6[[#This Row],[Last Start Finish Position]],N$30,N$31)," ")</f>
        <v xml:space="preserve"> </v>
      </c>
      <c r="P25" s="326" t="str">
        <f t="shared" si="3"/>
        <v xml:space="preserve"> </v>
      </c>
      <c r="Q25" s="326" t="str">
        <f>IF(INDEX('Raw Data'!$A25:$EA25,MATCH(Q$2,RawData[#Headers],))=""," ",IF(INDEX('Raw Data'!$A25:$EA25,MATCH(Q$2,RawData[#Headers],))="UPL",3,INDEX('Raw Data'!$A25:$EA25,MATCH(Q$2,RawData[#Headers],))))</f>
        <v xml:space="preserve"> </v>
      </c>
      <c r="R25" s="324" t="str">
        <f>IFERROR(STANDARDIZE(machina6[[#This Row],[Last Start Margin]],Q$30,Q$31)," ")</f>
        <v xml:space="preserve"> </v>
      </c>
      <c r="S25" s="326" t="str">
        <f t="shared" si="4"/>
        <v xml:space="preserve"> </v>
      </c>
      <c r="T25" s="326" t="str">
        <f>IF(INDEX('Raw Data'!$A25:$EA25,MATCH(T$2,RawData[#Headers],))=""," ",IF(INDEX('Raw Data'!$A25:$EA25,MATCH(T$2,RawData[#Headers],))="UPL",3,INDEX('Raw Data'!$A25:$EA25,MATCH(T$2,RawData[#Headers],))))</f>
        <v xml:space="preserve"> </v>
      </c>
      <c r="U25" s="324" t="str">
        <f>IFERROR(STANDARDIZE(machina6[[#This Row],[Last Start Distance Change]],T$30,T$31)," ")</f>
        <v xml:space="preserve"> </v>
      </c>
      <c r="V25" s="326" t="str">
        <f t="shared" si="5"/>
        <v xml:space="preserve"> </v>
      </c>
      <c r="W25" s="318" t="str">
        <f>IF(INDEX('Raw Data'!$A25:$EA25,MATCH(W$2,RawData[#Headers],))=""," ",IF(INDEX('Raw Data'!$A25:$EA25,MATCH(W$2,RawData[#Headers],))="UPL",3,INDEX('Raw Data'!$A25:$EA25,MATCH(W$2,RawData[#Headers],))))</f>
        <v xml:space="preserve"> </v>
      </c>
      <c r="X25" s="324" t="str">
        <f>IFERROR(STANDARDIZE(machina6[[#This Row],[Last Start Prize Money]],W$30,W$31)," ")</f>
        <v xml:space="preserve"> </v>
      </c>
      <c r="Y25" s="326" t="str">
        <f t="shared" si="6"/>
        <v xml:space="preserve"> </v>
      </c>
      <c r="Z25" s="326" t="str">
        <f>IF(INDEX('Raw Data'!$A25:$EA25,MATCH(Z$2,RawData[#Headers],))=""," ",IF(INDEX('Raw Data'!$A25:$EA25,MATCH(Z$2,RawData[#Headers],))="UPL",3,INDEX('Raw Data'!$A25:$EA25,MATCH(Z$2,RawData[#Headers],))))</f>
        <v xml:space="preserve"> </v>
      </c>
      <c r="AA25" s="324" t="str">
        <f t="shared" si="7"/>
        <v xml:space="preserve"> </v>
      </c>
      <c r="AB25" s="326" t="str">
        <f t="shared" si="8"/>
        <v xml:space="preserve"> </v>
      </c>
      <c r="AC25" s="326" t="str">
        <f>IF(INDEX('Raw Data'!$A25:$EA25,MATCH(AC$2,RawData[#Headers],))=""," ",IF(INDEX('Raw Data'!$A25:$EA25,MATCH(AC$2,RawData[#Headers],))="UPL",3,INDEX('Raw Data'!$A25:$EA25,MATCH(AC$2,RawData[#Headers],))))</f>
        <v xml:space="preserve"> </v>
      </c>
      <c r="AD25" s="324" t="str">
        <f t="shared" si="9"/>
        <v xml:space="preserve"> </v>
      </c>
      <c r="AE25" s="326" t="str">
        <f t="shared" si="10"/>
        <v xml:space="preserve"> </v>
      </c>
      <c r="AF25" s="408" t="str">
        <f>IFERROR(VLOOKUP(A25,Results!$A$3:$DY$29,129,FALSE)," ")</f>
        <v xml:space="preserve"> </v>
      </c>
      <c r="AG25" s="408" t="str">
        <f>IFERROR(VLOOKUP(A25,Results!$A$3:$DY$29,129,FALSE)," ")</f>
        <v xml:space="preserve"> </v>
      </c>
      <c r="AH25" s="408" t="str">
        <f>IF($A25=0," ",SUM(machina6[[#This Row],[PICK 1]:[PICK 3]]))</f>
        <v xml:space="preserve"> </v>
      </c>
      <c r="AI25" s="408" t="str">
        <f>IF(machina6[[#This Row],[Num]]=0," ",IFERROR(RANK(AH25,AH$3:AH$27,0)," "))</f>
        <v xml:space="preserve"> </v>
      </c>
      <c r="AJ25" s="408" t="str">
        <f t="shared" si="13"/>
        <v xml:space="preserve"> </v>
      </c>
      <c r="AK25" s="408" t="str">
        <f t="shared" si="11"/>
        <v xml:space="preserve"> </v>
      </c>
      <c r="AL25" s="408" t="str">
        <f t="shared" si="14"/>
        <v xml:space="preserve"> </v>
      </c>
      <c r="AM25" s="408" t="str">
        <f>IF($A25=0," ",IF(machina6[[#This Row],[QUART]]&lt;=$G$34,1," "))</f>
        <v xml:space="preserve"> </v>
      </c>
      <c r="AN25" s="408" t="str">
        <f>IF($A25=0," ",RANK(machina6[[#This Row],[QUART]],machina6[QUART],1))</f>
        <v xml:space="preserve"> </v>
      </c>
      <c r="AO25" s="408" t="str">
        <f t="shared" si="12"/>
        <v xml:space="preserve"> </v>
      </c>
      <c r="AP25" s="408"/>
    </row>
    <row r="26" spans="1:42" x14ac:dyDescent="0.3">
      <c r="A26" s="326">
        <f>RawData[[#This Row],[Num]]</f>
        <v>0</v>
      </c>
      <c r="C26" s="324"/>
      <c r="E26" s="326" t="str">
        <f>IF(INDEX('Raw Data'!$A26:$EA26,MATCH(E$2,RawData[#Headers],))=""," ",IF(INDEX('Raw Data'!$A26:$EA26,MATCH(E$2,RawData[#Headers],))="UPL",3,INDEX('Raw Data'!$A26:$EA26,MATCH(E$2,RawData[#Headers],))))</f>
        <v xml:space="preserve"> </v>
      </c>
      <c r="F26" s="324" t="str">
        <f>IFERROR(STANDARDIZE(machina6[[#This Row],[Best Fixed Odds]],E$30,E$31)," ")</f>
        <v xml:space="preserve"> </v>
      </c>
      <c r="G26" s="326" t="str">
        <f t="shared" si="0"/>
        <v xml:space="preserve"> </v>
      </c>
      <c r="H26" s="326" t="str">
        <f>IF(INDEX('Raw Data'!$A26:$EA26,MATCH(H$2,RawData[#Headers],))=""," ",IF(INDEX('Raw Data'!$A26:$EA26,MATCH(H$2,RawData[#Headers],))="UPL",3,INDEX('Raw Data'!$A26:$EA26,MATCH(H$2,RawData[#Headers],))))</f>
        <v xml:space="preserve"> </v>
      </c>
      <c r="I26" s="324" t="str">
        <f>IFERROR(STANDARDIZE(machina6[[#This Row],[This Distance Runs]],H$30,H$31)," ")</f>
        <v xml:space="preserve"> </v>
      </c>
      <c r="J26" s="326" t="str">
        <f t="shared" si="1"/>
        <v xml:space="preserve"> </v>
      </c>
      <c r="K26" s="318" t="str">
        <f>IF(INDEX('Raw Data'!$A26:$EA26,MATCH(K$2,RawData[#Headers],))=""," ",IF(INDEX('Raw Data'!$A26:$EA26,MATCH(K$2,RawData[#Headers],))="UPL",3,INDEX('Raw Data'!$A26:$EA26,MATCH(K$2,RawData[#Headers],))))</f>
        <v xml:space="preserve"> </v>
      </c>
      <c r="L26" s="324" t="str">
        <f>IFERROR(STANDARDIZE(machina6[[#This Row],[Jockey Last 100 Horse Earnings]],K$30,K$31)," ")</f>
        <v xml:space="preserve"> </v>
      </c>
      <c r="M26" s="326" t="str">
        <f t="shared" si="2"/>
        <v xml:space="preserve"> </v>
      </c>
      <c r="N26" s="326" t="str">
        <f>IF(INDEX('Raw Data'!$A26:$EA26,MATCH(N$2,RawData[#Headers],))=""," ",IF(INDEX('Raw Data'!$A26:$EA26,MATCH(N$2,RawData[#Headers],))="UPL",1,INDEX('Raw Data'!$A26:$EA26,MATCH(N$2,RawData[#Headers],))))</f>
        <v xml:space="preserve"> </v>
      </c>
      <c r="O26" s="324" t="str">
        <f>IFERROR(STANDARDIZE(machina6[[#This Row],[Last Start Finish Position]],N$30,N$31)," ")</f>
        <v xml:space="preserve"> </v>
      </c>
      <c r="P26" s="326" t="str">
        <f t="shared" si="3"/>
        <v xml:space="preserve"> </v>
      </c>
      <c r="Q26" s="326" t="str">
        <f>IF(INDEX('Raw Data'!$A26:$EA26,MATCH(Q$2,RawData[#Headers],))=""," ",IF(INDEX('Raw Data'!$A26:$EA26,MATCH(Q$2,RawData[#Headers],))="UPL",3,INDEX('Raw Data'!$A26:$EA26,MATCH(Q$2,RawData[#Headers],))))</f>
        <v xml:space="preserve"> </v>
      </c>
      <c r="R26" s="324" t="str">
        <f>IFERROR(STANDARDIZE(machina6[[#This Row],[Last Start Margin]],Q$30,Q$31)," ")</f>
        <v xml:space="preserve"> </v>
      </c>
      <c r="S26" s="326" t="str">
        <f t="shared" si="4"/>
        <v xml:space="preserve"> </v>
      </c>
      <c r="T26" s="326" t="str">
        <f>IF(INDEX('Raw Data'!$A26:$EA26,MATCH(T$2,RawData[#Headers],))=""," ",IF(INDEX('Raw Data'!$A26:$EA26,MATCH(T$2,RawData[#Headers],))="UPL",3,INDEX('Raw Data'!$A26:$EA26,MATCH(T$2,RawData[#Headers],))))</f>
        <v xml:space="preserve"> </v>
      </c>
      <c r="U26" s="324" t="str">
        <f>IFERROR(STANDARDIZE(machina6[[#This Row],[Last Start Distance Change]],T$30,T$31)," ")</f>
        <v xml:space="preserve"> </v>
      </c>
      <c r="V26" s="326" t="str">
        <f t="shared" si="5"/>
        <v xml:space="preserve"> </v>
      </c>
      <c r="W26" s="318" t="str">
        <f>IF(INDEX('Raw Data'!$A26:$EA26,MATCH(W$2,RawData[#Headers],))=""," ",IF(INDEX('Raw Data'!$A26:$EA26,MATCH(W$2,RawData[#Headers],))="UPL",3,INDEX('Raw Data'!$A26:$EA26,MATCH(W$2,RawData[#Headers],))))</f>
        <v xml:space="preserve"> </v>
      </c>
      <c r="X26" s="324" t="str">
        <f>IFERROR(STANDARDIZE(machina6[[#This Row],[Last Start Prize Money]],W$30,W$31)," ")</f>
        <v xml:space="preserve"> </v>
      </c>
      <c r="Y26" s="326" t="str">
        <f t="shared" si="6"/>
        <v xml:space="preserve"> </v>
      </c>
      <c r="Z26" s="326" t="str">
        <f>IF(INDEX('Raw Data'!$A26:$EA26,MATCH(Z$2,RawData[#Headers],))=""," ",IF(INDEX('Raw Data'!$A26:$EA26,MATCH(Z$2,RawData[#Headers],))="UPL",3,INDEX('Raw Data'!$A26:$EA26,MATCH(Z$2,RawData[#Headers],))))</f>
        <v xml:space="preserve"> </v>
      </c>
      <c r="AA26" s="324" t="str">
        <f t="shared" si="7"/>
        <v xml:space="preserve"> </v>
      </c>
      <c r="AB26" s="326" t="str">
        <f t="shared" si="8"/>
        <v xml:space="preserve"> </v>
      </c>
      <c r="AC26" s="326" t="str">
        <f>IF(INDEX('Raw Data'!$A26:$EA26,MATCH(AC$2,RawData[#Headers],))=""," ",IF(INDEX('Raw Data'!$A26:$EA26,MATCH(AC$2,RawData[#Headers],))="UPL",3,INDEX('Raw Data'!$A26:$EA26,MATCH(AC$2,RawData[#Headers],))))</f>
        <v xml:space="preserve"> </v>
      </c>
      <c r="AD26" s="324" t="str">
        <f t="shared" si="9"/>
        <v xml:space="preserve"> </v>
      </c>
      <c r="AE26" s="326" t="str">
        <f t="shared" si="10"/>
        <v xml:space="preserve"> </v>
      </c>
      <c r="AF26" s="408" t="str">
        <f>IFERROR(VLOOKUP(A26,Results!$A$3:$DY$29,129,FALSE)," ")</f>
        <v xml:space="preserve"> </v>
      </c>
      <c r="AG26" s="408" t="str">
        <f>IFERROR(VLOOKUP(A26,Results!$A$3:$DY$29,129,FALSE)," ")</f>
        <v xml:space="preserve"> </v>
      </c>
      <c r="AH26" s="408" t="str">
        <f>IF($A26=0," ",SUM(machina6[[#This Row],[PICK 1]:[PICK 3]]))</f>
        <v xml:space="preserve"> </v>
      </c>
      <c r="AI26" s="408" t="str">
        <f>IF(machina6[[#This Row],[Num]]=0," ",IFERROR(RANK(AH26,AH$3:AH$27,0)," "))</f>
        <v xml:space="preserve"> </v>
      </c>
      <c r="AJ26" s="408" t="str">
        <f t="shared" si="13"/>
        <v xml:space="preserve"> </v>
      </c>
      <c r="AK26" s="408" t="str">
        <f t="shared" si="11"/>
        <v xml:space="preserve"> </v>
      </c>
      <c r="AL26" s="408" t="str">
        <f t="shared" si="14"/>
        <v xml:space="preserve"> </v>
      </c>
      <c r="AM26" s="408" t="str">
        <f>IF($A26=0," ",IF(machina6[[#This Row],[QUART]]&lt;=$G$34,1," "))</f>
        <v xml:space="preserve"> </v>
      </c>
      <c r="AN26" s="408" t="str">
        <f>IF($A26=0," ",RANK(machina6[[#This Row],[QUART]],machina6[QUART],1))</f>
        <v xml:space="preserve"> </v>
      </c>
      <c r="AO26" s="408" t="str">
        <f t="shared" si="12"/>
        <v xml:space="preserve"> </v>
      </c>
      <c r="AP26" s="408"/>
    </row>
    <row r="27" spans="1:42" x14ac:dyDescent="0.3">
      <c r="A27" s="326">
        <f>RawData[[#This Row],[Num]]</f>
        <v>0</v>
      </c>
      <c r="C27" s="324"/>
      <c r="E27" s="326" t="str">
        <f>IF(INDEX('Raw Data'!$A27:$EA27,MATCH(E$2,RawData[#Headers],))=""," ",IF(INDEX('Raw Data'!$A27:$EA27,MATCH(E$2,RawData[#Headers],))="UPL",3,INDEX('Raw Data'!$A27:$EA27,MATCH(E$2,RawData[#Headers],))))</f>
        <v xml:space="preserve"> </v>
      </c>
      <c r="F27" s="324" t="str">
        <f>IFERROR(STANDARDIZE(machina6[[#This Row],[Best Fixed Odds]],E$30,E$31)," ")</f>
        <v xml:space="preserve"> </v>
      </c>
      <c r="G27" s="326" t="str">
        <f t="shared" si="0"/>
        <v xml:space="preserve"> </v>
      </c>
      <c r="H27" s="326" t="str">
        <f>IF(INDEX('Raw Data'!$A27:$EA27,MATCH(H$2,RawData[#Headers],))=""," ",IF(INDEX('Raw Data'!$A27:$EA27,MATCH(H$2,RawData[#Headers],))="UPL",3,INDEX('Raw Data'!$A27:$EA27,MATCH(H$2,RawData[#Headers],))))</f>
        <v xml:space="preserve"> </v>
      </c>
      <c r="I27" s="324" t="str">
        <f>IFERROR(STANDARDIZE(machina6[[#This Row],[This Distance Runs]],H$30,H$31)," ")</f>
        <v xml:space="preserve"> </v>
      </c>
      <c r="J27" s="326" t="str">
        <f t="shared" si="1"/>
        <v xml:space="preserve"> </v>
      </c>
      <c r="K27" s="318" t="str">
        <f>IF(INDEX('Raw Data'!$A27:$EA27,MATCH(K$2,RawData[#Headers],))=""," ",IF(INDEX('Raw Data'!$A27:$EA27,MATCH(K$2,RawData[#Headers],))="UPL",3,INDEX('Raw Data'!$A27:$EA27,MATCH(K$2,RawData[#Headers],))))</f>
        <v xml:space="preserve"> </v>
      </c>
      <c r="L27" s="324" t="str">
        <f>IFERROR(STANDARDIZE(machina6[[#This Row],[Jockey Last 100 Horse Earnings]],K$30,K$31)," ")</f>
        <v xml:space="preserve"> </v>
      </c>
      <c r="M27" s="326" t="str">
        <f t="shared" si="2"/>
        <v xml:space="preserve"> </v>
      </c>
      <c r="N27" s="326" t="str">
        <f>IF(INDEX('Raw Data'!$A27:$EA27,MATCH(N$2,RawData[#Headers],))=""," ",IF(INDEX('Raw Data'!$A27:$EA27,MATCH(N$2,RawData[#Headers],))="UPL",1,INDEX('Raw Data'!$A27:$EA27,MATCH(N$2,RawData[#Headers],))))</f>
        <v xml:space="preserve"> </v>
      </c>
      <c r="O27" s="324" t="str">
        <f>IFERROR(STANDARDIZE(machina6[[#This Row],[Last Start Finish Position]],N$30,N$31)," ")</f>
        <v xml:space="preserve"> </v>
      </c>
      <c r="P27" s="326" t="str">
        <f t="shared" si="3"/>
        <v xml:space="preserve"> </v>
      </c>
      <c r="Q27" s="326" t="str">
        <f>IF(INDEX('Raw Data'!$A27:$EA27,MATCH(Q$2,RawData[#Headers],))=""," ",IF(INDEX('Raw Data'!$A27:$EA27,MATCH(Q$2,RawData[#Headers],))="UPL",3,INDEX('Raw Data'!$A27:$EA27,MATCH(Q$2,RawData[#Headers],))))</f>
        <v xml:space="preserve"> </v>
      </c>
      <c r="R27" s="324" t="str">
        <f>IFERROR(STANDARDIZE(machina6[[#This Row],[Last Start Margin]],Q$30,Q$31)," ")</f>
        <v xml:space="preserve"> </v>
      </c>
      <c r="S27" s="326" t="str">
        <f t="shared" si="4"/>
        <v xml:space="preserve"> </v>
      </c>
      <c r="T27" s="326" t="str">
        <f>IF(INDEX('Raw Data'!$A27:$EA27,MATCH(T$2,RawData[#Headers],))=""," ",IF(INDEX('Raw Data'!$A27:$EA27,MATCH(T$2,RawData[#Headers],))="UPL",3,INDEX('Raw Data'!$A27:$EA27,MATCH(T$2,RawData[#Headers],))))</f>
        <v xml:space="preserve"> </v>
      </c>
      <c r="U27" s="324" t="str">
        <f>IFERROR(STANDARDIZE(machina6[[#This Row],[Last Start Distance Change]],T$30,T$31)," ")</f>
        <v xml:space="preserve"> </v>
      </c>
      <c r="V27" s="326" t="str">
        <f t="shared" si="5"/>
        <v xml:space="preserve"> </v>
      </c>
      <c r="W27" s="318" t="str">
        <f>IF(INDEX('Raw Data'!$A27:$EA27,MATCH(W$2,RawData[#Headers],))=""," ",IF(INDEX('Raw Data'!$A27:$EA27,MATCH(W$2,RawData[#Headers],))="UPL",3,INDEX('Raw Data'!$A27:$EA27,MATCH(W$2,RawData[#Headers],))))</f>
        <v xml:space="preserve"> </v>
      </c>
      <c r="X27" s="324" t="str">
        <f>IFERROR(STANDARDIZE(machina6[[#This Row],[Last Start Prize Money]],W$30,W$31)," ")</f>
        <v xml:space="preserve"> </v>
      </c>
      <c r="Y27" s="326" t="str">
        <f t="shared" si="6"/>
        <v xml:space="preserve"> </v>
      </c>
      <c r="Z27" s="326" t="str">
        <f>IF(INDEX('Raw Data'!$A27:$EA27,MATCH(Z$2,RawData[#Headers],))=""," ",IF(INDEX('Raw Data'!$A27:$EA27,MATCH(Z$2,RawData[#Headers],))="UPL",3,INDEX('Raw Data'!$A27:$EA27,MATCH(Z$2,RawData[#Headers],))))</f>
        <v xml:space="preserve"> </v>
      </c>
      <c r="AA27" s="324" t="str">
        <f t="shared" si="7"/>
        <v xml:space="preserve"> </v>
      </c>
      <c r="AB27" s="326" t="str">
        <f t="shared" si="8"/>
        <v xml:space="preserve"> </v>
      </c>
      <c r="AC27" s="326" t="str">
        <f>IF(INDEX('Raw Data'!$A27:$EA27,MATCH(AC$2,RawData[#Headers],))=""," ",IF(INDEX('Raw Data'!$A27:$EA27,MATCH(AC$2,RawData[#Headers],))="UPL",3,INDEX('Raw Data'!$A27:$EA27,MATCH(AC$2,RawData[#Headers],))))</f>
        <v xml:space="preserve"> </v>
      </c>
      <c r="AD27" s="324" t="str">
        <f t="shared" si="9"/>
        <v xml:space="preserve"> </v>
      </c>
      <c r="AE27" s="326" t="str">
        <f t="shared" si="10"/>
        <v xml:space="preserve"> </v>
      </c>
      <c r="AF27" s="408" t="str">
        <f>IFERROR(VLOOKUP(A27,Results!$A$3:$DY$29,129,FALSE)," ")</f>
        <v xml:space="preserve"> </v>
      </c>
      <c r="AG27" s="408" t="str">
        <f>IFERROR(VLOOKUP(A27,Results!$A$3:$DY$29,129,FALSE)," ")</f>
        <v xml:space="preserve"> </v>
      </c>
      <c r="AH27" s="408" t="str">
        <f>IF($A27=0," ",SUM(machina6[[#This Row],[PICK 1]:[PICK 3]]))</f>
        <v xml:space="preserve"> </v>
      </c>
      <c r="AI27" s="408" t="str">
        <f>IF(machina6[[#This Row],[Num]]=0," ",IFERROR(RANK(AH27,AH$3:AH$27,0)," "))</f>
        <v xml:space="preserve"> </v>
      </c>
      <c r="AJ27" s="408" t="str">
        <f t="shared" si="13"/>
        <v xml:space="preserve"> </v>
      </c>
      <c r="AK27" s="408" t="str">
        <f t="shared" si="11"/>
        <v xml:space="preserve"> </v>
      </c>
      <c r="AL27" s="408" t="str">
        <f t="shared" si="14"/>
        <v xml:space="preserve"> </v>
      </c>
      <c r="AM27" s="408" t="str">
        <f>IF($A27=0," ",IF(machina6[[#This Row],[QUART]]&lt;=$G$34,1," "))</f>
        <v xml:space="preserve"> </v>
      </c>
      <c r="AN27" s="408" t="str">
        <f>IF($A27=0," ",RANK(machina6[[#This Row],[QUART]],machina6[QUART],1))</f>
        <v xml:space="preserve"> </v>
      </c>
      <c r="AO27" s="408" t="str">
        <f t="shared" si="12"/>
        <v xml:space="preserve"> </v>
      </c>
      <c r="AP27" s="408"/>
    </row>
    <row r="28" spans="1:42" x14ac:dyDescent="0.3">
      <c r="A28" s="326">
        <f>RawData[[#This Row],[Num]]</f>
        <v>0</v>
      </c>
      <c r="D28" s="324"/>
      <c r="E28" s="326" t="str">
        <f>IF(INDEX('Raw Data'!$A28:$EA28,MATCH(E$2,RawData[#Headers],))=""," ",IF(INDEX('Raw Data'!$A28:$EA28,MATCH(E$2,RawData[#Headers],))="UPL",3,INDEX('Raw Data'!$A28:$EA28,MATCH(E$2,RawData[#Headers],))))</f>
        <v xml:space="preserve"> </v>
      </c>
      <c r="F28" s="324" t="str">
        <f>IFERROR(STANDARDIZE(machina6[[#This Row],[Best Fixed Odds]],E$30,E$31)," ")</f>
        <v xml:space="preserve"> </v>
      </c>
      <c r="G28" s="324" t="str">
        <f t="shared" si="0"/>
        <v xml:space="preserve"> </v>
      </c>
      <c r="H28" s="326" t="str">
        <f>IF(INDEX('Raw Data'!$A28:$EA28,MATCH(H$2,RawData[#Headers],))=""," ",IF(INDEX('Raw Data'!$A28:$EA28,MATCH(H$2,RawData[#Headers],))="UPL",3,INDEX('Raw Data'!$A28:$EA28,MATCH(H$2,RawData[#Headers],))))</f>
        <v xml:space="preserve"> </v>
      </c>
      <c r="I28" s="324" t="str">
        <f>IFERROR(STANDARDIZE(machina6[[#This Row],[This Distance Runs]],H$30,H$31)," ")</f>
        <v xml:space="preserve"> </v>
      </c>
      <c r="J28" s="324" t="str">
        <f t="shared" si="1"/>
        <v xml:space="preserve"> </v>
      </c>
      <c r="K28" s="318" t="str">
        <f>IF(INDEX('Raw Data'!$A28:$EA28,MATCH(K$2,RawData[#Headers],))=""," ",IF(INDEX('Raw Data'!$A28:$EA28,MATCH(K$2,RawData[#Headers],))="UPL",3,INDEX('Raw Data'!$A28:$EA28,MATCH(K$2,RawData[#Headers],))))</f>
        <v xml:space="preserve"> </v>
      </c>
      <c r="L28" s="324" t="str">
        <f>IFERROR(STANDARDIZE(machina6[[#This Row],[Jockey Last 100 Horse Earnings]],K$30,K$31)," ")</f>
        <v xml:space="preserve"> </v>
      </c>
      <c r="M28" s="324" t="str">
        <f t="shared" si="2"/>
        <v xml:space="preserve"> </v>
      </c>
      <c r="N28" s="326" t="str">
        <f>IF(INDEX('Raw Data'!$A28:$EA28,MATCH(N$2,RawData[#Headers],))=""," ",IF(INDEX('Raw Data'!$A28:$EA28,MATCH(N$2,RawData[#Headers],))="UPL",1,INDEX('Raw Data'!$A28:$EA28,MATCH(N$2,RawData[#Headers],))))</f>
        <v xml:space="preserve"> </v>
      </c>
      <c r="O28" s="324" t="str">
        <f>IFERROR(STANDARDIZE(machina6[[#This Row],[Last Start Finish Position]],N$30,N$31)," ")</f>
        <v xml:space="preserve"> </v>
      </c>
      <c r="P28" s="324" t="str">
        <f t="shared" si="3"/>
        <v xml:space="preserve"> </v>
      </c>
      <c r="Q28" s="326" t="str">
        <f>IF(INDEX('Raw Data'!$A28:$EA28,MATCH(Q$2,RawData[#Headers],))=""," ",IF(INDEX('Raw Data'!$A28:$EA28,MATCH(Q$2,RawData[#Headers],))="UPL",3,INDEX('Raw Data'!$A28:$EA28,MATCH(Q$2,RawData[#Headers],))))</f>
        <v xml:space="preserve"> </v>
      </c>
      <c r="R28" s="324" t="str">
        <f>IFERROR(STANDARDIZE(machina6[[#This Row],[Last Start Margin]],Q$30,Q$31)," ")</f>
        <v xml:space="preserve"> </v>
      </c>
      <c r="S28" s="324" t="str">
        <f t="shared" si="4"/>
        <v xml:space="preserve"> </v>
      </c>
      <c r="T28" s="326" t="str">
        <f>IF(INDEX('Raw Data'!$A28:$EA28,MATCH(T$2,RawData[#Headers],))=""," ",IF(INDEX('Raw Data'!$A28:$EA28,MATCH(T$2,RawData[#Headers],))="UPL",3,INDEX('Raw Data'!$A28:$EA28,MATCH(T$2,RawData[#Headers],))))</f>
        <v xml:space="preserve"> </v>
      </c>
      <c r="U28" s="324" t="str">
        <f>IFERROR(STANDARDIZE(machina6[[#This Row],[Last Start Distance Change]],T$30,T$31)," ")</f>
        <v xml:space="preserve"> </v>
      </c>
      <c r="V28" s="324" t="str">
        <f t="shared" si="5"/>
        <v xml:space="preserve"> </v>
      </c>
      <c r="W28" s="326" t="str">
        <f>IF(INDEX('Raw Data'!$A28:$EA28,MATCH(W$2,RawData[#Headers],))=""," ",IF(INDEX('Raw Data'!$A28:$EA28,MATCH(W$2,RawData[#Headers],))="UPL",3,INDEX('Raw Data'!$A28:$EA28,MATCH(W$2,RawData[#Headers],))))</f>
        <v xml:space="preserve"> </v>
      </c>
      <c r="X28" s="324" t="str">
        <f>IFERROR(STANDARDIZE(machina6[[#This Row],[Last Start Prize Money]],W$30,W$31)," ")</f>
        <v xml:space="preserve"> </v>
      </c>
      <c r="Y28" s="324" t="str">
        <f t="shared" si="6"/>
        <v xml:space="preserve"> </v>
      </c>
      <c r="Z28" s="324" t="str">
        <f>IF(INDEX('Raw Data'!$A28:$EA28,MATCH(Z$2,RawData[#Headers],))=""," ",IF(INDEX('Raw Data'!$A28:$EA28,MATCH(Z$2,RawData[#Headers],))="UPL",3,INDEX('Raw Data'!$A28:$EA28,MATCH(Z$2,RawData[#Headers],))))</f>
        <v xml:space="preserve"> </v>
      </c>
      <c r="AA28" s="324" t="str">
        <f t="shared" si="7"/>
        <v xml:space="preserve"> </v>
      </c>
      <c r="AB28" s="324" t="str">
        <f t="shared" si="8"/>
        <v xml:space="preserve"> </v>
      </c>
      <c r="AC28" s="324" t="str">
        <f>IF(INDEX('Raw Data'!$A28:$EA28,MATCH(AC$2,RawData[#Headers],))=""," ",IF(INDEX('Raw Data'!$A28:$EA28,MATCH(AC$2,RawData[#Headers],))="UPL",3,INDEX('Raw Data'!$A28:$EA28,MATCH(AC$2,RawData[#Headers],))))</f>
        <v xml:space="preserve"> </v>
      </c>
      <c r="AD28" s="324" t="str">
        <f t="shared" si="9"/>
        <v xml:space="preserve"> </v>
      </c>
      <c r="AE28" s="324" t="str">
        <f t="shared" si="10"/>
        <v xml:space="preserve"> </v>
      </c>
      <c r="AF28" s="408" t="str">
        <f>IFERROR(VLOOKUP(A28,Results!$A$3:$DY$29,129,FALSE)," ")</f>
        <v xml:space="preserve"> </v>
      </c>
      <c r="AG28" s="408" t="str">
        <f>IFERROR(VLOOKUP(A28,Results!$A$3:$DY$29,129,FALSE)," ")</f>
        <v xml:space="preserve"> </v>
      </c>
      <c r="AH28" s="408" t="str">
        <f>IF($A28=0," ",SUM(machina6[[#This Row],[PICK 1]:[PICK 3]]))</f>
        <v xml:space="preserve"> </v>
      </c>
      <c r="AI28" s="408" t="str">
        <f>IF(machina6[[#This Row],[Num]]=0," ",IFERROR(RANK(AH28,AH$3:AH$27,0)," "))</f>
        <v xml:space="preserve"> </v>
      </c>
      <c r="AJ28" s="408" t="str">
        <f t="shared" si="13"/>
        <v xml:space="preserve"> </v>
      </c>
      <c r="AK28" s="408" t="str">
        <f t="shared" si="11"/>
        <v xml:space="preserve"> </v>
      </c>
      <c r="AL28" s="408" t="str">
        <f t="shared" si="14"/>
        <v xml:space="preserve"> </v>
      </c>
      <c r="AM28" s="408" t="str">
        <f>IF($A28=0," ",IF(machina6[[#This Row],[QUART]]&lt;=$G$34,1," "))</f>
        <v xml:space="preserve"> </v>
      </c>
      <c r="AN28" s="408" t="str">
        <f>IF($A28=0," ",RANK(machina6[[#This Row],[QUART]],machina6[QUART],1))</f>
        <v xml:space="preserve"> </v>
      </c>
      <c r="AO28" s="408" t="str">
        <f t="shared" si="12"/>
        <v xml:space="preserve"> </v>
      </c>
      <c r="AP28" s="408"/>
    </row>
    <row r="30" spans="1:42" ht="15.6" x14ac:dyDescent="0.3">
      <c r="A30" s="128" t="s">
        <v>230</v>
      </c>
      <c r="B30" s="111"/>
      <c r="C30" s="111"/>
      <c r="D30" s="111"/>
      <c r="E30" s="111">
        <f>AVERAGE(E$3:E$28)</f>
        <v>12.543749999999999</v>
      </c>
      <c r="F30" s="389">
        <f>IFERROR(IF(F32=$E$34,E31/E30," "),0)</f>
        <v>0.62181543279015705</v>
      </c>
      <c r="G30" s="407" t="str">
        <f>IF(G$31&lt;$E$35,0,IF(_xlfn.STDEV.P(G3:G27)=$C$31,_xlfn.STDEV.P(G3:G27)," "))</f>
        <v xml:space="preserve"> </v>
      </c>
      <c r="H30" s="111">
        <f>AVERAGE(H$3:H$28)</f>
        <v>4.375</v>
      </c>
      <c r="I30" s="389" t="str">
        <f>IFERROR(IF(I32=$E$34,H31/H30," "),0)</f>
        <v xml:space="preserve"> </v>
      </c>
      <c r="J30" s="407">
        <f>IF(J$31&lt;$E$35,0,IF(_xlfn.STDEV.P(J3:J27)=$C$31,_xlfn.STDEV.P(J3:J27)," "))</f>
        <v>0</v>
      </c>
      <c r="K30" s="111">
        <f>AVERAGE(K$3:K$28)</f>
        <v>184283.875</v>
      </c>
      <c r="L30" s="389">
        <f>IFERROR(IF(L32=$E$34,K31/K30," "),0)</f>
        <v>0.40404568739959407</v>
      </c>
      <c r="M30" s="407">
        <f>IF(M$31&lt;$E$35,0,IF(_xlfn.STDEV.P(M3:M27)=$C$31,_xlfn.STDEV.P(M3:M27)," "))</f>
        <v>2.2912878474779199</v>
      </c>
      <c r="N30" s="111">
        <f>AVERAGE(N$3:N$28)</f>
        <v>5.25</v>
      </c>
      <c r="O30" s="389">
        <f>IFERROR(IF(O32=$E$34,N31/N30," "),0)</f>
        <v>0.48328055071867709</v>
      </c>
      <c r="P30" s="407" t="str">
        <f>IF(P$31&lt;$E$35,0,IF(_xlfn.STDEV.P(P3:P27)=$C$31,_xlfn.STDEV.P(P3:P27)," "))</f>
        <v xml:space="preserve"> </v>
      </c>
      <c r="Q30" s="111">
        <f>AVERAGE(Q$3:Q$28)</f>
        <v>3.9</v>
      </c>
      <c r="R30" s="389">
        <f>IFERROR(IF(R32=$E$34,Q31/Q30," "),0)</f>
        <v>0.57581803000756093</v>
      </c>
      <c r="S30" s="407">
        <f>IF(S$31&lt;$E$35,0,IF(_xlfn.STDEV.P(S3:S27)=$C$31,_xlfn.STDEV.P(S3:S27)," "))</f>
        <v>2.2912878474779199</v>
      </c>
      <c r="T30" s="111">
        <f>AVERAGE(T$3:T$28)</f>
        <v>197.5</v>
      </c>
      <c r="U30" s="389" t="str">
        <f>IFERROR(IF(U32=$E$34,T31/T30," "),0)</f>
        <v xml:space="preserve"> </v>
      </c>
      <c r="V30" s="407">
        <f>IF(V$31&lt;$E$35,0,IF(_xlfn.STDEV.P(V3:V27)=$C$31,_xlfn.STDEV.P(V3:V27)," "))</f>
        <v>0</v>
      </c>
      <c r="W30" s="111">
        <f>AVERAGE(W$3:W$28)</f>
        <v>7433.333333333333</v>
      </c>
      <c r="X30" s="389" t="str">
        <f>IFERROR(IF(X32=$E$34,W31/W30," "),0)</f>
        <v xml:space="preserve"> </v>
      </c>
      <c r="Y30" s="407">
        <f>IF(Y$31&lt;$E$35,0,IF(_xlfn.STDEV.P(Y3:Y27)=$C$31,_xlfn.STDEV.P(Y3:Y27)," "))</f>
        <v>0</v>
      </c>
      <c r="Z30" s="111">
        <f>AVERAGE(Z$3:Z$28)</f>
        <v>1.25</v>
      </c>
      <c r="AA30" s="389" t="str">
        <f>IFERROR(IF(AA32=$E$34,Z31/Z30," "),0)</f>
        <v xml:space="preserve"> </v>
      </c>
      <c r="AB30" s="407">
        <f>IF(AB$31&lt;$E$35,0,IF(_xlfn.STDEV.P(AB3:AB27)=$C$31,_xlfn.STDEV.P(AB3:AB27)," "))</f>
        <v>0</v>
      </c>
      <c r="AC30" s="111">
        <f>AVERAGE(AC$3:AC$28)</f>
        <v>0.125</v>
      </c>
      <c r="AD30" s="389" t="str">
        <f>IFERROR(IF(AD32=$E$34,AC31/AC30," "),0)</f>
        <v xml:space="preserve"> </v>
      </c>
      <c r="AE30" s="407">
        <f>IF(AE$31&lt;$E$35,0,IF(_xlfn.STDEV.P(AE3:AE27)=$C$31,_xlfn.STDEV.P(AE3:AE27)," "))</f>
        <v>0</v>
      </c>
    </row>
    <row r="31" spans="1:42" ht="15.6" x14ac:dyDescent="0.3">
      <c r="A31" s="128" t="s">
        <v>232</v>
      </c>
      <c r="B31" s="111"/>
      <c r="C31" s="111">
        <f>_xlfn.STDEV.P($I$35:$I$58)</f>
        <v>2.2912878474779199</v>
      </c>
      <c r="D31" s="111"/>
      <c r="E31" s="111">
        <f>_xlfn.STDEV.P(E$3:E$28)</f>
        <v>7.7998973350615319</v>
      </c>
      <c r="F31" s="389">
        <f>IF(AND(G$31=$E$34,G$30&lt;&gt;0,F$32=$E$34),ABS(KURT(F$3:F$28))," ")</f>
        <v>1.954055629073602</v>
      </c>
      <c r="G31" s="407">
        <f>COUNTIF(E$3:E$27,"&gt;0")</f>
        <v>8</v>
      </c>
      <c r="H31" s="111">
        <f>_xlfn.STDEV.P(H$3:H$28)</f>
        <v>3.5685256059050494</v>
      </c>
      <c r="I31" s="389" t="str">
        <f>IF(AND(J$31=$E$34,J$30&lt;&gt;0,I$32=$E$34),ABS(KURT(I$3:I$28))," ")</f>
        <v xml:space="preserve"> </v>
      </c>
      <c r="J31" s="407">
        <f>COUNTIF(H$3:H$27,"&gt;0")</f>
        <v>7</v>
      </c>
      <c r="K31" s="111">
        <f>_xlfn.STDEV.P(K$3:K$28)</f>
        <v>74459.104951035872</v>
      </c>
      <c r="L31" s="389">
        <f>IF(AND(M$31=$E$34,M$30&lt;&gt;0,L$32=$E$34),ABS(KURT(L$3:L$28))," ")</f>
        <v>3.4881996330889145</v>
      </c>
      <c r="M31" s="407">
        <f>COUNTIF(K$3:K$27,"&gt;0")</f>
        <v>8</v>
      </c>
      <c r="N31" s="111">
        <f>_xlfn.STDEV.P(N$3:N$28)</f>
        <v>2.5372228912730548</v>
      </c>
      <c r="O31" s="389">
        <f>IF(AND(P$31=$E$34,P$30&lt;&gt;0,O$32=$E$34),ABS(KURT(O$3:O$28))," ")</f>
        <v>1.647959279856726</v>
      </c>
      <c r="P31" s="407">
        <f>COUNTIF(N$3:N$27,"&gt;0")</f>
        <v>8</v>
      </c>
      <c r="Q31" s="111">
        <f>_xlfn.STDEV.P(Q$3:Q$28)</f>
        <v>2.2456903170294877</v>
      </c>
      <c r="R31" s="389">
        <f>IF(AND(S$31=$E$34,S$30&lt;&gt;0,R$32=$E$34),ABS(KURT(R$3:R$28))," ")</f>
        <v>2.883418203888108</v>
      </c>
      <c r="S31" s="407">
        <f>COUNTIF(Q$3:Q$27,"&gt;0")</f>
        <v>8</v>
      </c>
      <c r="T31" s="111">
        <f>_xlfn.STDEV.P(T$3:T$28)</f>
        <v>123.2629303562105</v>
      </c>
      <c r="U31" s="389" t="str">
        <f>IF(AND(V$31=$E$34,V$30&lt;&gt;0,U$32=$E$34),ABS(KURT(U$3:U$28))," ")</f>
        <v xml:space="preserve"> </v>
      </c>
      <c r="V31" s="407">
        <f>COUNTIF(T$3:T$27,"&gt;0")</f>
        <v>7</v>
      </c>
      <c r="W31" s="111">
        <f>_xlfn.STDEV.P(W$3:W$28)</f>
        <v>8893.5682127903838</v>
      </c>
      <c r="X31" s="389" t="str">
        <f>IF(AND(Y$31=$E$34,Y$30&lt;&gt;0,X$32=$E$34),ABS(KURT(X$3:X$28))," ")</f>
        <v xml:space="preserve"> </v>
      </c>
      <c r="Y31" s="407">
        <f>COUNTIF(W$3:W$27,"&gt;0")</f>
        <v>3</v>
      </c>
      <c r="Z31" s="111">
        <f>_xlfn.STDEV.P(Z$3:Z$28)</f>
        <v>0.96824583655185426</v>
      </c>
      <c r="AA31" s="389" t="str">
        <f>IF(AND(AB$31=$E$34,AB$30&lt;&gt;0,AA$32=$E$34),ABS(KURT(AA$3:AA$28))," ")</f>
        <v xml:space="preserve"> </v>
      </c>
      <c r="AB31" s="407">
        <f>COUNTIF(Z$3:Z$27,"&gt;0")</f>
        <v>6</v>
      </c>
      <c r="AC31" s="111">
        <f>_xlfn.STDEV.P(AC$3:AC$28)</f>
        <v>0.33071891388307384</v>
      </c>
      <c r="AD31" s="389" t="str">
        <f>IF(AND(AE$31=$E$34,AE$30&lt;&gt;0,AD$32=$E$34),ABS(KURT(AD$3:AD$28))," ")</f>
        <v xml:space="preserve"> </v>
      </c>
      <c r="AE31" s="407">
        <f>COUNTIF(AC$3:AC$27,"&gt;0")</f>
        <v>1</v>
      </c>
    </row>
    <row r="32" spans="1:42" ht="15.6" x14ac:dyDescent="0.3">
      <c r="E32" s="111">
        <f>IFERROR(IF(AND(G30=" ",F32=$E$34),(E31/E30),0),0)</f>
        <v>0.62181543279015705</v>
      </c>
      <c r="F32" s="389">
        <f>IF(G$31&lt;$E$34,0,LARGE(G$3:G$28,1))</f>
        <v>8</v>
      </c>
      <c r="G32" s="407">
        <f>COUNT(G$3:G$28)</f>
        <v>8</v>
      </c>
      <c r="H32" s="111">
        <f>IFERROR(IF(AND(J30=" ",I32=$E$34),(H31/H30),0),0)</f>
        <v>0</v>
      </c>
      <c r="I32" s="389">
        <f>IF(J$31&lt;$E$34,0,LARGE(J$3:J$28,1))</f>
        <v>0</v>
      </c>
      <c r="J32" s="407">
        <f>COUNT(J$3:J$28)</f>
        <v>8</v>
      </c>
      <c r="K32" s="111">
        <f>IFERROR(IF(AND(M30=" ",L32=$E$34),(K31/K30),0),0)</f>
        <v>0</v>
      </c>
      <c r="L32" s="389">
        <f>IF(M$31&lt;$E$34,0,LARGE(M$3:M$28,1))</f>
        <v>8</v>
      </c>
      <c r="M32" s="407">
        <f>COUNT(M$3:M$28)</f>
        <v>8</v>
      </c>
      <c r="N32" s="111">
        <f>IFERROR(IF(AND(P30=" ",O32=$E$34),(N31/N30),0),0)</f>
        <v>0.48328055071867709</v>
      </c>
      <c r="O32" s="389">
        <f>IF(P$31&lt;$E$34,0,LARGE(P$3:P$28,1))</f>
        <v>8</v>
      </c>
      <c r="P32" s="407">
        <f>COUNT(P$3:P$28)</f>
        <v>8</v>
      </c>
      <c r="Q32" s="111">
        <f>IFERROR(IF(AND(S30=" ",R32=$E$34),(Q31/Q30),0),0)</f>
        <v>0</v>
      </c>
      <c r="R32" s="389">
        <f>IF(S$31&lt;$E$34,0,LARGE(S$3:S$28,1))</f>
        <v>8</v>
      </c>
      <c r="S32" s="407">
        <f>COUNT(S$3:S$28)</f>
        <v>8</v>
      </c>
      <c r="T32" s="111">
        <f>IFERROR(IF(AND(V30=" ",U32=$E$34),(T31/T30),0),0)</f>
        <v>0</v>
      </c>
      <c r="U32" s="389">
        <f>IF(V$31&lt;$E$34,0,LARGE(V$3:V$28,1))</f>
        <v>0</v>
      </c>
      <c r="V32" s="407">
        <f>COUNT(V$3:V$28)</f>
        <v>8</v>
      </c>
      <c r="W32" s="111">
        <f>IFERROR(IF(AND(Y30=" ",X32=$E$34),(W31/W30),0),0)</f>
        <v>0</v>
      </c>
      <c r="X32" s="389">
        <f>IF(Y$31&lt;$E$34,0,LARGE(Y$3:Y$28,1))</f>
        <v>0</v>
      </c>
      <c r="Y32" s="407">
        <f>COUNT(Y$3:Y$28)</f>
        <v>3</v>
      </c>
      <c r="Z32" s="111">
        <f>IFERROR(IF(AND(AB30=" ",AA32=$E$34),(Z31/Z30),0),0)</f>
        <v>0</v>
      </c>
      <c r="AA32" s="389">
        <f>IF(AB$31&lt;$E$34,0,LARGE(AB$3:AB$28,1))</f>
        <v>0</v>
      </c>
      <c r="AB32" s="407">
        <f>COUNT(AB$3:AB$28)</f>
        <v>8</v>
      </c>
      <c r="AC32" s="111">
        <f>IFERROR(IF(AND(AE30=" ",AD32=$E$34),(AC31/AC30),0),0)</f>
        <v>0</v>
      </c>
      <c r="AD32" s="389">
        <f>IF(AE$31&lt;$E$34,0,LARGE(AE$3:AE$28,1))</f>
        <v>0</v>
      </c>
      <c r="AE32" s="407">
        <f>COUNT(AE$3:AE$28)</f>
        <v>8</v>
      </c>
    </row>
    <row r="33" spans="1:13" x14ac:dyDescent="0.3">
      <c r="A33" s="339"/>
      <c r="B33" s="339" t="s">
        <v>778</v>
      </c>
      <c r="C33" s="339" t="s">
        <v>322</v>
      </c>
      <c r="D33" s="339" t="s">
        <v>372</v>
      </c>
      <c r="E33" s="339" t="s">
        <v>792</v>
      </c>
      <c r="F33" s="339" t="s">
        <v>822</v>
      </c>
      <c r="G33" s="339" t="s">
        <v>828</v>
      </c>
    </row>
    <row r="34" spans="1:13" ht="31.2" x14ac:dyDescent="0.3">
      <c r="A34" s="387" t="s">
        <v>214</v>
      </c>
      <c r="B34" s="388">
        <f>MAX(G30,J30,M30,P30,S30,V30,Y30,AB30,AE30)</f>
        <v>2.2912878474779199</v>
      </c>
      <c r="C34" s="388" t="str">
        <f>IFERROR(IFERROR(INDEX($A$2:$AE$2,MATCH($B$35,$A$30:$AE$30,0)),INDEX($A$2:$AE$2,MATCH($B$35,$A$31:$AE$31,0))),"DATA ERROR")</f>
        <v>Last Start Finish Position2</v>
      </c>
      <c r="D34" s="388">
        <f>IF($B$34=$B$35,INDEX($A$1:$AE$1,MATCH($C$34,$A$2:$AE$2,0)),INDEX($A$1:$AE$1,MATCH($C$34,$A$2:$AE$2,0))+1)</f>
        <v>16</v>
      </c>
      <c r="E34" s="388">
        <f>COUNTIF(machina6[Num],"&gt;0")</f>
        <v>8</v>
      </c>
      <c r="F34" s="388">
        <f>D34</f>
        <v>16</v>
      </c>
      <c r="G34" s="388">
        <f>QUARTILE($AO$3:$AO$27,2)</f>
        <v>0.5625</v>
      </c>
      <c r="M34" s="276"/>
    </row>
    <row r="35" spans="1:13" ht="33" customHeight="1" x14ac:dyDescent="0.3">
      <c r="A35" s="387" t="s">
        <v>856</v>
      </c>
      <c r="B35" s="388">
        <f>IF(MIN(F31,I31,L31,O31,R31,U31,X31,AA31,AD31)&gt;0,MIN(F31,I31,L31,O31,R31,U31,X31,AA31,AD31),"DATA ERROR")</f>
        <v>1.647959279856726</v>
      </c>
      <c r="C35" s="388" t="str">
        <f>IFERROR(INDEX($A$2:$AE$2,MATCH($B$35,$A$31:$AE$31,0)),"DATA ERROR")</f>
        <v>Last Start Finish Position2</v>
      </c>
      <c r="D35" s="388">
        <f>(IFERROR(INDEX($A$1:$AE$1,MATCH($C$35,$A$2:$AE$2,0)),0))+1</f>
        <v>16</v>
      </c>
      <c r="E35" s="388">
        <f>COUNTIF(machina6[Num],"&gt;0")</f>
        <v>8</v>
      </c>
      <c r="F35" s="388">
        <f>D35</f>
        <v>16</v>
      </c>
      <c r="G35" s="388">
        <f>QUARTILE($AO$3:$AO$27,2)</f>
        <v>0.5625</v>
      </c>
      <c r="I35" s="262">
        <f>IF($A3&lt;&gt;0,1+0," ")</f>
        <v>1</v>
      </c>
    </row>
    <row r="36" spans="1:13" x14ac:dyDescent="0.3">
      <c r="I36" s="262">
        <f>IF($A4&lt;&gt;0,1+I35," ")</f>
        <v>2</v>
      </c>
    </row>
    <row r="37" spans="1:13" x14ac:dyDescent="0.3">
      <c r="C37" s="326" t="str">
        <f>IFERROR(INDEX($A$2:$AE$2,MATCH($B$34,$A$31:$AE$31,0)),0)</f>
        <v>Column2</v>
      </c>
      <c r="I37" s="262">
        <f t="shared" ref="I37:I58" si="15">IF($A5&lt;&gt;0,1+I36," ")</f>
        <v>3</v>
      </c>
    </row>
    <row r="38" spans="1:13" x14ac:dyDescent="0.3">
      <c r="I38" s="262">
        <f t="shared" si="15"/>
        <v>4</v>
      </c>
    </row>
    <row r="39" spans="1:13" x14ac:dyDescent="0.3">
      <c r="I39" s="262">
        <f t="shared" si="15"/>
        <v>5</v>
      </c>
    </row>
    <row r="40" spans="1:13" x14ac:dyDescent="0.3">
      <c r="I40" s="262">
        <f t="shared" si="15"/>
        <v>6</v>
      </c>
    </row>
    <row r="41" spans="1:13" x14ac:dyDescent="0.3">
      <c r="I41" s="262">
        <f t="shared" si="15"/>
        <v>7</v>
      </c>
    </row>
    <row r="42" spans="1:13" ht="15" thickBot="1" x14ac:dyDescent="0.35">
      <c r="A42" s="280" t="s">
        <v>490</v>
      </c>
      <c r="I42" s="262">
        <f t="shared" si="15"/>
        <v>8</v>
      </c>
    </row>
    <row r="43" spans="1:13" x14ac:dyDescent="0.3">
      <c r="A43" s="295" t="s">
        <v>51</v>
      </c>
      <c r="I43" s="262" t="str">
        <f t="shared" si="15"/>
        <v xml:space="preserve"> </v>
      </c>
    </row>
    <row r="44" spans="1:13" x14ac:dyDescent="0.3">
      <c r="A44" s="296" t="s">
        <v>137</v>
      </c>
      <c r="I44" s="262" t="str">
        <f t="shared" si="15"/>
        <v xml:space="preserve"> </v>
      </c>
    </row>
    <row r="45" spans="1:13" x14ac:dyDescent="0.3">
      <c r="A45" s="295" t="s">
        <v>140</v>
      </c>
      <c r="I45" s="262" t="str">
        <f t="shared" si="15"/>
        <v xml:space="preserve"> </v>
      </c>
    </row>
    <row r="46" spans="1:13" x14ac:dyDescent="0.3">
      <c r="A46" s="296" t="s">
        <v>138</v>
      </c>
      <c r="I46" s="262" t="str">
        <f t="shared" si="15"/>
        <v xml:space="preserve"> </v>
      </c>
    </row>
    <row r="47" spans="1:13" x14ac:dyDescent="0.3">
      <c r="A47" s="295" t="s">
        <v>31</v>
      </c>
      <c r="I47" s="262" t="str">
        <f t="shared" si="15"/>
        <v xml:space="preserve"> </v>
      </c>
    </row>
    <row r="48" spans="1:13" x14ac:dyDescent="0.3">
      <c r="A48" s="296" t="s">
        <v>51</v>
      </c>
      <c r="I48" s="262" t="str">
        <f t="shared" si="15"/>
        <v xml:space="preserve"> </v>
      </c>
    </row>
    <row r="49" spans="1:9" x14ac:dyDescent="0.3">
      <c r="A49" s="292"/>
      <c r="I49" s="262" t="str">
        <f t="shared" si="15"/>
        <v xml:space="preserve"> </v>
      </c>
    </row>
    <row r="50" spans="1:9" x14ac:dyDescent="0.3">
      <c r="A50" s="293"/>
      <c r="I50" s="262" t="str">
        <f t="shared" si="15"/>
        <v xml:space="preserve"> </v>
      </c>
    </row>
    <row r="51" spans="1:9" x14ac:dyDescent="0.3">
      <c r="A51" s="292"/>
      <c r="I51" s="262" t="str">
        <f t="shared" si="15"/>
        <v xml:space="preserve"> </v>
      </c>
    </row>
    <row r="52" spans="1:9" x14ac:dyDescent="0.3">
      <c r="A52" s="293"/>
      <c r="I52" s="262" t="str">
        <f t="shared" si="15"/>
        <v xml:space="preserve"> </v>
      </c>
    </row>
    <row r="53" spans="1:9" x14ac:dyDescent="0.3">
      <c r="A53" s="292"/>
      <c r="I53" s="262" t="str">
        <f t="shared" si="15"/>
        <v xml:space="preserve"> </v>
      </c>
    </row>
    <row r="54" spans="1:9" x14ac:dyDescent="0.3">
      <c r="A54" s="293"/>
      <c r="I54" s="262" t="str">
        <f t="shared" si="15"/>
        <v xml:space="preserve"> </v>
      </c>
    </row>
    <row r="55" spans="1:9" x14ac:dyDescent="0.3">
      <c r="A55" s="292"/>
      <c r="I55" s="262" t="str">
        <f t="shared" si="15"/>
        <v xml:space="preserve"> </v>
      </c>
    </row>
    <row r="56" spans="1:9" x14ac:dyDescent="0.3">
      <c r="A56" s="293"/>
      <c r="I56" s="262" t="str">
        <f t="shared" si="15"/>
        <v xml:space="preserve"> </v>
      </c>
    </row>
    <row r="57" spans="1:9" x14ac:dyDescent="0.3">
      <c r="A57" s="292"/>
      <c r="I57" s="262" t="str">
        <f t="shared" si="15"/>
        <v xml:space="preserve"> </v>
      </c>
    </row>
    <row r="58" spans="1:9" x14ac:dyDescent="0.3">
      <c r="A58" s="293"/>
      <c r="I58" s="262" t="str">
        <f t="shared" si="15"/>
        <v xml:space="preserve"> </v>
      </c>
    </row>
    <row r="59" spans="1:9" x14ac:dyDescent="0.3">
      <c r="A59" s="292"/>
    </row>
    <row r="60" spans="1:9" x14ac:dyDescent="0.3">
      <c r="A60" s="293"/>
    </row>
    <row r="61" spans="1:9" x14ac:dyDescent="0.3">
      <c r="A61" s="292"/>
    </row>
    <row r="62" spans="1:9" x14ac:dyDescent="0.3">
      <c r="A62" s="293"/>
    </row>
    <row r="63" spans="1:9" x14ac:dyDescent="0.3">
      <c r="A63" s="292"/>
    </row>
    <row r="64" spans="1:9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phoneticPr fontId="80" type="noConversion"/>
  <conditionalFormatting sqref="A42">
    <cfRule type="duplicateValues" dxfId="681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68"/>
  <sheetViews>
    <sheetView zoomScale="70" zoomScaleNormal="7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AD2" sqref="AD2:AE3"/>
    </sheetView>
  </sheetViews>
  <sheetFormatPr defaultColWidth="9.109375" defaultRowHeight="14.4" x14ac:dyDescent="0.3"/>
  <cols>
    <col min="1" max="1" width="22" style="255" customWidth="1"/>
    <col min="2" max="2" width="23.44140625" style="255" bestFit="1" customWidth="1"/>
    <col min="3" max="3" width="17.33203125" style="255" bestFit="1" customWidth="1"/>
    <col min="4" max="4" width="12.6640625" style="255" bestFit="1" customWidth="1"/>
    <col min="5" max="5" width="11.109375" style="255" bestFit="1" customWidth="1"/>
    <col min="6" max="6" width="16.88671875" style="255" bestFit="1" customWidth="1"/>
    <col min="7" max="7" width="11.109375" style="255" bestFit="1" customWidth="1"/>
    <col min="8" max="8" width="24.6640625" style="255" bestFit="1" customWidth="1"/>
    <col min="9" max="9" width="11.109375" style="255" bestFit="1" customWidth="1"/>
    <col min="10" max="10" width="22.44140625" style="255" bestFit="1" customWidth="1"/>
    <col min="11" max="11" width="11.109375" style="255" bestFit="1" customWidth="1"/>
    <col min="12" max="12" width="17.5546875" style="255" bestFit="1" customWidth="1"/>
    <col min="13" max="13" width="11.109375" style="255" bestFit="1" customWidth="1"/>
    <col min="14" max="14" width="18.88671875" style="255" bestFit="1" customWidth="1"/>
    <col min="15" max="15" width="11.109375" style="255" bestFit="1" customWidth="1"/>
    <col min="16" max="16" width="9.88671875" style="255" bestFit="1" customWidth="1"/>
    <col min="17" max="17" width="11.109375" style="255" bestFit="1" customWidth="1"/>
    <col min="18" max="18" width="17" style="255" bestFit="1" customWidth="1"/>
    <col min="19" max="19" width="11.109375" style="255" bestFit="1" customWidth="1"/>
    <col min="20" max="20" width="17.109375" style="255" bestFit="1" customWidth="1"/>
    <col min="21" max="21" width="12.109375" style="255" bestFit="1" customWidth="1"/>
    <col min="22" max="22" width="22.33203125" style="255" bestFit="1" customWidth="1"/>
    <col min="23" max="23" width="12.109375" style="255" bestFit="1" customWidth="1"/>
    <col min="24" max="24" width="15.6640625" style="255" bestFit="1" customWidth="1"/>
    <col min="25" max="25" width="12.109375" style="255" bestFit="1" customWidth="1"/>
    <col min="26" max="26" width="18.109375" style="255" bestFit="1" customWidth="1"/>
    <col min="27" max="27" width="12.109375" style="255" bestFit="1" customWidth="1"/>
    <col min="28" max="28" width="27.44140625" style="255" bestFit="1" customWidth="1"/>
    <col min="29" max="29" width="12.109375" style="255" bestFit="1" customWidth="1"/>
    <col min="30" max="30" width="19.88671875" style="255" bestFit="1" customWidth="1"/>
    <col min="31" max="31" width="12.109375" style="255" bestFit="1" customWidth="1"/>
    <col min="32" max="32" width="20.109375" style="255" bestFit="1" customWidth="1"/>
    <col min="33" max="33" width="12.109375" style="255" bestFit="1" customWidth="1"/>
    <col min="34" max="34" width="25.33203125" style="255" bestFit="1" customWidth="1"/>
    <col min="35" max="35" width="12.109375" style="255" bestFit="1" customWidth="1"/>
    <col min="36" max="36" width="18.5546875" style="255" bestFit="1" customWidth="1"/>
    <col min="37" max="37" width="12.109375" style="255" bestFit="1" customWidth="1"/>
    <col min="38" max="38" width="21.109375" style="255" bestFit="1" customWidth="1"/>
    <col min="39" max="39" width="12.109375" style="255" bestFit="1" customWidth="1"/>
    <col min="40" max="40" width="30.5546875" style="255" bestFit="1" customWidth="1"/>
    <col min="41" max="41" width="12.109375" style="255" bestFit="1" customWidth="1"/>
    <col min="42" max="42" width="25" style="255" bestFit="1" customWidth="1"/>
    <col min="43" max="43" width="12.109375" style="255" bestFit="1" customWidth="1"/>
    <col min="44" max="44" width="25.33203125" style="255" bestFit="1" customWidth="1"/>
    <col min="45" max="45" width="12.109375" style="255" bestFit="1" customWidth="1"/>
    <col min="46" max="46" width="30.44140625" style="255" bestFit="1" customWidth="1"/>
    <col min="47" max="47" width="12.109375" style="255" bestFit="1" customWidth="1"/>
    <col min="48" max="48" width="23.88671875" style="255" bestFit="1" customWidth="1"/>
    <col min="49" max="49" width="12.109375" style="255" bestFit="1" customWidth="1"/>
    <col min="50" max="50" width="26.33203125" style="255" bestFit="1" customWidth="1"/>
    <col min="51" max="51" width="12.109375" style="255" bestFit="1" customWidth="1"/>
    <col min="52" max="52" width="35.6640625" style="255" bestFit="1" customWidth="1"/>
    <col min="53" max="53" width="12.109375" style="255" bestFit="1" customWidth="1"/>
    <col min="54" max="54" width="21" style="255" bestFit="1" customWidth="1"/>
    <col min="55" max="55" width="12.109375" style="255" bestFit="1" customWidth="1"/>
    <col min="56" max="56" width="21.33203125" style="255" bestFit="1" customWidth="1"/>
    <col min="57" max="57" width="12.109375" style="255" bestFit="1" customWidth="1"/>
    <col min="58" max="58" width="26.44140625" style="255" bestFit="1" customWidth="1"/>
    <col min="59" max="59" width="12.109375" style="255" bestFit="1" customWidth="1"/>
    <col min="60" max="60" width="19.88671875" style="255" bestFit="1" customWidth="1"/>
    <col min="61" max="61" width="12.109375" style="255" bestFit="1" customWidth="1"/>
    <col min="62" max="62" width="22.33203125" style="255" bestFit="1" customWidth="1"/>
    <col min="63" max="63" width="12.109375" style="255" bestFit="1" customWidth="1"/>
    <col min="64" max="64" width="31.6640625" style="255" bestFit="1" customWidth="1"/>
    <col min="65" max="65" width="12.109375" style="255" bestFit="1" customWidth="1"/>
    <col min="66" max="66" width="34.33203125" style="255" bestFit="1" customWidth="1"/>
    <col min="67" max="67" width="12.109375" style="255" bestFit="1" customWidth="1"/>
    <col min="68" max="68" width="22.44140625" style="255" bestFit="1" customWidth="1"/>
    <col min="69" max="69" width="12.109375" style="255" bestFit="1" customWidth="1"/>
    <col min="70" max="70" width="21.88671875" style="255" bestFit="1" customWidth="1"/>
    <col min="71" max="71" width="12.109375" style="255" bestFit="1" customWidth="1"/>
    <col min="72" max="72" width="27" style="255" bestFit="1" customWidth="1"/>
    <col min="73" max="73" width="12.109375" style="255" bestFit="1" customWidth="1"/>
    <col min="74" max="74" width="20.6640625" style="255" bestFit="1" customWidth="1"/>
    <col min="75" max="75" width="12.109375" style="255" bestFit="1" customWidth="1"/>
    <col min="76" max="76" width="22.88671875" style="255" bestFit="1" customWidth="1"/>
    <col min="77" max="77" width="12.109375" style="255" bestFit="1" customWidth="1"/>
    <col min="78" max="78" width="32.33203125" style="255" bestFit="1" customWidth="1"/>
    <col min="79" max="79" width="12.109375" style="255" bestFit="1" customWidth="1"/>
    <col min="80" max="80" width="35.88671875" style="255" bestFit="1" customWidth="1"/>
    <col min="81" max="81" width="12.109375" style="255" bestFit="1" customWidth="1"/>
    <col min="82" max="82" width="24.6640625" style="255" bestFit="1" customWidth="1"/>
    <col min="83" max="83" width="12.109375" style="255" bestFit="1" customWidth="1"/>
    <col min="84" max="84" width="24.33203125" style="255" bestFit="1" customWidth="1"/>
    <col min="85" max="85" width="12.109375" style="255" bestFit="1" customWidth="1"/>
    <col min="86" max="86" width="29.44140625" style="255" bestFit="1" customWidth="1"/>
    <col min="87" max="87" width="12.109375" style="255" bestFit="1" customWidth="1"/>
    <col min="88" max="88" width="22.6640625" style="255" bestFit="1" customWidth="1"/>
    <col min="89" max="89" width="12.109375" style="255" bestFit="1" customWidth="1"/>
    <col min="90" max="90" width="25.33203125" style="255" bestFit="1" customWidth="1"/>
    <col min="91" max="91" width="12.109375" style="255" bestFit="1" customWidth="1"/>
    <col min="92" max="92" width="34.6640625" style="255" bestFit="1" customWidth="1"/>
    <col min="93" max="93" width="12.109375" style="255" bestFit="1" customWidth="1"/>
    <col min="94" max="94" width="37.88671875" style="255" bestFit="1" customWidth="1"/>
    <col min="95" max="95" width="12.109375" style="255" bestFit="1" customWidth="1"/>
    <col min="96" max="96" width="25.6640625" style="255" bestFit="1" customWidth="1"/>
    <col min="97" max="97" width="12.109375" style="255" bestFit="1" customWidth="1"/>
    <col min="98" max="98" width="25.33203125" style="255" bestFit="1" customWidth="1"/>
    <col min="99" max="99" width="12.109375" style="255" bestFit="1" customWidth="1"/>
    <col min="100" max="100" width="30.44140625" style="255" bestFit="1" customWidth="1"/>
    <col min="101" max="101" width="12.109375" style="255" bestFit="1" customWidth="1"/>
    <col min="102" max="102" width="23.88671875" style="255" bestFit="1" customWidth="1"/>
    <col min="103" max="103" width="12.109375" style="255" bestFit="1" customWidth="1"/>
    <col min="104" max="104" width="26.33203125" style="255" bestFit="1" customWidth="1"/>
    <col min="105" max="105" width="12.109375" style="255" bestFit="1" customWidth="1"/>
    <col min="106" max="106" width="35.6640625" style="255" bestFit="1" customWidth="1"/>
    <col min="107" max="107" width="12.109375" style="255" bestFit="1" customWidth="1"/>
    <col min="108" max="108" width="34.6640625" style="255" bestFit="1" customWidth="1"/>
    <col min="109" max="109" width="12.109375" style="255" bestFit="1" customWidth="1"/>
    <col min="110" max="110" width="22.109375" style="255" bestFit="1" customWidth="1"/>
    <col min="111" max="111" width="12.109375" style="255" bestFit="1" customWidth="1"/>
    <col min="112" max="112" width="27.44140625" style="255" bestFit="1" customWidth="1"/>
    <col min="113" max="113" width="12.109375" style="255" bestFit="1" customWidth="1"/>
    <col min="114" max="114" width="21" style="255" bestFit="1" customWidth="1"/>
    <col min="115" max="115" width="12.109375" style="255" bestFit="1" customWidth="1"/>
    <col min="116" max="116" width="23.109375" style="255" bestFit="1" customWidth="1"/>
    <col min="117" max="117" width="12.109375" style="255" bestFit="1" customWidth="1"/>
    <col min="118" max="118" width="32.6640625" style="255" bestFit="1" customWidth="1"/>
    <col min="119" max="119" width="12.109375" style="255" bestFit="1" customWidth="1"/>
    <col min="120" max="120" width="36.44140625" style="255" bestFit="1" customWidth="1"/>
    <col min="121" max="121" width="12.109375" style="255" bestFit="1" customWidth="1"/>
    <col min="122" max="122" width="25.109375" style="255" bestFit="1" customWidth="1"/>
    <col min="123" max="123" width="12.109375" style="255" bestFit="1" customWidth="1"/>
    <col min="124" max="124" width="24.6640625" style="255" bestFit="1" customWidth="1"/>
    <col min="125" max="125" width="12.109375" style="255" bestFit="1" customWidth="1"/>
    <col min="126" max="126" width="29.88671875" style="255" bestFit="1" customWidth="1"/>
    <col min="127" max="127" width="12.109375" style="255" bestFit="1" customWidth="1"/>
    <col min="128" max="128" width="23.109375" style="255" bestFit="1" customWidth="1"/>
    <col min="129" max="129" width="12.109375" style="255" bestFit="1" customWidth="1"/>
    <col min="130" max="130" width="25.6640625" style="255" bestFit="1" customWidth="1"/>
    <col min="131" max="131" width="12.109375" style="255" bestFit="1" customWidth="1"/>
    <col min="132" max="132" width="35.109375" style="255" bestFit="1" customWidth="1"/>
    <col min="133" max="133" width="12.109375" style="255" bestFit="1" customWidth="1"/>
    <col min="134" max="134" width="38.33203125" style="255" bestFit="1" customWidth="1"/>
    <col min="135" max="135" width="12.109375" style="255" bestFit="1" customWidth="1"/>
    <col min="136" max="136" width="26.109375" style="255" bestFit="1" customWidth="1"/>
    <col min="137" max="137" width="12.109375" style="255" bestFit="1" customWidth="1"/>
    <col min="138" max="138" width="25.6640625" style="255" bestFit="1" customWidth="1"/>
    <col min="139" max="139" width="12.109375" style="255" bestFit="1" customWidth="1"/>
    <col min="140" max="140" width="30.88671875" style="255" bestFit="1" customWidth="1"/>
    <col min="141" max="141" width="12.109375" style="255" bestFit="1" customWidth="1"/>
    <col min="142" max="142" width="24.33203125" style="255" bestFit="1" customWidth="1"/>
    <col min="143" max="143" width="12.109375" style="255" bestFit="1" customWidth="1"/>
    <col min="144" max="144" width="26.6640625" style="255" bestFit="1" customWidth="1"/>
    <col min="145" max="145" width="12.109375" style="255" bestFit="1" customWidth="1"/>
    <col min="146" max="146" width="36.33203125" style="255" bestFit="1" customWidth="1"/>
    <col min="147" max="147" width="12.109375" style="255" bestFit="1" customWidth="1"/>
    <col min="148" max="148" width="25.109375" style="255" bestFit="1" customWidth="1"/>
    <col min="149" max="149" width="12.109375" style="255" bestFit="1" customWidth="1"/>
    <col min="150" max="150" width="18.33203125" style="255" bestFit="1" customWidth="1"/>
    <col min="151" max="151" width="12.109375" style="255" bestFit="1" customWidth="1"/>
    <col min="152" max="152" width="26.6640625" style="255" bestFit="1" customWidth="1"/>
    <col min="153" max="153" width="12.109375" style="255" bestFit="1" customWidth="1"/>
    <col min="154" max="154" width="23.109375" style="255" bestFit="1" customWidth="1"/>
    <col min="155" max="155" width="12.109375" style="255" bestFit="1" customWidth="1"/>
    <col min="156" max="157" width="12.109375" style="255" customWidth="1"/>
    <col min="158" max="158" width="14.33203125" style="255" customWidth="1"/>
    <col min="159" max="16384" width="9.109375" style="255"/>
  </cols>
  <sheetData>
    <row r="1" spans="1:158" x14ac:dyDescent="0.3">
      <c r="A1" s="255">
        <v>1</v>
      </c>
      <c r="B1" s="255">
        <v>2</v>
      </c>
      <c r="C1" s="255">
        <v>3</v>
      </c>
      <c r="D1" s="255">
        <v>4</v>
      </c>
      <c r="E1" s="255">
        <v>5</v>
      </c>
      <c r="F1" s="255">
        <v>6</v>
      </c>
      <c r="G1" s="255">
        <v>7</v>
      </c>
      <c r="H1" s="255">
        <v>8</v>
      </c>
      <c r="I1" s="255">
        <v>9</v>
      </c>
      <c r="J1" s="255">
        <v>10</v>
      </c>
      <c r="K1" s="255">
        <v>11</v>
      </c>
      <c r="L1" s="255">
        <v>12</v>
      </c>
      <c r="M1" s="255">
        <v>13</v>
      </c>
      <c r="N1" s="255">
        <v>14</v>
      </c>
      <c r="O1" s="255">
        <v>15</v>
      </c>
      <c r="P1" s="255">
        <v>16</v>
      </c>
      <c r="Q1" s="255">
        <v>17</v>
      </c>
      <c r="R1" s="255">
        <v>18</v>
      </c>
      <c r="S1" s="255">
        <v>19</v>
      </c>
      <c r="T1" s="255">
        <v>20</v>
      </c>
      <c r="U1" s="255">
        <v>21</v>
      </c>
      <c r="V1" s="255">
        <v>22</v>
      </c>
      <c r="W1" s="255">
        <v>23</v>
      </c>
      <c r="X1" s="255">
        <v>24</v>
      </c>
      <c r="Y1" s="255">
        <v>25</v>
      </c>
      <c r="Z1" s="255">
        <v>26</v>
      </c>
      <c r="AA1" s="255">
        <v>27</v>
      </c>
      <c r="AB1" s="255">
        <v>28</v>
      </c>
      <c r="AC1" s="255">
        <v>29</v>
      </c>
      <c r="AD1" s="255">
        <v>30</v>
      </c>
      <c r="AE1" s="255">
        <v>31</v>
      </c>
      <c r="AF1" s="255">
        <v>32</v>
      </c>
      <c r="AG1" s="255">
        <v>33</v>
      </c>
      <c r="AH1" s="255">
        <v>34</v>
      </c>
      <c r="AI1" s="255">
        <v>35</v>
      </c>
      <c r="AJ1" s="255">
        <v>36</v>
      </c>
      <c r="AK1" s="255">
        <v>37</v>
      </c>
      <c r="AL1" s="255">
        <v>38</v>
      </c>
      <c r="AM1" s="255">
        <v>39</v>
      </c>
      <c r="AN1" s="255">
        <v>40</v>
      </c>
      <c r="AO1" s="255">
        <v>41</v>
      </c>
      <c r="AP1" s="255">
        <v>42</v>
      </c>
      <c r="AQ1" s="255">
        <v>43</v>
      </c>
      <c r="AR1" s="255">
        <v>44</v>
      </c>
      <c r="AS1" s="255">
        <v>45</v>
      </c>
      <c r="AT1" s="255">
        <v>46</v>
      </c>
      <c r="AU1" s="255">
        <v>47</v>
      </c>
      <c r="AV1" s="255">
        <v>48</v>
      </c>
      <c r="AW1" s="255">
        <v>49</v>
      </c>
      <c r="AX1" s="255">
        <v>50</v>
      </c>
      <c r="AY1" s="255">
        <v>51</v>
      </c>
      <c r="AZ1" s="255">
        <v>52</v>
      </c>
      <c r="BA1" s="255">
        <v>53</v>
      </c>
      <c r="BB1" s="255">
        <v>54</v>
      </c>
      <c r="BC1" s="255">
        <v>55</v>
      </c>
      <c r="BD1" s="255">
        <v>56</v>
      </c>
      <c r="BE1" s="255">
        <v>57</v>
      </c>
      <c r="BF1" s="255">
        <v>58</v>
      </c>
      <c r="BG1" s="255">
        <v>59</v>
      </c>
      <c r="BH1" s="255">
        <v>60</v>
      </c>
      <c r="BI1" s="255">
        <v>61</v>
      </c>
      <c r="BJ1" s="255">
        <v>62</v>
      </c>
      <c r="BK1" s="255">
        <v>63</v>
      </c>
      <c r="BL1" s="255">
        <v>64</v>
      </c>
      <c r="BM1" s="255">
        <v>65</v>
      </c>
      <c r="BN1" s="255">
        <v>66</v>
      </c>
      <c r="BO1" s="255">
        <v>67</v>
      </c>
      <c r="BP1" s="255">
        <v>68</v>
      </c>
      <c r="BQ1" s="255">
        <v>69</v>
      </c>
      <c r="BR1" s="255">
        <v>70</v>
      </c>
      <c r="BS1" s="255">
        <v>71</v>
      </c>
      <c r="BT1" s="255">
        <v>72</v>
      </c>
      <c r="BU1" s="255">
        <v>73</v>
      </c>
      <c r="BV1" s="255">
        <v>74</v>
      </c>
      <c r="BW1" s="255">
        <v>75</v>
      </c>
      <c r="BX1" s="255">
        <v>76</v>
      </c>
      <c r="BY1" s="255">
        <v>77</v>
      </c>
      <c r="BZ1" s="255">
        <v>78</v>
      </c>
      <c r="CA1" s="255">
        <v>79</v>
      </c>
      <c r="CB1" s="255">
        <v>80</v>
      </c>
      <c r="CC1" s="255">
        <v>81</v>
      </c>
      <c r="CD1" s="255">
        <v>82</v>
      </c>
      <c r="CE1" s="255">
        <v>83</v>
      </c>
      <c r="CF1" s="255">
        <v>84</v>
      </c>
      <c r="CG1" s="255">
        <v>85</v>
      </c>
      <c r="CH1" s="255">
        <v>86</v>
      </c>
      <c r="CI1" s="255">
        <v>87</v>
      </c>
      <c r="CJ1" s="255">
        <v>88</v>
      </c>
      <c r="CK1" s="255">
        <v>89</v>
      </c>
      <c r="CL1" s="255">
        <v>90</v>
      </c>
      <c r="CM1" s="255">
        <v>91</v>
      </c>
      <c r="CN1" s="255">
        <v>92</v>
      </c>
      <c r="CO1" s="255">
        <v>93</v>
      </c>
      <c r="CP1" s="255">
        <v>94</v>
      </c>
      <c r="CQ1" s="255">
        <v>95</v>
      </c>
      <c r="CR1" s="255">
        <v>96</v>
      </c>
      <c r="CS1" s="255">
        <v>97</v>
      </c>
      <c r="CT1" s="255">
        <v>98</v>
      </c>
      <c r="CU1" s="255">
        <v>99</v>
      </c>
      <c r="CV1" s="255">
        <v>100</v>
      </c>
      <c r="CW1" s="255">
        <v>101</v>
      </c>
      <c r="CX1" s="255">
        <v>102</v>
      </c>
      <c r="CY1" s="255">
        <v>103</v>
      </c>
      <c r="CZ1" s="255">
        <v>104</v>
      </c>
      <c r="DA1" s="255">
        <v>105</v>
      </c>
      <c r="DB1" s="255">
        <v>106</v>
      </c>
      <c r="DC1" s="255">
        <v>107</v>
      </c>
      <c r="DD1" s="255">
        <v>108</v>
      </c>
      <c r="DE1" s="255">
        <v>109</v>
      </c>
      <c r="DF1" s="255">
        <v>110</v>
      </c>
      <c r="DG1" s="255">
        <v>111</v>
      </c>
      <c r="DH1" s="255">
        <v>112</v>
      </c>
      <c r="DI1" s="255">
        <v>113</v>
      </c>
      <c r="DJ1" s="255">
        <v>114</v>
      </c>
      <c r="DK1" s="255">
        <v>115</v>
      </c>
      <c r="DL1" s="255">
        <v>116</v>
      </c>
      <c r="DM1" s="255">
        <v>117</v>
      </c>
      <c r="DN1" s="255">
        <v>118</v>
      </c>
      <c r="DO1" s="255">
        <v>119</v>
      </c>
      <c r="DP1" s="255">
        <v>120</v>
      </c>
      <c r="DQ1" s="255">
        <v>121</v>
      </c>
      <c r="DR1" s="255">
        <v>122</v>
      </c>
      <c r="DS1" s="255">
        <v>123</v>
      </c>
      <c r="DT1" s="255">
        <v>124</v>
      </c>
      <c r="DU1" s="255">
        <v>125</v>
      </c>
      <c r="DV1" s="255">
        <v>126</v>
      </c>
      <c r="DW1" s="255">
        <v>127</v>
      </c>
      <c r="DX1" s="255">
        <v>128</v>
      </c>
      <c r="DY1" s="255">
        <v>129</v>
      </c>
      <c r="DZ1" s="255">
        <v>130</v>
      </c>
      <c r="EA1" s="255">
        <v>131</v>
      </c>
      <c r="EB1" s="255">
        <v>132</v>
      </c>
      <c r="EC1" s="255">
        <v>133</v>
      </c>
      <c r="ED1" s="255">
        <v>134</v>
      </c>
      <c r="EE1" s="255">
        <v>135</v>
      </c>
      <c r="EF1" s="255">
        <v>136</v>
      </c>
      <c r="EG1" s="255">
        <v>137</v>
      </c>
      <c r="EH1" s="255">
        <v>138</v>
      </c>
      <c r="EI1" s="255">
        <v>139</v>
      </c>
      <c r="EJ1" s="255">
        <v>140</v>
      </c>
      <c r="EK1" s="255">
        <v>141</v>
      </c>
      <c r="EL1" s="255">
        <v>142</v>
      </c>
      <c r="EM1" s="255">
        <v>143</v>
      </c>
      <c r="EN1" s="255">
        <v>144</v>
      </c>
      <c r="EO1" s="255">
        <v>145</v>
      </c>
      <c r="EP1" s="255">
        <v>146</v>
      </c>
      <c r="EQ1" s="255">
        <v>147</v>
      </c>
      <c r="ER1" s="255">
        <v>148</v>
      </c>
      <c r="ES1" s="255">
        <v>149</v>
      </c>
      <c r="ET1" s="255">
        <v>150</v>
      </c>
      <c r="EU1" s="255">
        <v>151</v>
      </c>
      <c r="EV1" s="255">
        <v>152</v>
      </c>
      <c r="EW1" s="255">
        <v>153</v>
      </c>
      <c r="EX1" s="255">
        <v>154</v>
      </c>
      <c r="EY1" s="255">
        <v>155</v>
      </c>
      <c r="EZ1" s="255">
        <v>156</v>
      </c>
      <c r="FA1" s="255">
        <v>157</v>
      </c>
      <c r="FB1" s="255">
        <v>158</v>
      </c>
    </row>
    <row r="2" spans="1:158" ht="57.6" x14ac:dyDescent="0.3">
      <c r="A2" s="271" t="s">
        <v>211</v>
      </c>
      <c r="B2" s="271" t="s">
        <v>37</v>
      </c>
      <c r="C2" s="271" t="s">
        <v>395</v>
      </c>
      <c r="D2" s="271" t="s">
        <v>38</v>
      </c>
      <c r="E2" s="271" t="s">
        <v>396</v>
      </c>
      <c r="F2" s="271" t="s">
        <v>39</v>
      </c>
      <c r="G2" s="271" t="s">
        <v>397</v>
      </c>
      <c r="H2" s="271" t="s">
        <v>40</v>
      </c>
      <c r="I2" s="271" t="s">
        <v>398</v>
      </c>
      <c r="J2" s="271" t="s">
        <v>49</v>
      </c>
      <c r="K2" s="271" t="s">
        <v>399</v>
      </c>
      <c r="L2" s="271" t="s">
        <v>51</v>
      </c>
      <c r="M2" s="271" t="s">
        <v>400</v>
      </c>
      <c r="N2" s="271" t="s">
        <v>681</v>
      </c>
      <c r="O2" s="271" t="s">
        <v>682</v>
      </c>
      <c r="P2" s="271" t="s">
        <v>31</v>
      </c>
      <c r="Q2" s="271" t="s">
        <v>401</v>
      </c>
      <c r="R2" s="271" t="s">
        <v>55</v>
      </c>
      <c r="S2" s="271" t="s">
        <v>402</v>
      </c>
      <c r="T2" s="271" t="s">
        <v>56</v>
      </c>
      <c r="U2" s="271" t="s">
        <v>403</v>
      </c>
      <c r="V2" s="271" t="s">
        <v>57</v>
      </c>
      <c r="W2" s="271" t="s">
        <v>404</v>
      </c>
      <c r="X2" s="271" t="s">
        <v>58</v>
      </c>
      <c r="Y2" s="271" t="s">
        <v>405</v>
      </c>
      <c r="Z2" s="271" t="s">
        <v>59</v>
      </c>
      <c r="AA2" s="271" t="s">
        <v>406</v>
      </c>
      <c r="AB2" s="271" t="s">
        <v>60</v>
      </c>
      <c r="AC2" s="271" t="s">
        <v>407</v>
      </c>
      <c r="AD2" s="271" t="s">
        <v>61</v>
      </c>
      <c r="AE2" s="271" t="s">
        <v>408</v>
      </c>
      <c r="AF2" s="271" t="s">
        <v>62</v>
      </c>
      <c r="AG2" s="271" t="s">
        <v>409</v>
      </c>
      <c r="AH2" s="271" t="s">
        <v>63</v>
      </c>
      <c r="AI2" s="271" t="s">
        <v>410</v>
      </c>
      <c r="AJ2" s="271" t="s">
        <v>64</v>
      </c>
      <c r="AK2" s="271" t="s">
        <v>411</v>
      </c>
      <c r="AL2" s="271" t="s">
        <v>65</v>
      </c>
      <c r="AM2" s="271" t="s">
        <v>412</v>
      </c>
      <c r="AN2" s="271" t="s">
        <v>66</v>
      </c>
      <c r="AO2" s="271" t="s">
        <v>413</v>
      </c>
      <c r="AP2" s="271" t="s">
        <v>200</v>
      </c>
      <c r="AQ2" s="271" t="s">
        <v>414</v>
      </c>
      <c r="AR2" s="271" t="s">
        <v>201</v>
      </c>
      <c r="AS2" s="271" t="s">
        <v>415</v>
      </c>
      <c r="AT2" s="271" t="s">
        <v>202</v>
      </c>
      <c r="AU2" s="271" t="s">
        <v>416</v>
      </c>
      <c r="AV2" s="271" t="s">
        <v>203</v>
      </c>
      <c r="AW2" s="271" t="s">
        <v>417</v>
      </c>
      <c r="AX2" s="271" t="s">
        <v>204</v>
      </c>
      <c r="AY2" s="271" t="s">
        <v>418</v>
      </c>
      <c r="AZ2" s="271" t="s">
        <v>205</v>
      </c>
      <c r="BA2" s="271" t="s">
        <v>419</v>
      </c>
      <c r="BB2" s="271" t="s">
        <v>67</v>
      </c>
      <c r="BC2" s="271" t="s">
        <v>420</v>
      </c>
      <c r="BD2" s="271" t="s">
        <v>68</v>
      </c>
      <c r="BE2" s="271" t="s">
        <v>421</v>
      </c>
      <c r="BF2" s="271" t="s">
        <v>69</v>
      </c>
      <c r="BG2" s="271" t="s">
        <v>422</v>
      </c>
      <c r="BH2" s="271" t="s">
        <v>70</v>
      </c>
      <c r="BI2" s="271" t="s">
        <v>423</v>
      </c>
      <c r="BJ2" s="271" t="s">
        <v>71</v>
      </c>
      <c r="BK2" s="271" t="s">
        <v>424</v>
      </c>
      <c r="BL2" s="271" t="s">
        <v>72</v>
      </c>
      <c r="BM2" s="271" t="s">
        <v>425</v>
      </c>
      <c r="BN2" s="271" t="s">
        <v>207</v>
      </c>
      <c r="BO2" s="271" t="s">
        <v>426</v>
      </c>
      <c r="BP2" s="271" t="s">
        <v>78</v>
      </c>
      <c r="BQ2" s="271" t="s">
        <v>427</v>
      </c>
      <c r="BR2" s="271" t="s">
        <v>79</v>
      </c>
      <c r="BS2" s="271" t="s">
        <v>428</v>
      </c>
      <c r="BT2" s="271" t="s">
        <v>80</v>
      </c>
      <c r="BU2" s="271" t="s">
        <v>429</v>
      </c>
      <c r="BV2" s="271" t="s">
        <v>81</v>
      </c>
      <c r="BW2" s="271" t="s">
        <v>430</v>
      </c>
      <c r="BX2" s="271" t="s">
        <v>82</v>
      </c>
      <c r="BY2" s="271" t="s">
        <v>431</v>
      </c>
      <c r="BZ2" s="271" t="s">
        <v>83</v>
      </c>
      <c r="CA2" s="271" t="s">
        <v>432</v>
      </c>
      <c r="CB2" s="271" t="s">
        <v>77</v>
      </c>
      <c r="CC2" s="271" t="s">
        <v>433</v>
      </c>
      <c r="CD2" s="271" t="s">
        <v>84</v>
      </c>
      <c r="CE2" s="271" t="s">
        <v>434</v>
      </c>
      <c r="CF2" s="271" t="s">
        <v>85</v>
      </c>
      <c r="CG2" s="271" t="s">
        <v>435</v>
      </c>
      <c r="CH2" s="271" t="s">
        <v>86</v>
      </c>
      <c r="CI2" s="271" t="s">
        <v>436</v>
      </c>
      <c r="CJ2" s="271" t="s">
        <v>87</v>
      </c>
      <c r="CK2" s="271" t="s">
        <v>437</v>
      </c>
      <c r="CL2" s="271" t="s">
        <v>88</v>
      </c>
      <c r="CM2" s="271" t="s">
        <v>438</v>
      </c>
      <c r="CN2" s="271" t="s">
        <v>89</v>
      </c>
      <c r="CO2" s="271" t="s">
        <v>439</v>
      </c>
      <c r="CP2" s="271" t="s">
        <v>91</v>
      </c>
      <c r="CQ2" s="271" t="s">
        <v>440</v>
      </c>
      <c r="CR2" s="271" t="s">
        <v>92</v>
      </c>
      <c r="CS2" s="271" t="s">
        <v>441</v>
      </c>
      <c r="CT2" s="271" t="s">
        <v>93</v>
      </c>
      <c r="CU2" s="271" t="s">
        <v>442</v>
      </c>
      <c r="CV2" s="271" t="s">
        <v>94</v>
      </c>
      <c r="CW2" s="271" t="s">
        <v>443</v>
      </c>
      <c r="CX2" s="271" t="s">
        <v>95</v>
      </c>
      <c r="CY2" s="271" t="s">
        <v>444</v>
      </c>
      <c r="CZ2" s="271" t="s">
        <v>96</v>
      </c>
      <c r="DA2" s="271" t="s">
        <v>445</v>
      </c>
      <c r="DB2" s="271" t="s">
        <v>97</v>
      </c>
      <c r="DC2" s="271" t="s">
        <v>446</v>
      </c>
      <c r="DD2" s="271" t="s">
        <v>209</v>
      </c>
      <c r="DE2" s="271" t="s">
        <v>447</v>
      </c>
      <c r="DF2" s="271" t="s">
        <v>110</v>
      </c>
      <c r="DG2" s="271" t="s">
        <v>448</v>
      </c>
      <c r="DH2" s="271" t="s">
        <v>111</v>
      </c>
      <c r="DI2" s="271" t="s">
        <v>449</v>
      </c>
      <c r="DJ2" s="271" t="s">
        <v>112</v>
      </c>
      <c r="DK2" s="271" t="s">
        <v>450</v>
      </c>
      <c r="DL2" s="271" t="s">
        <v>113</v>
      </c>
      <c r="DM2" s="271" t="s">
        <v>451</v>
      </c>
      <c r="DN2" s="271" t="s">
        <v>114</v>
      </c>
      <c r="DO2" s="271" t="s">
        <v>452</v>
      </c>
      <c r="DP2" s="271" t="s">
        <v>108</v>
      </c>
      <c r="DQ2" s="271" t="s">
        <v>453</v>
      </c>
      <c r="DR2" s="271" t="s">
        <v>115</v>
      </c>
      <c r="DS2" s="271" t="s">
        <v>454</v>
      </c>
      <c r="DT2" s="271" t="s">
        <v>116</v>
      </c>
      <c r="DU2" s="271" t="s">
        <v>455</v>
      </c>
      <c r="DV2" s="271" t="s">
        <v>117</v>
      </c>
      <c r="DW2" s="271" t="s">
        <v>456</v>
      </c>
      <c r="DX2" s="271" t="s">
        <v>118</v>
      </c>
      <c r="DY2" s="271" t="s">
        <v>457</v>
      </c>
      <c r="DZ2" s="271" t="s">
        <v>119</v>
      </c>
      <c r="EA2" s="271" t="s">
        <v>458</v>
      </c>
      <c r="EB2" s="271" t="s">
        <v>120</v>
      </c>
      <c r="EC2" s="271" t="s">
        <v>459</v>
      </c>
      <c r="ED2" s="271" t="s">
        <v>122</v>
      </c>
      <c r="EE2" s="271" t="s">
        <v>460</v>
      </c>
      <c r="EF2" s="271" t="s">
        <v>123</v>
      </c>
      <c r="EG2" s="271" t="s">
        <v>461</v>
      </c>
      <c r="EH2" s="271" t="s">
        <v>124</v>
      </c>
      <c r="EI2" s="271" t="s">
        <v>462</v>
      </c>
      <c r="EJ2" s="271" t="s">
        <v>125</v>
      </c>
      <c r="EK2" s="271" t="s">
        <v>463</v>
      </c>
      <c r="EL2" s="271" t="s">
        <v>126</v>
      </c>
      <c r="EM2" s="271" t="s">
        <v>464</v>
      </c>
      <c r="EN2" s="271" t="s">
        <v>127</v>
      </c>
      <c r="EO2" s="271" t="s">
        <v>465</v>
      </c>
      <c r="EP2" s="271" t="s">
        <v>128</v>
      </c>
      <c r="EQ2" s="271" t="s">
        <v>466</v>
      </c>
      <c r="ER2" s="271" t="s">
        <v>137</v>
      </c>
      <c r="ES2" s="271" t="s">
        <v>467</v>
      </c>
      <c r="ET2" s="271" t="s">
        <v>138</v>
      </c>
      <c r="EU2" s="271" t="s">
        <v>468</v>
      </c>
      <c r="EV2" s="271" t="s">
        <v>140</v>
      </c>
      <c r="EW2" s="271" t="s">
        <v>210</v>
      </c>
      <c r="EX2" s="271" t="s">
        <v>141</v>
      </c>
      <c r="EY2" s="271" t="s">
        <v>469</v>
      </c>
      <c r="EZ2" s="271" t="s">
        <v>308</v>
      </c>
      <c r="FA2" s="271" t="s">
        <v>485</v>
      </c>
      <c r="FB2" s="271" t="s">
        <v>386</v>
      </c>
    </row>
    <row r="3" spans="1:158" x14ac:dyDescent="0.3">
      <c r="A3" s="255">
        <f>RawData[[#This Row],[Num]]</f>
        <v>1</v>
      </c>
      <c r="B3" s="255">
        <f>IF(INDEX('Raw Data'!$A3:$EA3,MATCH(B$2,RawData[#Headers],))=""," ",INDEX('Raw Data'!$A3:$EA3,MATCH(B$2,RawData[#Headers],)))</f>
        <v>13.33</v>
      </c>
      <c r="C3" s="255">
        <f>IFERROR(STANDARDIZE(machina[[#This Row],[Career Strike Rate]],B$30,B$31)^2," ")</f>
        <v>0.30987777777777775</v>
      </c>
      <c r="D3" s="255">
        <f>IF(INDEX('Raw Data'!$A3:$EA3,MATCH(D$2,RawData[#Headers],))=""," ",INDEX('Raw Data'!$A3:$EA3,MATCH(D$2,RawData[#Headers],)))</f>
        <v>5</v>
      </c>
      <c r="E3" s="326">
        <f>IFERROR(STANDARDIZE(machina[[#This Row],[Career ROI]],D$30,D$31)^2," ")</f>
        <v>1.8725761772853187</v>
      </c>
      <c r="F3" s="255">
        <f>IF(INDEX('Raw Data'!$A3:$EA3,MATCH(F$2,RawData[#Headers],))=""," ",INDEX('Raw Data'!$A3:$EA3,MATCH(F$2,RawData[#Headers],)))</f>
        <v>18</v>
      </c>
      <c r="G3" s="255">
        <f>IF(ISERROR(IF(F3=""," ",RANK(F3,F$3:F$28,0)))," ",IF(F3=""," ",RANK(F3,F$3:F$28,0)))</f>
        <v>6</v>
      </c>
      <c r="H3" s="255">
        <f>IF(INDEX('Raw Data'!$A3:$EA3,MATCH(H$2,RawData[#Headers],))=""," ",INDEX('Raw Data'!$A3:$EA3,MATCH(H$2,RawData[#Headers],)))</f>
        <v>40</v>
      </c>
      <c r="I3" s="255">
        <f>IF(ISERROR(IF(H3=""," ",RANK(H3,H$3:H$28,0)))," ",IF(H3=""," ",RANK(H3,H$3:H$28,0)))</f>
        <v>4</v>
      </c>
      <c r="J3" s="255">
        <f>IF(INDEX('Raw Data'!$A3:$EA3,MATCH(J$2,RawData[#Headers],))=""," ",INDEX('Raw Data'!$A3:$EA3,MATCH(J$2,RawData[#Headers],)))</f>
        <v>1887</v>
      </c>
      <c r="K3" s="255">
        <f>IF(ISERROR(IF(J3=""," ",RANK(J3,J$3:J$28,0)))," ",IF(J3=""," ",RANK(J3,J$3:J$28,0)))</f>
        <v>3</v>
      </c>
      <c r="L3" s="255">
        <f>IF(INDEX('Raw Data'!$A3:$EA3,MATCH(L$2,RawData[#Headers],))=""," ",INDEX('Raw Data'!$A3:$EA3,MATCH(L$2,RawData[#Headers],)))</f>
        <v>21</v>
      </c>
      <c r="M3" s="255">
        <f t="shared" ref="M3:O28" si="0">IF(ISERROR(IF(L3=""," ",RANK(L3,L$3:L$28,1)))," ",IF(L3=""," ",RANK(L3,L$3:L$28,1)))</f>
        <v>6</v>
      </c>
      <c r="N3" s="255">
        <f>IF(INDEX('Raw Data'!$A3:$EA3,MATCH(N$2,RawData[#Headers],))=""," ",INDEX('Raw Data'!$A3:$EA3,MATCH(N$2,RawData[#Headers],)))</f>
        <v>20</v>
      </c>
      <c r="O3" s="255">
        <f t="shared" si="0"/>
        <v>7</v>
      </c>
      <c r="P3" s="255">
        <f>IF(INDEX('Raw Data'!$A3:$EA3,MATCH(P$2,RawData[#Headers],))=""," ",INDEX('Raw Data'!$A3:$EA3,MATCH(P$2,RawData[#Headers],)))</f>
        <v>60.5</v>
      </c>
      <c r="Q3" s="255">
        <f t="shared" ref="Q3" si="1">IF(ISERROR(IF(P3=""," ",RANK(P3,P$3:P$28,1)))," ",IF(P3=""," ",RANK(P3,P$3:P$28,1)))</f>
        <v>8</v>
      </c>
      <c r="R3" s="255">
        <f>IF(INDEX('Raw Data'!$A3:$EA3,MATCH(R$2,RawData[#Headers],))=""," ",INDEX('Raw Data'!$A3:$EA3,MATCH(R$2,RawData[#Headers],)))</f>
        <v>5</v>
      </c>
      <c r="S3" s="255">
        <f>IF(ISERROR(IF(R3=""," ",RANK(R3,R$3:R$28,0)))," ",IF(R3=""," ",RANK(R3,R$3:R$28,0)))</f>
        <v>5</v>
      </c>
      <c r="T3" s="255">
        <f>IF(INDEX('Raw Data'!$A3:$EA3,MATCH(T$2,RawData[#Headers],))=""," ",INDEX('Raw Data'!$A3:$EA3,MATCH(T$2,RawData[#Headers],)))</f>
        <v>1</v>
      </c>
      <c r="U3" s="255">
        <f>IF(ISERROR(IF(T3=""," ",RANK(T3,T$3:T$28,0)))," ",IF(T3=""," ",RANK(T3,T$3:T$28,0)))</f>
        <v>4</v>
      </c>
      <c r="V3" s="255">
        <f>IF(INDEX('Raw Data'!$A3:$EA3,MATCH(V$2,RawData[#Headers],))=""," ",INDEX('Raw Data'!$A3:$EA3,MATCH(V$2,RawData[#Headers],)))</f>
        <v>20</v>
      </c>
      <c r="W3" s="255">
        <f>IF(ISERROR(IF(V3=""," ",RANK(V3,V$3:V$28,0)))," ",IF(V3=""," ",RANK(V3,V$3:V$28,0)))</f>
        <v>2</v>
      </c>
      <c r="X3" s="255">
        <f>IF(INDEX('Raw Data'!$A3:$EA3,MATCH(X$2,RawData[#Headers],))=""," ",INDEX('Raw Data'!$A3:$EA3,MATCH(X$2,RawData[#Headers],)))</f>
        <v>-16</v>
      </c>
      <c r="Y3" s="255">
        <f>IF(ISERROR(IF(X3=""," ",RANK(X3,X$3:X$28,0)))," ",IF(X3=""," ",RANK(X3,X$3:X$28,0)))</f>
        <v>4</v>
      </c>
      <c r="Z3" s="255">
        <f>IF(INDEX('Raw Data'!$A3:$EA3,MATCH(Z$2,RawData[#Headers],))=""," ",INDEX('Raw Data'!$A3:$EA3,MATCH(Z$2,RawData[#Headers],)))</f>
        <v>4</v>
      </c>
      <c r="AA3" s="255">
        <f>IF(ISERROR(IF(Z3=""," ",RANK(Z3,Z$3:Z$28,0)))," ",IF(Z3=""," ",RANK(Z3,Z$3:Z$28,0)))</f>
        <v>3</v>
      </c>
      <c r="AB3" s="255">
        <f>IF(INDEX('Raw Data'!$A3:$EA3,MATCH(AB$2,RawData[#Headers],))=""," ",INDEX('Raw Data'!$A3:$EA3,MATCH(AB$2,RawData[#Headers],)))</f>
        <v>80</v>
      </c>
      <c r="AC3" s="255">
        <f>IF(ISERROR(IF(AB3=""," ",RANK(AB3,AB$3:AB$28,0)))," ",IF(AB3=""," ",RANK(AB3,AB$3:AB$28,0)))</f>
        <v>1</v>
      </c>
      <c r="AD3" s="255">
        <f>IF(INDEX('Raw Data'!$A3:$EA3,MATCH(AD$2,RawData[#Headers],))=""," ",INDEX('Raw Data'!$A3:$EA3,MATCH(AD$2,RawData[#Headers],)))</f>
        <v>0</v>
      </c>
      <c r="AE3" s="255">
        <f>IF(ISERROR(IF(AD3=""," ",RANK(AD3,AD$3:AD$28,0)))," ",IF(AD3=""," ",RANK(AD3,AD$3:AD$28,0)))</f>
        <v>8</v>
      </c>
      <c r="AF3" s="255">
        <f>IF(INDEX('Raw Data'!$A3:$EA3,MATCH(AF$2,RawData[#Headers],))=""," ",INDEX('Raw Data'!$A3:$EA3,MATCH(AF$2,RawData[#Headers],)))</f>
        <v>0</v>
      </c>
      <c r="AG3" s="255">
        <f>IF(ISERROR(IF(AF3=""," ",RANK(AF3,AF$3:AF$28,0)))," ",IF(AF3=""," ",RANK(AF3,AF$3:AF$28,0)))</f>
        <v>3</v>
      </c>
      <c r="AH3" s="255">
        <f>IF(INDEX('Raw Data'!$A3:$EA3,MATCH(AH$2,RawData[#Headers],))=""," ",INDEX('Raw Data'!$A3:$EA3,MATCH(AH$2,RawData[#Headers],)))</f>
        <v>0</v>
      </c>
      <c r="AI3" s="255">
        <f>IF(ISERROR(IF(AH3=""," ",RANK(AH3,AH$3:AH$28,0)))," ",IF(AH3=""," ",RANK(AH3,AH$3:AH$28,0)))</f>
        <v>3</v>
      </c>
      <c r="AJ3" s="255">
        <f>IF(INDEX('Raw Data'!$A3:$EA3,MATCH(AJ$2,RawData[#Headers],))=""," ",INDEX('Raw Data'!$A3:$EA3,MATCH(AJ$2,RawData[#Headers],)))</f>
        <v>0</v>
      </c>
      <c r="AK3" s="255">
        <f>IF(ISERROR(IF(AJ3=""," ",RANK(AJ3,AJ$3:AJ$28,0)))," ",IF(AJ3=""," ",RANK(AJ3,AJ$3:AJ$28,0)))</f>
        <v>1</v>
      </c>
      <c r="AL3" s="255">
        <f>IF(INDEX('Raw Data'!$A3:$EA3,MATCH(AL$2,RawData[#Headers],))=""," ",INDEX('Raw Data'!$A3:$EA3,MATCH(AL$2,RawData[#Headers],)))</f>
        <v>0</v>
      </c>
      <c r="AM3" s="255">
        <f>IF(ISERROR(IF(AL3=""," ",RANK(AL3,AL$3:AL$28,0)))," ",IF(AL3=""," ",RANK(AL3,AL$3:AL$28,0)))</f>
        <v>7</v>
      </c>
      <c r="AN3" s="255">
        <f>IF(INDEX('Raw Data'!$A3:$EA3,MATCH(AN$2,RawData[#Headers],))=""," ",INDEX('Raw Data'!$A3:$EA3,MATCH(AN$2,RawData[#Headers],)))</f>
        <v>0</v>
      </c>
      <c r="AO3" s="255">
        <f>IF(ISERROR(IF(AN3=""," ",RANK(AN3,AN$3:AN$28,0)))," ",IF(AN3=""," ",RANK(AN3,AN$3:AN$28,0)))</f>
        <v>7</v>
      </c>
      <c r="AP3" s="255">
        <f>IF(INDEX('Raw Data'!$A3:$EA3,MATCH(AP$2,RawData[#Headers],))=""," ",INDEX('Raw Data'!$A3:$EA3,MATCH(AP$2,RawData[#Headers],)))</f>
        <v>0</v>
      </c>
      <c r="AQ3" s="255">
        <f>IF(ISERROR(IF(AP3=""," ",RANK(AP3,AP$3:AP$28,0)))," ",IF(AP3=""," ",RANK(AP3,AP$3:AP$28,0)))</f>
        <v>7</v>
      </c>
      <c r="AR3" s="255">
        <f>IF(INDEX('Raw Data'!$A3:$EA3,MATCH(AR$2,RawData[#Headers],))=""," ",INDEX('Raw Data'!$A3:$EA3,MATCH(AR$2,RawData[#Headers],)))</f>
        <v>0</v>
      </c>
      <c r="AS3" s="255">
        <f>IF(ISERROR(IF(AR3=""," ",RANK(AR3,AR$3:AR$28,0)))," ",IF(AR3=""," ",RANK(AR3,AR$3:AR$28,0)))</f>
        <v>2</v>
      </c>
      <c r="AT3" s="255">
        <f>IF(INDEX('Raw Data'!$A3:$EA3,MATCH(AT$2,RawData[#Headers],))=""," ",INDEX('Raw Data'!$A3:$EA3,MATCH(AT$2,RawData[#Headers],)))</f>
        <v>0</v>
      </c>
      <c r="AU3" s="255">
        <f>IF(ISERROR(IF(AT3=""," ",RANK(AT3,AT$3:AT$28,0)))," ",IF(AT3=""," ",RANK(AT3,AT$3:AT$28,0)))</f>
        <v>2</v>
      </c>
      <c r="AV3" s="255">
        <f>IF(INDEX('Raw Data'!$A3:$EA3,MATCH(AV$2,RawData[#Headers],))=""," ",INDEX('Raw Data'!$A3:$EA3,MATCH(AV$2,RawData[#Headers],)))</f>
        <v>0</v>
      </c>
      <c r="AW3" s="255">
        <f>IF(ISERROR(IF(AV3=""," ",RANK(AV3,AV$3:AV$28,0)))," ",IF(AV3=""," ",RANK(AV3,AV$3:AV$28,0)))</f>
        <v>2</v>
      </c>
      <c r="AX3" s="255">
        <f>IF(INDEX('Raw Data'!$A3:$EA3,MATCH(AX$2,RawData[#Headers],))=""," ",INDEX('Raw Data'!$A3:$EA3,MATCH(AX$2,RawData[#Headers],)))</f>
        <v>0</v>
      </c>
      <c r="AY3" s="255">
        <f>IF(ISERROR(IF(AX3=""," ",RANK(AX3,AX$3:AX$28,0)))," ",IF(AX3=""," ",RANK(AX3,AX$3:AX$28,0)))</f>
        <v>5</v>
      </c>
      <c r="AZ3" s="255">
        <f>IF(INDEX('Raw Data'!$A3:$EA3,MATCH(AZ$2,RawData[#Headers],))=""," ",INDEX('Raw Data'!$A3:$EA3,MATCH(AZ$2,RawData[#Headers],)))</f>
        <v>0</v>
      </c>
      <c r="BA3" s="255">
        <f>IF(ISERROR(IF(AZ3=""," ",RANK(AZ3,AZ$3:AZ$28,0)))," ",IF(AZ3=""," ",RANK(AZ3,AZ$3:AZ$28,0)))</f>
        <v>5</v>
      </c>
      <c r="BB3" s="255">
        <f>IF(INDEX('Raw Data'!$A3:$EA3,MATCH(BB$2,RawData[#Headers],))=""," ",INDEX('Raw Data'!$A3:$EA3,MATCH(BB$2,RawData[#Headers],)))</f>
        <v>10</v>
      </c>
      <c r="BC3" s="255">
        <f>IF(ISERROR(IF(BB3=""," ",RANK(BB3,BB$3:BB$28,0)))," ",IF(BB3=""," ",RANK(BB3,BB$3:BB$28,0)))</f>
        <v>4</v>
      </c>
      <c r="BD3" s="255">
        <f>IF(INDEX('Raw Data'!$A3:$EA3,MATCH(BD$2,RawData[#Headers],))=""," ",INDEX('Raw Data'!$A3:$EA3,MATCH(BD$2,RawData[#Headers],)))</f>
        <v>2</v>
      </c>
      <c r="BE3" s="255">
        <f>IF(ISERROR(IF(BD3=""," ",RANK(BD3,BD$3:BD$28,0)))," ",IF(BD3=""," ",RANK(BD3,BD$3:BD$28,0)))</f>
        <v>1</v>
      </c>
      <c r="BF3" s="255">
        <f>IF(INDEX('Raw Data'!$A3:$EA3,MATCH(BF$2,RawData[#Headers],))=""," ",INDEX('Raw Data'!$A3:$EA3,MATCH(BF$2,RawData[#Headers],)))</f>
        <v>20</v>
      </c>
      <c r="BG3" s="255">
        <f>IF(ISERROR(IF(BF3=""," ",RANK(BF3,BF$3:BF$28,0)))," ",IF(BF3=""," ",RANK(BF3,BF$3:BF$28,0)))</f>
        <v>1</v>
      </c>
      <c r="BH3" s="255">
        <f>IF(INDEX('Raw Data'!$A3:$EA3,MATCH(BH$2,RawData[#Headers],))=""," ",INDEX('Raw Data'!$A3:$EA3,MATCH(BH$2,RawData[#Headers],)))</f>
        <v>52</v>
      </c>
      <c r="BI3" s="255">
        <f>IF(ISERROR(IF(BH3=""," ",RANK(BH3,BH$3:BH$28,0)))," ",IF(BH3=""," ",RANK(BH3,BH$3:BH$28,0)))</f>
        <v>2</v>
      </c>
      <c r="BJ3" s="255">
        <f>IF(INDEX('Raw Data'!$A3:$EA3,MATCH(BJ$2,RawData[#Headers],))=""," ",INDEX('Raw Data'!$A3:$EA3,MATCH(BJ$2,RawData[#Headers],)))</f>
        <v>5</v>
      </c>
      <c r="BK3" s="255">
        <f>IF(ISERROR(IF(BJ3=""," ",RANK(BJ3,BJ$3:BJ$28,0)))," ",IF(BJ3=""," ",RANK(BJ3,BJ$3:BJ$28,0)))</f>
        <v>3</v>
      </c>
      <c r="BL3" s="255">
        <f>IF(INDEX('Raw Data'!$A3:$EA3,MATCH(BL$2,RawData[#Headers],))=""," ",INDEX('Raw Data'!$A3:$EA3,MATCH(BL$2,RawData[#Headers],)))</f>
        <v>50</v>
      </c>
      <c r="BM3" s="255">
        <f>IF(ISERROR(IF(BL3=""," ",RANK(BL3,BL$3:BL$28,0)))," ",IF(BL3=""," ",RANK(BL3,BL$3:BL$28,0)))</f>
        <v>2</v>
      </c>
      <c r="BN3" s="255">
        <f>IF(INDEX('Raw Data'!$A3:$EA3,MATCH(BN$2,RawData[#Headers],))=""," ",INDEX('Raw Data'!$A3:$EA3,MATCH(BN$2,RawData[#Headers],)))</f>
        <v>2328</v>
      </c>
      <c r="BO3" s="255">
        <f>IF(ISERROR(IF(BN3=""," ",RANK(BN3,BN$3:BN$28,0)))," ",IF(BN3=""," ",RANK(BN3,BN$3:BN$28,0)))</f>
        <v>2</v>
      </c>
      <c r="BP3" s="255">
        <f>IF(INDEX('Raw Data'!$A3:$EA3,MATCH(BP$2,RawData[#Headers],))=""," ",INDEX('Raw Data'!$A3:$EA3,MATCH(BP$2,RawData[#Headers],)))</f>
        <v>100</v>
      </c>
      <c r="BQ3" s="255">
        <f>IF(ISERROR(IF(BP3=""," ",RANK(BP3,BP$3:BP$28,0)))," ",IF(BP3=""," ",RANK(BP3,BP$3:BP$28,0)))</f>
        <v>1</v>
      </c>
      <c r="BR3" s="255">
        <f>IF(INDEX('Raw Data'!$A3:$EA3,MATCH(BR$2,RawData[#Headers],))=""," ",INDEX('Raw Data'!$A3:$EA3,MATCH(BR$2,RawData[#Headers],)))</f>
        <v>11</v>
      </c>
      <c r="BS3" s="255">
        <f>IF(ISERROR(IF(BR3=""," ",RANK(BR3,BR$3:BR$28,0)))," ",IF(BR3=""," ",RANK(BR3,BR$3:BR$28,0)))</f>
        <v>2</v>
      </c>
      <c r="BT3" s="255">
        <f>IF(INDEX('Raw Data'!$A3:$EA3,MATCH(BT$2,RawData[#Headers],))=""," ",INDEX('Raw Data'!$A3:$EA3,MATCH(BT$2,RawData[#Headers],)))</f>
        <v>11</v>
      </c>
      <c r="BU3" s="255">
        <f>IF(ISERROR(IF(BT3=""," ",RANK(BT3,BT$3:BT$28,0)))," ",IF(BT3=""," ",RANK(BT3,BT$3:BT$28,0)))</f>
        <v>2</v>
      </c>
      <c r="BV3" s="255">
        <f>IF(INDEX('Raw Data'!$A3:$EA3,MATCH(BV$2,RawData[#Headers],))=""," ",INDEX('Raw Data'!$A3:$EA3,MATCH(BV$2,RawData[#Headers],)))</f>
        <v>-7</v>
      </c>
      <c r="BW3" s="255">
        <f>IF(ISERROR(IF(BV3=""," ",RANK(BV3,BV$3:BV$28,0)))," ",IF(BV3=""," ",RANK(BV3,BV$3:BV$28,0)))</f>
        <v>2</v>
      </c>
      <c r="BX3" s="255">
        <f>IF(INDEX('Raw Data'!$A3:$EA3,MATCH(BX$2,RawData[#Headers],))=""," ",INDEX('Raw Data'!$A3:$EA3,MATCH(BX$2,RawData[#Headers],)))</f>
        <v>30</v>
      </c>
      <c r="BY3" s="255">
        <f>IF(ISERROR(IF(BX3=""," ",RANK(BX3,BX$3:BX$28,0)))," ",IF(BX3=""," ",RANK(BX3,BX$3:BX$28,0)))</f>
        <v>5</v>
      </c>
      <c r="BZ3" s="255">
        <f>IF(INDEX('Raw Data'!$A3:$EA3,MATCH(BZ$2,RawData[#Headers],))=""," ",INDEX('Raw Data'!$A3:$EA3,MATCH(BZ$2,RawData[#Headers],)))</f>
        <v>30</v>
      </c>
      <c r="CA3" s="255">
        <f>IF(ISERROR(IF(BZ3=""," ",RANK(BZ3,BZ$3:BZ$28,0)))," ",IF(BZ3=""," ",RANK(BZ3,BZ$3:BZ$28,0)))</f>
        <v>5</v>
      </c>
      <c r="CB3" s="255">
        <f>IF(INDEX('Raw Data'!$A3:$EA3,MATCH(CB$2,RawData[#Headers],))=""," ",INDEX('Raw Data'!$A3:$EA3,MATCH(CB$2,RawData[#Headers],)))</f>
        <v>2973</v>
      </c>
      <c r="CC3" s="255">
        <f>IF(ISERROR(IF(CB3=""," ",RANK(CB3,CB$3:CB$28,0)))," ",IF(CB3=""," ",RANK(CB3,CB$3:CB$28,0)))</f>
        <v>1</v>
      </c>
      <c r="CD3" s="255">
        <f>IF(INDEX('Raw Data'!$A3:$EA3,MATCH(CD$2,RawData[#Headers],))=""," ",INDEX('Raw Data'!$A3:$EA3,MATCH(CD$2,RawData[#Headers],)))</f>
        <v>277</v>
      </c>
      <c r="CE3" s="255">
        <f>IF(ISERROR(IF(CD3=""," ",RANK(CD3,CD$3:CD$28,0)))," ",IF(CD3=""," ",RANK(CD3,CD$3:CD$28,0)))</f>
        <v>3</v>
      </c>
      <c r="CF3" s="255">
        <f>IF(INDEX('Raw Data'!$A3:$EA3,MATCH(CF$2,RawData[#Headers],))=""," ",INDEX('Raw Data'!$A3:$EA3,MATCH(CF$2,RawData[#Headers],)))</f>
        <v>30</v>
      </c>
      <c r="CG3" s="255">
        <f>IF(ISERROR(IF(CF3=""," ",RANK(CF3,CF$3:CF$28,0)))," ",IF(CF3=""," ",RANK(CF3,CF$3:CF$28,0)))</f>
        <v>3</v>
      </c>
      <c r="CH3" s="255">
        <f>IF(INDEX('Raw Data'!$A3:$EA3,MATCH(CH$2,RawData[#Headers],))=""," ",INDEX('Raw Data'!$A3:$EA3,MATCH(CH$2,RawData[#Headers],)))</f>
        <v>10.83</v>
      </c>
      <c r="CI3" s="255">
        <f>IF(ISERROR(IF(CH3=""," ",RANK(CH3,CH$3:CH$28,0)))," ",IF(CH3=""," ",RANK(CH3,CH$3:CH$28,0)))</f>
        <v>5</v>
      </c>
      <c r="CJ3" s="255">
        <f>IF(INDEX('Raw Data'!$A3:$EA3,MATCH(CJ$2,RawData[#Headers],))=""," ",INDEX('Raw Data'!$A3:$EA3,MATCH(CJ$2,RawData[#Headers],)))</f>
        <v>-28</v>
      </c>
      <c r="CK3" s="255">
        <f>IF(ISERROR(IF(CJ3=""," ",RANK(CJ3,CJ$3:CJ$28,0)))," ",IF(CJ3=""," ",RANK(CJ3,CJ$3:CJ$28,0)))</f>
        <v>5</v>
      </c>
      <c r="CL3" s="255">
        <f>IF(INDEX('Raw Data'!$A3:$EA3,MATCH(CL$2,RawData[#Headers],))=""," ",INDEX('Raw Data'!$A3:$EA3,MATCH(CL$2,RawData[#Headers],)))</f>
        <v>88</v>
      </c>
      <c r="CM3" s="255">
        <f>IF(ISERROR(IF(CL3=""," ",RANK(CL3,CL$3:CL$28,0)))," ",IF(CL3=""," ",RANK(CL3,CL$3:CL$28,0)))</f>
        <v>3</v>
      </c>
      <c r="CN3" s="255">
        <f>IF(INDEX('Raw Data'!$A3:$EA3,MATCH(CN$2,RawData[#Headers],))=""," ",INDEX('Raw Data'!$A3:$EA3,MATCH(CN$2,RawData[#Headers],)))</f>
        <v>31.77</v>
      </c>
      <c r="CO3" s="255">
        <f>IF(ISERROR(IF(CN3=""," ",RANK(CN3,CN$3:CN$28,0)))," ",IF(CN3=""," ",RANK(CN3,CN$3:CN$28,0)))</f>
        <v>5</v>
      </c>
      <c r="CP3" s="255">
        <f>IF(INDEX('Raw Data'!$A3:$EA3,MATCH(CP$2,RawData[#Headers],))=""," ",INDEX('Raw Data'!$A3:$EA3,MATCH(CP$2,RawData[#Headers],)))</f>
        <v>2973</v>
      </c>
      <c r="CQ3" s="255">
        <f>IF(ISERROR(IF(CP3=""," ",RANK(CP3,CP$3:CP$28,0)))," ",IF(CP3=""," ",RANK(CP3,CP$3:CP$28,0)))</f>
        <v>1</v>
      </c>
      <c r="CR3" s="255">
        <f>IF(INDEX('Raw Data'!$A3:$EA3,MATCH(CR$2,RawData[#Headers],))=""," ",INDEX('Raw Data'!$A3:$EA3,MATCH(CR$2,RawData[#Headers],)))</f>
        <v>277</v>
      </c>
      <c r="CS3" s="255">
        <f>IF(ISERROR(IF(CR3=""," ",RANK(CR3,CR$3:CR$28,0)))," ",IF(CR3=""," ",RANK(CR3,CR$3:CR$28,0)))</f>
        <v>3</v>
      </c>
      <c r="CT3" s="255">
        <f>IF(INDEX('Raw Data'!$A3:$EA3,MATCH(CT$2,RawData[#Headers],))=""," ",INDEX('Raw Data'!$A3:$EA3,MATCH(CT$2,RawData[#Headers],)))</f>
        <v>30</v>
      </c>
      <c r="CU3" s="255">
        <f>IF(ISERROR(IF(CT3=""," ",RANK(CT3,CT$3:CT$28,0)))," ",IF(CT3=""," ",RANK(CT3,CT$3:CT$28,0)))</f>
        <v>3</v>
      </c>
      <c r="CV3" s="255">
        <f>IF(INDEX('Raw Data'!$A3:$EA3,MATCH(CV$2,RawData[#Headers],))=""," ",INDEX('Raw Data'!$A3:$EA3,MATCH(CV$2,RawData[#Headers],)))</f>
        <v>10.83</v>
      </c>
      <c r="CW3" s="255">
        <f>IF(ISERROR(IF(CV3=""," ",RANK(CV3,CV$3:CV$28,0)))," ",IF(CV3=""," ",RANK(CV3,CV$3:CV$28,0)))</f>
        <v>4</v>
      </c>
      <c r="CX3" s="255">
        <f>IF(INDEX('Raw Data'!$A3:$EA3,MATCH(CX$2,RawData[#Headers],))=""," ",INDEX('Raw Data'!$A3:$EA3,MATCH(CX$2,RawData[#Headers],)))</f>
        <v>-28</v>
      </c>
      <c r="CY3" s="255">
        <f>IF(ISERROR(IF(CX3=""," ",RANK(CX3,CX$3:CX$28,0)))," ",IF(CX3=""," ",RANK(CX3,CX$3:CX$28,0)))</f>
        <v>5</v>
      </c>
      <c r="CZ3" s="255">
        <f>IF(INDEX('Raw Data'!$A3:$EA3,MATCH(CZ$2,RawData[#Headers],))=""," ",INDEX('Raw Data'!$A3:$EA3,MATCH(CZ$2,RawData[#Headers],)))</f>
        <v>88</v>
      </c>
      <c r="DA3" s="255">
        <f>IF(ISERROR(IF(CZ3=""," ",RANK(CZ3,CZ$3:CZ$28,0)))," ",IF(CZ3=""," ",RANK(CZ3,CZ$3:CZ$28,0)))</f>
        <v>3</v>
      </c>
      <c r="DB3" s="255">
        <f>IF(INDEX('Raw Data'!$A3:$EA3,MATCH(DB$2,RawData[#Headers],))=""," ",INDEX('Raw Data'!$A3:$EA3,MATCH(DB$2,RawData[#Headers],)))</f>
        <v>31.77</v>
      </c>
      <c r="DC3" s="255">
        <f>IF(ISERROR(IF(DB3=""," ",RANK(DB3,DB$3:DB$28,0)))," ",IF(DB3=""," ",RANK(DB3,DB$3:DB$28,0)))</f>
        <v>5</v>
      </c>
      <c r="DD3" s="255">
        <f>IF(INDEX('Raw Data'!$A3:$EA3,MATCH(DD$2,RawData[#Headers],))=""," ",INDEX('Raw Data'!$A3:$EA3,MATCH(DD$2,RawData[#Headers],)))</f>
        <v>1258</v>
      </c>
      <c r="DE3" s="255">
        <f>IF(ISERROR(IF(DD3=""," ",RANK(DD3,DD$3:DD$28,0)))," ",IF(DD3=""," ",RANK(DD3,DD$3:DD$28,0)))</f>
        <v>4</v>
      </c>
      <c r="DF3" s="255">
        <f>IF(INDEX('Raw Data'!$A3:$EA3,MATCH(DF$2,RawData[#Headers],))=""," ",INDEX('Raw Data'!$A3:$EA3,MATCH(DF$2,RawData[#Headers],)))</f>
        <v>11</v>
      </c>
      <c r="DG3" s="255">
        <f>IF(ISERROR(IF(DF3=""," ",RANK(DF3,DF$3:DF$28,0)))," ",IF(DF3=""," ",RANK(DF3,DF$3:DF$28,0)))</f>
        <v>3</v>
      </c>
      <c r="DH3" s="255">
        <f>IF(INDEX('Raw Data'!$A3:$EA3,MATCH(DH$2,RawData[#Headers],))=""," ",INDEX('Raw Data'!$A3:$EA3,MATCH(DH$2,RawData[#Headers],)))</f>
        <v>11</v>
      </c>
      <c r="DI3" s="255">
        <f>IF(ISERROR(IF(DH3=""," ",RANK(DH3,DH$3:DH$28,0)))," ",IF(DH3=""," ",RANK(DH3,DH$3:DH$28,0)))</f>
        <v>3</v>
      </c>
      <c r="DJ3" s="255">
        <f>IF(INDEX('Raw Data'!$A3:$EA3,MATCH(DJ$2,RawData[#Headers],))=""," ",INDEX('Raw Data'!$A3:$EA3,MATCH(DJ$2,RawData[#Headers],)))</f>
        <v>-17</v>
      </c>
      <c r="DK3" s="255">
        <f>IF(ISERROR(IF(DJ3=""," ",RANK(DJ3,DJ$3:DJ$28,0)))," ",IF(DJ3=""," ",RANK(DJ3,DJ$3:DJ$28,0)))</f>
        <v>2</v>
      </c>
      <c r="DL3" s="255">
        <f>IF(INDEX('Raw Data'!$A3:$EA3,MATCH(DL$2,RawData[#Headers],))=""," ",INDEX('Raw Data'!$A3:$EA3,MATCH(DL$2,RawData[#Headers],)))</f>
        <v>29</v>
      </c>
      <c r="DM3" s="255">
        <f>IF(ISERROR(IF(DL3=""," ",RANK(DL3,DL$3:DL$28,0)))," ",IF(DL3=""," ",RANK(DL3,DL$3:DL$28,0)))</f>
        <v>5</v>
      </c>
      <c r="DN3" s="255">
        <f>IF(INDEX('Raw Data'!$A3:$EA3,MATCH(DN$2,RawData[#Headers],))=""," ",INDEX('Raw Data'!$A3:$EA3,MATCH(DN$2,RawData[#Headers],)))</f>
        <v>29</v>
      </c>
      <c r="DO3" s="255">
        <f>IF(ISERROR(IF(DN3=""," ",RANK(DN3,DN$3:DN$28,0)))," ",IF(DN3=""," ",RANK(DN3,DN$3:DN$28,0)))</f>
        <v>6</v>
      </c>
      <c r="DP3" s="255">
        <f>IF(INDEX('Raw Data'!$A3:$EA3,MATCH(DP$2,RawData[#Headers],))=""," ",INDEX('Raw Data'!$A3:$EA3,MATCH(DP$2,RawData[#Headers],)))</f>
        <v>1078</v>
      </c>
      <c r="DQ3" s="255">
        <f>IF(ISERROR(IF(DP3=""," ",RANK(DP3,DP$3:DP$28,0)))," ",IF(DP3=""," ",RANK(DP3,DP$3:DP$28,0)))</f>
        <v>5</v>
      </c>
      <c r="DR3" s="255">
        <f>IF(INDEX('Raw Data'!$A3:$EA3,MATCH(DR$2,RawData[#Headers],))=""," ",INDEX('Raw Data'!$A3:$EA3,MATCH(DR$2,RawData[#Headers],)))</f>
        <v>79</v>
      </c>
      <c r="DS3" s="255">
        <f>IF(ISERROR(IF(DR3=""," ",RANK(DR3,DR$3:DR$28,0)))," ",IF(DR3=""," ",RANK(DR3,DR$3:DR$28,0)))</f>
        <v>3</v>
      </c>
      <c r="DT3" s="255">
        <f>IF(INDEX('Raw Data'!$A3:$EA3,MATCH(DT$2,RawData[#Headers],))=""," ",INDEX('Raw Data'!$A3:$EA3,MATCH(DT$2,RawData[#Headers],)))</f>
        <v>9</v>
      </c>
      <c r="DU3" s="255">
        <f>IF(ISERROR(IF(DT3=""," ",RANK(DT3,DT$3:DT$28,0)))," ",IF(DT3=""," ",RANK(DT3,DT$3:DT$28,0)))</f>
        <v>3</v>
      </c>
      <c r="DV3" s="255">
        <f>IF(INDEX('Raw Data'!$A3:$EA3,MATCH(DV$2,RawData[#Headers],))=""," ",INDEX('Raw Data'!$A3:$EA3,MATCH(DV$2,RawData[#Headers],)))</f>
        <v>11.39</v>
      </c>
      <c r="DW3" s="255">
        <f>IF(ISERROR(IF(DV3=""," ",RANK(DV3,DV$3:DV$28,0)))," ",IF(DV3=""," ",RANK(DV3,DV$3:DV$28,0)))</f>
        <v>3</v>
      </c>
      <c r="DX3" s="255">
        <f>IF(INDEX('Raw Data'!$A3:$EA3,MATCH(DX$2,RawData[#Headers],))=""," ",INDEX('Raw Data'!$A3:$EA3,MATCH(DX$2,RawData[#Headers],)))</f>
        <v>-22</v>
      </c>
      <c r="DY3" s="255">
        <f>IF(ISERROR(IF(DX3=""," ",RANK(DX3,DX$3:DX$28,0)))," ",IF(DX3=""," ",RANK(DX3,DX$3:DX$28,0)))</f>
        <v>3</v>
      </c>
      <c r="DZ3" s="255">
        <f>IF(INDEX('Raw Data'!$A3:$EA3,MATCH(DZ$2,RawData[#Headers],))=""," ",INDEX('Raw Data'!$A3:$EA3,MATCH(DZ$2,RawData[#Headers],)))</f>
        <v>21</v>
      </c>
      <c r="EA3" s="255">
        <f>IF(ISERROR(IF(DZ3=""," ",RANK(DZ3,DZ$3:DZ$28,0)))," ",IF(DZ3=""," ",RANK(DZ3,DZ$3:DZ$28,0)))</f>
        <v>3</v>
      </c>
      <c r="EB3" s="255">
        <f>IF(INDEX('Raw Data'!$A3:$EA3,MATCH(EB$2,RawData[#Headers],))=""," ",INDEX('Raw Data'!$A3:$EA3,MATCH(EB$2,RawData[#Headers],)))</f>
        <v>26.58</v>
      </c>
      <c r="EC3" s="255">
        <f>IF(ISERROR(IF(EB3=""," ",RANK(EB3,EB$3:EB$28,0)))," ",IF(EB3=""," ",RANK(EB3,EB$3:EB$28,0)))</f>
        <v>5</v>
      </c>
      <c r="ED3" s="255">
        <f>IF(INDEX('Raw Data'!$A3:$EA3,MATCH(ED$2,RawData[#Headers],))=""," ",INDEX('Raw Data'!$A3:$EA3,MATCH(ED$2,RawData[#Headers],)))</f>
        <v>1164</v>
      </c>
      <c r="EE3" s="255">
        <f>IF(ISERROR(IF(ED3=""," ",RANK(ED3,ED$3:ED$28,0)))," ",IF(ED3=""," ",RANK(ED3,ED$3:ED$28,0)))</f>
        <v>4</v>
      </c>
      <c r="EF3" s="255">
        <f>IF(INDEX('Raw Data'!$A3:$EA3,MATCH(EF$2,RawData[#Headers],))=""," ",INDEX('Raw Data'!$A3:$EA3,MATCH(EF$2,RawData[#Headers],)))</f>
        <v>69</v>
      </c>
      <c r="EG3" s="255">
        <f>IF(ISERROR(IF(EF3=""," ",RANK(EF3,EF$3:EF$28,0)))," ",IF(EF3=""," ",RANK(EF3,EF$3:EF$28,0)))</f>
        <v>3</v>
      </c>
      <c r="EH3" s="255">
        <f>IF(INDEX('Raw Data'!$A3:$EA3,MATCH(EH$2,RawData[#Headers],))=""," ",INDEX('Raw Data'!$A3:$EA3,MATCH(EH$2,RawData[#Headers],)))</f>
        <v>9</v>
      </c>
      <c r="EI3" s="255">
        <f>IF(ISERROR(IF(EH3=""," ",RANK(EH3,EH$3:EH$28,0)))," ",IF(EH3=""," ",RANK(EH3,EH$3:EH$28,0)))</f>
        <v>2</v>
      </c>
      <c r="EJ3" s="255">
        <f>IF(INDEX('Raw Data'!$A3:$EA3,MATCH(EJ$2,RawData[#Headers],))=""," ",INDEX('Raw Data'!$A3:$EA3,MATCH(EJ$2,RawData[#Headers],)))</f>
        <v>13.04</v>
      </c>
      <c r="EK3" s="255">
        <f>IF(ISERROR(IF(EJ3=""," ",RANK(EJ3,EJ$3:EJ$28,0)))," ",IF(EJ3=""," ",RANK(EJ3,EJ$3:EJ$28,0)))</f>
        <v>3</v>
      </c>
      <c r="EL3" s="255">
        <f>IF(INDEX('Raw Data'!$A3:$EA3,MATCH(EL$2,RawData[#Headers],))=""," ",INDEX('Raw Data'!$A3:$EA3,MATCH(EL$2,RawData[#Headers],)))</f>
        <v>-11</v>
      </c>
      <c r="EM3" s="255">
        <f>IF(ISERROR(IF(EL3=""," ",RANK(EL3,EL$3:EL$28,0)))," ",IF(EL3=""," ",RANK(EL3,EL$3:EL$28,0)))</f>
        <v>3</v>
      </c>
      <c r="EN3" s="255">
        <f>IF(INDEX('Raw Data'!$A3:$EA3,MATCH(EN$2,RawData[#Headers],))=""," ",INDEX('Raw Data'!$A3:$EA3,MATCH(EN$2,RawData[#Headers],)))</f>
        <v>18</v>
      </c>
      <c r="EO3" s="255">
        <f>IF(ISERROR(IF(EN3=""," ",RANK(EN3,EN$3:EN$28,0)))," ",IF(EN3=""," ",RANK(EN3,EN$3:EN$28,0)))</f>
        <v>4</v>
      </c>
      <c r="EP3" s="255">
        <f>IF(INDEX('Raw Data'!$A3:$EA3,MATCH(EP$2,RawData[#Headers],))=""," ",INDEX('Raw Data'!$A3:$EA3,MATCH(EP$2,RawData[#Headers],)))</f>
        <v>26.09</v>
      </c>
      <c r="EQ3" s="255">
        <f>IF(ISERROR(IF(EP3=""," ",RANK(EP3,EP$3:EP$28,0)))," ",IF(EP3=""," ",RANK(EP3,EP$3:EP$28,0)))</f>
        <v>5</v>
      </c>
      <c r="ER3" s="255">
        <f>IF(INDEX('Raw Data'!$A3:$EA3,MATCH(ER$2,RawData[#Headers],))=""," ",INDEX('Raw Data'!$A3:$EA3,MATCH(ER$2,RawData[#Headers],)))</f>
        <v>2</v>
      </c>
      <c r="ES3" s="255">
        <f t="shared" ref="ES3:ES28" si="2">IF(ISERROR(IF(ER3=""," ",RANK(ER3,ER$3:ER$28,1)))," ",IF(ER3=""," ",RANK(ER3,ER$3:ER$28,1)))</f>
        <v>1</v>
      </c>
      <c r="ET3" s="255">
        <f>IF(INDEX('Raw Data'!$A3:$EA3,MATCH(ET$2,RawData[#Headers],))=""," ",INDEX('Raw Data'!$A3:$EA3,MATCH(ET$2,RawData[#Headers],)))</f>
        <v>1</v>
      </c>
      <c r="EU3" s="255">
        <f t="shared" ref="EU3:EU28" si="3">IF(ISERROR(IF(ET3=""," ",RANK(ET3,ET$3:ET$28,1)))," ",IF(ET3=""," ",RANK(ET3,ET$3:ET$28,1)))</f>
        <v>1</v>
      </c>
      <c r="EV3" s="255">
        <f>IF(INDEX('Raw Data'!$A3:$EA3,MATCH(EV$2,RawData[#Headers],))=""," ",INDEX('Raw Data'!$A3:$EA3,MATCH(EV$2,RawData[#Headers],)))</f>
        <v>330</v>
      </c>
      <c r="EW3" s="255">
        <f t="shared" ref="EW3:EW28" si="4">IF(ISERROR(IF(EV3=""," ",RANK(EV3,EV$3:EV$28,1)))," ",IF(EV3=""," ",RANK(EV3,EV$3:EV$28,1)))</f>
        <v>7</v>
      </c>
      <c r="EX3" s="255">
        <f>IF(INDEX('Raw Data'!$A3:$EA3,MATCH(EX$2,RawData[#Headers],))=""," ",INDEX('Raw Data'!$A3:$EA3,MATCH(EX$2,RawData[#Headers],)))</f>
        <v>20000</v>
      </c>
      <c r="EY3" s="255">
        <f>IF(ISERROR(IF(EX3=""," ",RANK(EX3,EX$3:EX$28,0)))," ",IF(EX3=""," ",RANK(EX3,EX$3:EX$28,0)))</f>
        <v>1</v>
      </c>
      <c r="EZ3" s="276">
        <f>IF(INDEX('Raw Data'!$A3:$EA3,MATCH(EZ$2,RawData[#Headers],))=""," ",INDEX('Raw Data'!$A3:$EA3,MATCH(EZ$2,RawData[#Headers],)))</f>
        <v>12321</v>
      </c>
      <c r="FA3" s="255">
        <f>IF(ISERROR(IF(EZ3=""," ",RANK(EZ3,EZ$3:EZ$28,0)))," ",IF(EZ3=""," ",RANK(EZ3,EZ$3:EZ$28,0)))</f>
        <v>2</v>
      </c>
      <c r="FB3" s="255">
        <f>IF(INDEX('Raw Data'!$A3:$EA3,MATCH(FB$2,RawData[#Headers],))=""," ",INDEX('Raw Data'!$A3:$EA3,MATCH(FB$2,RawData[#Headers],)))</f>
        <v>4</v>
      </c>
    </row>
    <row r="4" spans="1:158" x14ac:dyDescent="0.3">
      <c r="A4" s="255">
        <f>RawData[[#This Row],[Num]]</f>
        <v>2</v>
      </c>
      <c r="B4" s="255">
        <f>IF(INDEX('Raw Data'!$A4:$EA4,MATCH(B$2,RawData[#Headers],))=""," ",INDEX('Raw Data'!$A4:$EA4,MATCH(B$2,RawData[#Headers],)))</f>
        <v>13.79</v>
      </c>
      <c r="C4" s="326">
        <f>IFERROR(STANDARDIZE(machina[[#This Row],[Career Strike Rate]],B$30,B$31)^2," ")</f>
        <v>0.162677777777778</v>
      </c>
      <c r="D4" s="255">
        <f>IF(INDEX('Raw Data'!$A4:$EA4,MATCH(D$2,RawData[#Headers],))=""," ",INDEX('Raw Data'!$A4:$EA4,MATCH(D$2,RawData[#Headers],)))</f>
        <v>-32</v>
      </c>
      <c r="E4" s="326">
        <f>IFERROR(STANDARDIZE(machina[[#This Row],[Career ROI]],D$30,D$31)^2," ")</f>
        <v>0.33518005540166207</v>
      </c>
      <c r="F4" s="255">
        <f>IF(INDEX('Raw Data'!$A4:$EA4,MATCH(F$2,RawData[#Headers],))=""," ",INDEX('Raw Data'!$A4:$EA4,MATCH(F$2,RawData[#Headers],)))</f>
        <v>27</v>
      </c>
      <c r="G4" s="255">
        <f t="shared" ref="G4:G28" si="5">IF(ISERROR(IF(F4=""," ",RANK(F4,F$3:F$28,0)))," ",IF(F4=""," ",RANK(F4,F$3:F$28,0)))</f>
        <v>1</v>
      </c>
      <c r="H4" s="255">
        <f>IF(INDEX('Raw Data'!$A4:$EA4,MATCH(H$2,RawData[#Headers],))=""," ",INDEX('Raw Data'!$A4:$EA4,MATCH(H$2,RawData[#Headers],)))</f>
        <v>46.55</v>
      </c>
      <c r="I4" s="255">
        <f t="shared" ref="I4:I28" si="6">IF(ISERROR(IF(H4=""," ",RANK(H4,H$3:H$28,0)))," ",IF(H4=""," ",RANK(H4,H$3:H$28,0)))</f>
        <v>1</v>
      </c>
      <c r="J4" s="255">
        <f>IF(INDEX('Raw Data'!$A4:$EA4,MATCH(J$2,RawData[#Headers],))=""," ",INDEX('Raw Data'!$A4:$EA4,MATCH(J$2,RawData[#Headers],)))</f>
        <v>2721</v>
      </c>
      <c r="K4" s="255">
        <f t="shared" ref="K4:K28" si="7">IF(ISERROR(IF(J4=""," ",RANK(J4,J$3:J$28,0)))," ",IF(J4=""," ",RANK(J4,J$3:J$28,0)))</f>
        <v>1</v>
      </c>
      <c r="L4" s="255">
        <f>IF(INDEX('Raw Data'!$A4:$EA4,MATCH(L$2,RawData[#Headers],))=""," ",INDEX('Raw Data'!$A4:$EA4,MATCH(L$2,RawData[#Headers],)))</f>
        <v>3.25</v>
      </c>
      <c r="M4" s="255">
        <f t="shared" si="0"/>
        <v>2</v>
      </c>
      <c r="N4" s="255">
        <f>IF(INDEX('Raw Data'!$A4:$EA4,MATCH(N$2,RawData[#Headers],))=""," ",INDEX('Raw Data'!$A4:$EA4,MATCH(N$2,RawData[#Headers],)))</f>
        <v>3.1</v>
      </c>
      <c r="O4" s="255">
        <f t="shared" si="0"/>
        <v>2</v>
      </c>
      <c r="P4" s="255">
        <f>IF(INDEX('Raw Data'!$A4:$EA4,MATCH(P$2,RawData[#Headers],))=""," ",INDEX('Raw Data'!$A4:$EA4,MATCH(P$2,RawData[#Headers],)))</f>
        <v>59.5</v>
      </c>
      <c r="Q4" s="255">
        <f t="shared" ref="Q4" si="8">IF(ISERROR(IF(P4=""," ",RANK(P4,P$3:P$28,1)))," ",IF(P4=""," ",RANK(P4,P$3:P$28,1)))</f>
        <v>7</v>
      </c>
      <c r="R4" s="255">
        <f>IF(INDEX('Raw Data'!$A4:$EA4,MATCH(R$2,RawData[#Headers],))=""," ",INDEX('Raw Data'!$A4:$EA4,MATCH(R$2,RawData[#Headers],)))</f>
        <v>24</v>
      </c>
      <c r="S4" s="255">
        <f t="shared" ref="S4:S28" si="9">IF(ISERROR(IF(R4=""," ",RANK(R4,R$3:R$28,0)))," ",IF(R4=""," ",RANK(R4,R$3:R$28,0)))</f>
        <v>1</v>
      </c>
      <c r="T4" s="255">
        <f>IF(INDEX('Raw Data'!$A4:$EA4,MATCH(T$2,RawData[#Headers],))=""," ",INDEX('Raw Data'!$A4:$EA4,MATCH(T$2,RawData[#Headers],)))</f>
        <v>4</v>
      </c>
      <c r="U4" s="255">
        <f t="shared" ref="U4:U28" si="10">IF(ISERROR(IF(T4=""," ",RANK(T4,T$3:T$28,0)))," ",IF(T4=""," ",RANK(T4,T$3:T$28,0)))</f>
        <v>1</v>
      </c>
      <c r="V4" s="255">
        <f>IF(INDEX('Raw Data'!$A4:$EA4,MATCH(V$2,RawData[#Headers],))=""," ",INDEX('Raw Data'!$A4:$EA4,MATCH(V$2,RawData[#Headers],)))</f>
        <v>16.670000000000002</v>
      </c>
      <c r="W4" s="255">
        <f t="shared" ref="W4:W28" si="11">IF(ISERROR(IF(V4=""," ",RANK(V4,V$3:V$28,0)))," ",IF(V4=""," ",RANK(V4,V$3:V$28,0)))</f>
        <v>3</v>
      </c>
      <c r="X4" s="255">
        <f>IF(INDEX('Raw Data'!$A4:$EA4,MATCH(X$2,RawData[#Headers],))=""," ",INDEX('Raw Data'!$A4:$EA4,MATCH(X$2,RawData[#Headers],)))</f>
        <v>-5</v>
      </c>
      <c r="Y4" s="255">
        <f t="shared" ref="Y4:Y28" si="12">IF(ISERROR(IF(X4=""," ",RANK(X4,X$3:X$28,0)))," ",IF(X4=""," ",RANK(X4,X$3:X$28,0)))</f>
        <v>3</v>
      </c>
      <c r="Z4" s="255">
        <f>IF(INDEX('Raw Data'!$A4:$EA4,MATCH(Z$2,RawData[#Headers],))=""," ",INDEX('Raw Data'!$A4:$EA4,MATCH(Z$2,RawData[#Headers],)))</f>
        <v>13</v>
      </c>
      <c r="AA4" s="255">
        <f t="shared" ref="AA4:AA28" si="13">IF(ISERROR(IF(Z4=""," ",RANK(Z4,Z$3:Z$28,0)))," ",IF(Z4=""," ",RANK(Z4,Z$3:Z$28,0)))</f>
        <v>1</v>
      </c>
      <c r="AB4" s="255">
        <f>IF(INDEX('Raw Data'!$A4:$EA4,MATCH(AB$2,RawData[#Headers],))=""," ",INDEX('Raw Data'!$A4:$EA4,MATCH(AB$2,RawData[#Headers],)))</f>
        <v>54.17</v>
      </c>
      <c r="AC4" s="255">
        <f t="shared" ref="AC4:AC28" si="14">IF(ISERROR(IF(AB4=""," ",RANK(AB4,AB$3:AB$28,0)))," ",IF(AB4=""," ",RANK(AB4,AB$3:AB$28,0)))</f>
        <v>3</v>
      </c>
      <c r="AD4" s="255">
        <f>IF(INDEX('Raw Data'!$A4:$EA4,MATCH(AD$2,RawData[#Headers],))=""," ",INDEX('Raw Data'!$A4:$EA4,MATCH(AD$2,RawData[#Headers],)))</f>
        <v>2</v>
      </c>
      <c r="AE4" s="255">
        <f t="shared" ref="AE4:AE28" si="15">IF(ISERROR(IF(AD4=""," ",RANK(AD4,AD$3:AD$28,0)))," ",IF(AD4=""," ",RANK(AD4,AD$3:AD$28,0)))</f>
        <v>6</v>
      </c>
      <c r="AF4" s="255">
        <f>IF(INDEX('Raw Data'!$A4:$EA4,MATCH(AF$2,RawData[#Headers],))=""," ",INDEX('Raw Data'!$A4:$EA4,MATCH(AF$2,RawData[#Headers],)))</f>
        <v>0</v>
      </c>
      <c r="AG4" s="255">
        <f t="shared" ref="AG4:AG28" si="16">IF(ISERROR(IF(AF4=""," ",RANK(AF4,AF$3:AF$28,0)))," ",IF(AF4=""," ",RANK(AF4,AF$3:AF$28,0)))</f>
        <v>3</v>
      </c>
      <c r="AH4" s="255">
        <f>IF(INDEX('Raw Data'!$A4:$EA4,MATCH(AH$2,RawData[#Headers],))=""," ",INDEX('Raw Data'!$A4:$EA4,MATCH(AH$2,RawData[#Headers],)))</f>
        <v>0</v>
      </c>
      <c r="AI4" s="255">
        <f t="shared" ref="AI4:AI28" si="17">IF(ISERROR(IF(AH4=""," ",RANK(AH4,AH$3:AH$28,0)))," ",IF(AH4=""," ",RANK(AH4,AH$3:AH$28,0)))</f>
        <v>3</v>
      </c>
      <c r="AJ4" s="255">
        <f>IF(INDEX('Raw Data'!$A4:$EA4,MATCH(AJ$2,RawData[#Headers],))=""," ",INDEX('Raw Data'!$A4:$EA4,MATCH(AJ$2,RawData[#Headers],)))</f>
        <v>-100</v>
      </c>
      <c r="AK4" s="255">
        <f t="shared" ref="AK4:AK28" si="18">IF(ISERROR(IF(AJ4=""," ",RANK(AJ4,AJ$3:AJ$28,0)))," ",IF(AJ4=""," ",RANK(AJ4,AJ$3:AJ$28,0)))</f>
        <v>4</v>
      </c>
      <c r="AL4" s="255">
        <f>IF(INDEX('Raw Data'!$A4:$EA4,MATCH(AL$2,RawData[#Headers],))=""," ",INDEX('Raw Data'!$A4:$EA4,MATCH(AL$2,RawData[#Headers],)))</f>
        <v>1</v>
      </c>
      <c r="AM4" s="255">
        <f t="shared" ref="AM4:AM28" si="19">IF(ISERROR(IF(AL4=""," ",RANK(AL4,AL$3:AL$28,0)))," ",IF(AL4=""," ",RANK(AL4,AL$3:AL$28,0)))</f>
        <v>5</v>
      </c>
      <c r="AN4" s="255">
        <f>IF(INDEX('Raw Data'!$A4:$EA4,MATCH(AN$2,RawData[#Headers],))=""," ",INDEX('Raw Data'!$A4:$EA4,MATCH(AN$2,RawData[#Headers],)))</f>
        <v>50</v>
      </c>
      <c r="AO4" s="255">
        <f t="shared" ref="AO4:AO28" si="20">IF(ISERROR(IF(AN4=""," ",RANK(AN4,AN$3:AN$28,0)))," ",IF(AN4=""," ",RANK(AN4,AN$3:AN$28,0)))</f>
        <v>2</v>
      </c>
      <c r="AP4" s="255">
        <f>IF(INDEX('Raw Data'!$A4:$EA4,MATCH(AP$2,RawData[#Headers],))=""," ",INDEX('Raw Data'!$A4:$EA4,MATCH(AP$2,RawData[#Headers],)))</f>
        <v>1</v>
      </c>
      <c r="AQ4" s="255">
        <f t="shared" ref="AQ4:AQ28" si="21">IF(ISERROR(IF(AP4=""," ",RANK(AP4,AP$3:AP$28,0)))," ",IF(AP4=""," ",RANK(AP4,AP$3:AP$28,0)))</f>
        <v>4</v>
      </c>
      <c r="AR4" s="255">
        <f>IF(INDEX('Raw Data'!$A4:$EA4,MATCH(AR$2,RawData[#Headers],))=""," ",INDEX('Raw Data'!$A4:$EA4,MATCH(AR$2,RawData[#Headers],)))</f>
        <v>0</v>
      </c>
      <c r="AS4" s="255">
        <f t="shared" ref="AS4:AS28" si="22">IF(ISERROR(IF(AR4=""," ",RANK(AR4,AR$3:AR$28,0)))," ",IF(AR4=""," ",RANK(AR4,AR$3:AR$28,0)))</f>
        <v>2</v>
      </c>
      <c r="AT4" s="255">
        <f>IF(INDEX('Raw Data'!$A4:$EA4,MATCH(AT$2,RawData[#Headers],))=""," ",INDEX('Raw Data'!$A4:$EA4,MATCH(AT$2,RawData[#Headers],)))</f>
        <v>0</v>
      </c>
      <c r="AU4" s="255">
        <f t="shared" ref="AU4:AU28" si="23">IF(ISERROR(IF(AT4=""," ",RANK(AT4,AT$3:AT$28,0)))," ",IF(AT4=""," ",RANK(AT4,AT$3:AT$28,0)))</f>
        <v>2</v>
      </c>
      <c r="AV4" s="255">
        <f>IF(INDEX('Raw Data'!$A4:$EA4,MATCH(AV$2,RawData[#Headers],))=""," ",INDEX('Raw Data'!$A4:$EA4,MATCH(AV$2,RawData[#Headers],)))</f>
        <v>-100</v>
      </c>
      <c r="AW4" s="255">
        <f t="shared" ref="AW4:AW28" si="24">IF(ISERROR(IF(AV4=""," ",RANK(AV4,AV$3:AV$28,0)))," ",IF(AV4=""," ",RANK(AV4,AV$3:AV$28,0)))</f>
        <v>4</v>
      </c>
      <c r="AX4" s="255">
        <f>IF(INDEX('Raw Data'!$A4:$EA4,MATCH(AX$2,RawData[#Headers],))=""," ",INDEX('Raw Data'!$A4:$EA4,MATCH(AX$2,RawData[#Headers],)))</f>
        <v>0</v>
      </c>
      <c r="AY4" s="255">
        <f t="shared" ref="AY4:AY28" si="25">IF(ISERROR(IF(AX4=""," ",RANK(AX4,AX$3:AX$28,0)))," ",IF(AX4=""," ",RANK(AX4,AX$3:AX$28,0)))</f>
        <v>5</v>
      </c>
      <c r="AZ4" s="255">
        <f>IF(INDEX('Raw Data'!$A4:$EA4,MATCH(AZ$2,RawData[#Headers],))=""," ",INDEX('Raw Data'!$A4:$EA4,MATCH(AZ$2,RawData[#Headers],)))</f>
        <v>0</v>
      </c>
      <c r="BA4" s="255">
        <f t="shared" ref="BA4:BA28" si="26">IF(ISERROR(IF(AZ4=""," ",RANK(AZ4,AZ$3:AZ$28,0)))," ",IF(AZ4=""," ",RANK(AZ4,AZ$3:AZ$28,0)))</f>
        <v>5</v>
      </c>
      <c r="BB4" s="255">
        <f>IF(INDEX('Raw Data'!$A4:$EA4,MATCH(BB$2,RawData[#Headers],))=""," ",INDEX('Raw Data'!$A4:$EA4,MATCH(BB$2,RawData[#Headers],)))</f>
        <v>13</v>
      </c>
      <c r="BC4" s="255">
        <f t="shared" ref="BC4:BC28" si="27">IF(ISERROR(IF(BB4=""," ",RANK(BB4,BB$3:BB$28,0)))," ",IF(BB4=""," ",RANK(BB4,BB$3:BB$28,0)))</f>
        <v>2</v>
      </c>
      <c r="BD4" s="255">
        <f>IF(INDEX('Raw Data'!$A4:$EA4,MATCH(BD$2,RawData[#Headers],))=""," ",INDEX('Raw Data'!$A4:$EA4,MATCH(BD$2,RawData[#Headers],)))</f>
        <v>1</v>
      </c>
      <c r="BE4" s="255">
        <f t="shared" ref="BE4:BE28" si="28">IF(ISERROR(IF(BD4=""," ",RANK(BD4,BD$3:BD$28,0)))," ",IF(BD4=""," ",RANK(BD4,BD$3:BD$28,0)))</f>
        <v>3</v>
      </c>
      <c r="BF4" s="255">
        <f>IF(INDEX('Raw Data'!$A4:$EA4,MATCH(BF$2,RawData[#Headers],))=""," ",INDEX('Raw Data'!$A4:$EA4,MATCH(BF$2,RawData[#Headers],)))</f>
        <v>7.69</v>
      </c>
      <c r="BG4" s="255">
        <f t="shared" ref="BG4:BG28" si="29">IF(ISERROR(IF(BF4=""," ",RANK(BF4,BF$3:BF$28,0)))," ",IF(BF4=""," ",RANK(BF4,BF$3:BF$28,0)))</f>
        <v>5</v>
      </c>
      <c r="BH4" s="255">
        <f>IF(INDEX('Raw Data'!$A4:$EA4,MATCH(BH$2,RawData[#Headers],))=""," ",INDEX('Raw Data'!$A4:$EA4,MATCH(BH$2,RawData[#Headers],)))</f>
        <v>-54</v>
      </c>
      <c r="BI4" s="255">
        <f t="shared" ref="BI4:BI28" si="30">IF(ISERROR(IF(BH4=""," ",RANK(BH4,BH$3:BH$28,0)))," ",IF(BH4=""," ",RANK(BH4,BH$3:BH$28,0)))</f>
        <v>4</v>
      </c>
      <c r="BJ4" s="255">
        <f>IF(INDEX('Raw Data'!$A4:$EA4,MATCH(BJ$2,RawData[#Headers],))=""," ",INDEX('Raw Data'!$A4:$EA4,MATCH(BJ$2,RawData[#Headers],)))</f>
        <v>7</v>
      </c>
      <c r="BK4" s="255">
        <f t="shared" ref="BK4:BK28" si="31">IF(ISERROR(IF(BJ4=""," ",RANK(BJ4,BJ$3:BJ$28,0)))," ",IF(BJ4=""," ",RANK(BJ4,BJ$3:BJ$28,0)))</f>
        <v>1</v>
      </c>
      <c r="BL4" s="255">
        <f>IF(INDEX('Raw Data'!$A4:$EA4,MATCH(BL$2,RawData[#Headers],))=""," ",INDEX('Raw Data'!$A4:$EA4,MATCH(BL$2,RawData[#Headers],)))</f>
        <v>53.85</v>
      </c>
      <c r="BM4" s="255">
        <f t="shared" ref="BM4:BM28" si="32">IF(ISERROR(IF(BL4=""," ",RANK(BL4,BL$3:BL$28,0)))," ",IF(BL4=""," ",RANK(BL4,BL$3:BL$28,0)))</f>
        <v>1</v>
      </c>
      <c r="BN4" s="255">
        <f>IF(INDEX('Raw Data'!$A4:$EA4,MATCH(BN$2,RawData[#Headers],))=""," ",INDEX('Raw Data'!$A4:$EA4,MATCH(BN$2,RawData[#Headers],)))</f>
        <v>1538</v>
      </c>
      <c r="BO4" s="255">
        <f t="shared" ref="BO4:BO28" si="33">IF(ISERROR(IF(BN4=""," ",RANK(BN4,BN$3:BN$28,0)))," ",IF(BN4=""," ",RANK(BN4,BN$3:BN$28,0)))</f>
        <v>5</v>
      </c>
      <c r="BP4" s="255">
        <f>IF(INDEX('Raw Data'!$A4:$EA4,MATCH(BP$2,RawData[#Headers],))=""," ",INDEX('Raw Data'!$A4:$EA4,MATCH(BP$2,RawData[#Headers],)))</f>
        <v>100</v>
      </c>
      <c r="BQ4" s="255">
        <f t="shared" ref="BQ4:BQ28" si="34">IF(ISERROR(IF(BP4=""," ",RANK(BP4,BP$3:BP$28,0)))," ",IF(BP4=""," ",RANK(BP4,BP$3:BP$28,0)))</f>
        <v>1</v>
      </c>
      <c r="BR4" s="255">
        <f>IF(INDEX('Raw Data'!$A4:$EA4,MATCH(BR$2,RawData[#Headers],))=""," ",INDEX('Raw Data'!$A4:$EA4,MATCH(BR$2,RawData[#Headers],)))</f>
        <v>7</v>
      </c>
      <c r="BS4" s="255">
        <f t="shared" ref="BS4:BS28" si="35">IF(ISERROR(IF(BR4=""," ",RANK(BR4,BR$3:BR$28,0)))," ",IF(BR4=""," ",RANK(BR4,BR$3:BR$28,0)))</f>
        <v>8</v>
      </c>
      <c r="BT4" s="255">
        <f>IF(INDEX('Raw Data'!$A4:$EA4,MATCH(BT$2,RawData[#Headers],))=""," ",INDEX('Raw Data'!$A4:$EA4,MATCH(BT$2,RawData[#Headers],)))</f>
        <v>7</v>
      </c>
      <c r="BU4" s="255">
        <f t="shared" ref="BU4:BU28" si="36">IF(ISERROR(IF(BT4=""," ",RANK(BT4,BT$3:BT$28,0)))," ",IF(BT4=""," ",RANK(BT4,BT$3:BT$28,0)))</f>
        <v>8</v>
      </c>
      <c r="BV4" s="255">
        <f>IF(INDEX('Raw Data'!$A4:$EA4,MATCH(BV$2,RawData[#Headers],))=""," ",INDEX('Raw Data'!$A4:$EA4,MATCH(BV$2,RawData[#Headers],)))</f>
        <v>-55</v>
      </c>
      <c r="BW4" s="255">
        <f t="shared" ref="BW4:BW28" si="37">IF(ISERROR(IF(BV4=""," ",RANK(BV4,BV$3:BV$28,0)))," ",IF(BV4=""," ",RANK(BV4,BV$3:BV$28,0)))</f>
        <v>6</v>
      </c>
      <c r="BX4" s="255">
        <f>IF(INDEX('Raw Data'!$A4:$EA4,MATCH(BX$2,RawData[#Headers],))=""," ",INDEX('Raw Data'!$A4:$EA4,MATCH(BX$2,RawData[#Headers],)))</f>
        <v>35</v>
      </c>
      <c r="BY4" s="255">
        <f t="shared" ref="BY4:BY28" si="38">IF(ISERROR(IF(BX4=""," ",RANK(BX4,BX$3:BX$28,0)))," ",IF(BX4=""," ",RANK(BX4,BX$3:BX$28,0)))</f>
        <v>3</v>
      </c>
      <c r="BZ4" s="255">
        <f>IF(INDEX('Raw Data'!$A4:$EA4,MATCH(BZ$2,RawData[#Headers],))=""," ",INDEX('Raw Data'!$A4:$EA4,MATCH(BZ$2,RawData[#Headers],)))</f>
        <v>35</v>
      </c>
      <c r="CA4" s="255">
        <f t="shared" ref="CA4:CA28" si="39">IF(ISERROR(IF(BZ4=""," ",RANK(BZ4,BZ$3:BZ$28,0)))," ",IF(BZ4=""," ",RANK(BZ4,BZ$3:BZ$28,0)))</f>
        <v>3</v>
      </c>
      <c r="CB4" s="255">
        <f>IF(INDEX('Raw Data'!$A4:$EA4,MATCH(CB$2,RawData[#Headers],))=""," ",INDEX('Raw Data'!$A4:$EA4,MATCH(CB$2,RawData[#Headers],)))</f>
        <v>1360</v>
      </c>
      <c r="CC4" s="255">
        <f t="shared" ref="CC4:CC28" si="40">IF(ISERROR(IF(CB4=""," ",RANK(CB4,CB$3:CB$28,0)))," ",IF(CB4=""," ",RANK(CB4,CB$3:CB$28,0)))</f>
        <v>6</v>
      </c>
      <c r="CD4" s="255">
        <f>IF(INDEX('Raw Data'!$A4:$EA4,MATCH(CD$2,RawData[#Headers],))=""," ",INDEX('Raw Data'!$A4:$EA4,MATCH(CD$2,RawData[#Headers],)))</f>
        <v>224</v>
      </c>
      <c r="CE4" s="255">
        <f t="shared" ref="CE4:CE28" si="41">IF(ISERROR(IF(CD4=""," ",RANK(CD4,CD$3:CD$28,0)))," ",IF(CD4=""," ",RANK(CD4,CD$3:CD$28,0)))</f>
        <v>5</v>
      </c>
      <c r="CF4" s="255">
        <f>IF(INDEX('Raw Data'!$A4:$EA4,MATCH(CF$2,RawData[#Headers],))=""," ",INDEX('Raw Data'!$A4:$EA4,MATCH(CF$2,RawData[#Headers],)))</f>
        <v>18</v>
      </c>
      <c r="CG4" s="255">
        <f t="shared" ref="CG4:CG28" si="42">IF(ISERROR(IF(CF4=""," ",RANK(CF4,CF$3:CF$28,0)))," ",IF(CF4=""," ",RANK(CF4,CF$3:CF$28,0)))</f>
        <v>5</v>
      </c>
      <c r="CH4" s="255">
        <f>IF(INDEX('Raw Data'!$A4:$EA4,MATCH(CH$2,RawData[#Headers],))=""," ",INDEX('Raw Data'!$A4:$EA4,MATCH(CH$2,RawData[#Headers],)))</f>
        <v>8.0399999999999991</v>
      </c>
      <c r="CI4" s="255">
        <f t="shared" ref="CI4:CI28" si="43">IF(ISERROR(IF(CH4=""," ",RANK(CH4,CH$3:CH$28,0)))," ",IF(CH4=""," ",RANK(CH4,CH$3:CH$28,0)))</f>
        <v>8</v>
      </c>
      <c r="CJ4" s="255">
        <f>IF(INDEX('Raw Data'!$A4:$EA4,MATCH(CJ$2,RawData[#Headers],))=""," ",INDEX('Raw Data'!$A4:$EA4,MATCH(CJ$2,RawData[#Headers],)))</f>
        <v>-50</v>
      </c>
      <c r="CK4" s="255">
        <f t="shared" ref="CK4:CK28" si="44">IF(ISERROR(IF(CJ4=""," ",RANK(CJ4,CJ$3:CJ$28,0)))," ",IF(CJ4=""," ",RANK(CJ4,CJ$3:CJ$28,0)))</f>
        <v>8</v>
      </c>
      <c r="CL4" s="255">
        <f>IF(INDEX('Raw Data'!$A4:$EA4,MATCH(CL$2,RawData[#Headers],))=""," ",INDEX('Raw Data'!$A4:$EA4,MATCH(CL$2,RawData[#Headers],)))</f>
        <v>72</v>
      </c>
      <c r="CM4" s="255">
        <f t="shared" ref="CM4:CM28" si="45">IF(ISERROR(IF(CL4=""," ",RANK(CL4,CL$3:CL$28,0)))," ",IF(CL4=""," ",RANK(CL4,CL$3:CL$28,0)))</f>
        <v>5</v>
      </c>
      <c r="CN4" s="255">
        <f>IF(INDEX('Raw Data'!$A4:$EA4,MATCH(CN$2,RawData[#Headers],))=""," ",INDEX('Raw Data'!$A4:$EA4,MATCH(CN$2,RawData[#Headers],)))</f>
        <v>32.14</v>
      </c>
      <c r="CO4" s="255">
        <f t="shared" ref="CO4:CO28" si="46">IF(ISERROR(IF(CN4=""," ",RANK(CN4,CN$3:CN$28,0)))," ",IF(CN4=""," ",RANK(CN4,CN$3:CN$28,0)))</f>
        <v>4</v>
      </c>
      <c r="CP4" s="255">
        <f>IF(INDEX('Raw Data'!$A4:$EA4,MATCH(CP$2,RawData[#Headers],))=""," ",INDEX('Raw Data'!$A4:$EA4,MATCH(CP$2,RawData[#Headers],)))</f>
        <v>1313</v>
      </c>
      <c r="CQ4" s="255">
        <f t="shared" ref="CQ4:CQ28" si="47">IF(ISERROR(IF(CP4=""," ",RANK(CP4,CP$3:CP$28,0)))," ",IF(CP4=""," ",RANK(CP4,CP$3:CP$28,0)))</f>
        <v>6</v>
      </c>
      <c r="CR4" s="255">
        <f>IF(INDEX('Raw Data'!$A4:$EA4,MATCH(CR$2,RawData[#Headers],))=""," ",INDEX('Raw Data'!$A4:$EA4,MATCH(CR$2,RawData[#Headers],)))</f>
        <v>186</v>
      </c>
      <c r="CS4" s="255">
        <f t="shared" ref="CS4:CS28" si="48">IF(ISERROR(IF(CR4=""," ",RANK(CR4,CR$3:CR$28,0)))," ",IF(CR4=""," ",RANK(CR4,CR$3:CR$28,0)))</f>
        <v>5</v>
      </c>
      <c r="CT4" s="255">
        <f>IF(INDEX('Raw Data'!$A4:$EA4,MATCH(CT$2,RawData[#Headers],))=""," ",INDEX('Raw Data'!$A4:$EA4,MATCH(CT$2,RawData[#Headers],)))</f>
        <v>14</v>
      </c>
      <c r="CU4" s="255">
        <f t="shared" ref="CU4:CU28" si="49">IF(ISERROR(IF(CT4=""," ",RANK(CT4,CT$3:CT$28,0)))," ",IF(CT4=""," ",RANK(CT4,CT$3:CT$28,0)))</f>
        <v>5</v>
      </c>
      <c r="CV4" s="255">
        <f>IF(INDEX('Raw Data'!$A4:$EA4,MATCH(CV$2,RawData[#Headers],))=""," ",INDEX('Raw Data'!$A4:$EA4,MATCH(CV$2,RawData[#Headers],)))</f>
        <v>7.53</v>
      </c>
      <c r="CW4" s="255">
        <f t="shared" ref="CW4:CW28" si="50">IF(ISERROR(IF(CV4=""," ",RANK(CV4,CV$3:CV$28,0)))," ",IF(CV4=""," ",RANK(CV4,CV$3:CV$28,0)))</f>
        <v>8</v>
      </c>
      <c r="CX4" s="255">
        <f>IF(INDEX('Raw Data'!$A4:$EA4,MATCH(CX$2,RawData[#Headers],))=""," ",INDEX('Raw Data'!$A4:$EA4,MATCH(CX$2,RawData[#Headers],)))</f>
        <v>-55</v>
      </c>
      <c r="CY4" s="255">
        <f t="shared" ref="CY4:CY28" si="51">IF(ISERROR(IF(CX4=""," ",RANK(CX4,CX$3:CX$28,0)))," ",IF(CX4=""," ",RANK(CX4,CX$3:CX$28,0)))</f>
        <v>7</v>
      </c>
      <c r="CZ4" s="255">
        <f>IF(INDEX('Raw Data'!$A4:$EA4,MATCH(CZ$2,RawData[#Headers],))=""," ",INDEX('Raw Data'!$A4:$EA4,MATCH(CZ$2,RawData[#Headers],)))</f>
        <v>58</v>
      </c>
      <c r="DA4" s="255">
        <f t="shared" ref="DA4:DA28" si="52">IF(ISERROR(IF(CZ4=""," ",RANK(CZ4,CZ$3:CZ$28,0)))," ",IF(CZ4=""," ",RANK(CZ4,CZ$3:CZ$28,0)))</f>
        <v>5</v>
      </c>
      <c r="DB4" s="255">
        <f>IF(INDEX('Raw Data'!$A4:$EA4,MATCH(DB$2,RawData[#Headers],))=""," ",INDEX('Raw Data'!$A4:$EA4,MATCH(DB$2,RawData[#Headers],)))</f>
        <v>31.18</v>
      </c>
      <c r="DC4" s="255">
        <f t="shared" ref="DC4:DC28" si="53">IF(ISERROR(IF(DB4=""," ",RANK(DB4,DB$3:DB$28,0)))," ",IF(DB4=""," ",RANK(DB4,DB$3:DB$28,0)))</f>
        <v>6</v>
      </c>
      <c r="DD4" s="255">
        <f>IF(INDEX('Raw Data'!$A4:$EA4,MATCH(DD$2,RawData[#Headers],))=""," ",INDEX('Raw Data'!$A4:$EA4,MATCH(DD$2,RawData[#Headers],)))</f>
        <v>4224</v>
      </c>
      <c r="DE4" s="255">
        <f t="shared" ref="DE4:DE28" si="54">IF(ISERROR(IF(DD4=""," ",RANK(DD4,DD$3:DD$28,0)))," ",IF(DD4=""," ",RANK(DD4,DD$3:DD$28,0)))</f>
        <v>1</v>
      </c>
      <c r="DF4" s="255">
        <f>IF(INDEX('Raw Data'!$A4:$EA4,MATCH(DF$2,RawData[#Headers],))=""," ",INDEX('Raw Data'!$A4:$EA4,MATCH(DF$2,RawData[#Headers],)))</f>
        <v>11</v>
      </c>
      <c r="DG4" s="255">
        <f t="shared" ref="DG4:DG28" si="55">IF(ISERROR(IF(DF4=""," ",RANK(DF4,DF$3:DF$28,0)))," ",IF(DF4=""," ",RANK(DF4,DF$3:DF$28,0)))</f>
        <v>3</v>
      </c>
      <c r="DH4" s="255">
        <f>IF(INDEX('Raw Data'!$A4:$EA4,MATCH(DH$2,RawData[#Headers],))=""," ",INDEX('Raw Data'!$A4:$EA4,MATCH(DH$2,RawData[#Headers],)))</f>
        <v>11</v>
      </c>
      <c r="DI4" s="255">
        <f t="shared" ref="DI4:DI28" si="56">IF(ISERROR(IF(DH4=""," ",RANK(DH4,DH$3:DH$28,0)))," ",IF(DH4=""," ",RANK(DH4,DH$3:DH$28,0)))</f>
        <v>3</v>
      </c>
      <c r="DJ4" s="255">
        <f>IF(INDEX('Raw Data'!$A4:$EA4,MATCH(DJ$2,RawData[#Headers],))=""," ",INDEX('Raw Data'!$A4:$EA4,MATCH(DJ$2,RawData[#Headers],)))</f>
        <v>-58</v>
      </c>
      <c r="DK4" s="255">
        <f t="shared" ref="DK4:DK28" si="57">IF(ISERROR(IF(DJ4=""," ",RANK(DJ4,DJ$3:DJ$28,0)))," ",IF(DJ4=""," ",RANK(DJ4,DJ$3:DJ$28,0)))</f>
        <v>7</v>
      </c>
      <c r="DL4" s="255">
        <f>IF(INDEX('Raw Data'!$A4:$EA4,MATCH(DL$2,RawData[#Headers],))=""," ",INDEX('Raw Data'!$A4:$EA4,MATCH(DL$2,RawData[#Headers],)))</f>
        <v>41</v>
      </c>
      <c r="DM4" s="255">
        <f t="shared" ref="DM4:DM28" si="58">IF(ISERROR(IF(DL4=""," ",RANK(DL4,DL$3:DL$28,0)))," ",IF(DL4=""," ",RANK(DL4,DL$3:DL$28,0)))</f>
        <v>1</v>
      </c>
      <c r="DN4" s="255">
        <f>IF(INDEX('Raw Data'!$A4:$EA4,MATCH(DN$2,RawData[#Headers],))=""," ",INDEX('Raw Data'!$A4:$EA4,MATCH(DN$2,RawData[#Headers],)))</f>
        <v>41</v>
      </c>
      <c r="DO4" s="255">
        <f t="shared" ref="DO4:DO28" si="59">IF(ISERROR(IF(DN4=""," ",RANK(DN4,DN$3:DN$28,0)))," ",IF(DN4=""," ",RANK(DN4,DN$3:DN$28,0)))</f>
        <v>1</v>
      </c>
      <c r="DP4" s="255">
        <f>IF(INDEX('Raw Data'!$A4:$EA4,MATCH(DP$2,RawData[#Headers],))=""," ",INDEX('Raw Data'!$A4:$EA4,MATCH(DP$2,RawData[#Headers],)))</f>
        <v>3211</v>
      </c>
      <c r="DQ4" s="255">
        <f t="shared" ref="DQ4:DQ28" si="60">IF(ISERROR(IF(DP4=""," ",RANK(DP4,DP$3:DP$28,0)))," ",IF(DP4=""," ",RANK(DP4,DP$3:DP$28,0)))</f>
        <v>1</v>
      </c>
      <c r="DR4" s="255">
        <f>IF(INDEX('Raw Data'!$A4:$EA4,MATCH(DR$2,RawData[#Headers],))=""," ",INDEX('Raw Data'!$A4:$EA4,MATCH(DR$2,RawData[#Headers],)))</f>
        <v>285</v>
      </c>
      <c r="DS4" s="255">
        <f t="shared" ref="DS4:DS28" si="61">IF(ISERROR(IF(DR4=""," ",RANK(DR4,DR$3:DR$28,0)))," ",IF(DR4=""," ",RANK(DR4,DR$3:DR$28,0)))</f>
        <v>1</v>
      </c>
      <c r="DT4" s="255">
        <f>IF(INDEX('Raw Data'!$A4:$EA4,MATCH(DT$2,RawData[#Headers],))=""," ",INDEX('Raw Data'!$A4:$EA4,MATCH(DT$2,RawData[#Headers],)))</f>
        <v>41</v>
      </c>
      <c r="DU4" s="255">
        <f t="shared" ref="DU4:DU28" si="62">IF(ISERROR(IF(DT4=""," ",RANK(DT4,DT$3:DT$28,0)))," ",IF(DT4=""," ",RANK(DT4,DT$3:DT$28,0)))</f>
        <v>1</v>
      </c>
      <c r="DV4" s="255">
        <f>IF(INDEX('Raw Data'!$A4:$EA4,MATCH(DV$2,RawData[#Headers],))=""," ",INDEX('Raw Data'!$A4:$EA4,MATCH(DV$2,RawData[#Headers],)))</f>
        <v>14.39</v>
      </c>
      <c r="DW4" s="255">
        <f t="shared" ref="DW4:DW28" si="63">IF(ISERROR(IF(DV4=""," ",RANK(DV4,DV$3:DV$28,0)))," ",IF(DV4=""," ",RANK(DV4,DV$3:DV$28,0)))</f>
        <v>2</v>
      </c>
      <c r="DX4" s="255">
        <f>IF(INDEX('Raw Data'!$A4:$EA4,MATCH(DX$2,RawData[#Headers],))=""," ",INDEX('Raw Data'!$A4:$EA4,MATCH(DX$2,RawData[#Headers],)))</f>
        <v>-23</v>
      </c>
      <c r="DY4" s="255">
        <f t="shared" ref="DY4:DY28" si="64">IF(ISERROR(IF(DX4=""," ",RANK(DX4,DX$3:DX$28,0)))," ",IF(DX4=""," ",RANK(DX4,DX$3:DX$28,0)))</f>
        <v>4</v>
      </c>
      <c r="DZ4" s="255">
        <f>IF(INDEX('Raw Data'!$A4:$EA4,MATCH(DZ$2,RawData[#Headers],))=""," ",INDEX('Raw Data'!$A4:$EA4,MATCH(DZ$2,RawData[#Headers],)))</f>
        <v>111</v>
      </c>
      <c r="EA4" s="255">
        <f t="shared" ref="EA4:EA28" si="65">IF(ISERROR(IF(DZ4=""," ",RANK(DZ4,DZ$3:DZ$28,0)))," ",IF(DZ4=""," ",RANK(DZ4,DZ$3:DZ$28,0)))</f>
        <v>1</v>
      </c>
      <c r="EB4" s="255">
        <f>IF(INDEX('Raw Data'!$A4:$EA4,MATCH(EB$2,RawData[#Headers],))=""," ",INDEX('Raw Data'!$A4:$EA4,MATCH(EB$2,RawData[#Headers],)))</f>
        <v>38.950000000000003</v>
      </c>
      <c r="EC4" s="255">
        <f t="shared" ref="EC4:EC28" si="66">IF(ISERROR(IF(EB4=""," ",RANK(EB4,EB$3:EB$28,0)))," ",IF(EB4=""," ",RANK(EB4,EB$3:EB$28,0)))</f>
        <v>2</v>
      </c>
      <c r="ED4" s="255">
        <f>IF(INDEX('Raw Data'!$A4:$EA4,MATCH(ED$2,RawData[#Headers],))=""," ",INDEX('Raw Data'!$A4:$EA4,MATCH(ED$2,RawData[#Headers],)))</f>
        <v>3313</v>
      </c>
      <c r="EE4" s="255">
        <f t="shared" ref="EE4:EE28" si="67">IF(ISERROR(IF(ED4=""," ",RANK(ED4,ED$3:ED$28,0)))," ",IF(ED4=""," ",RANK(ED4,ED$3:ED$28,0)))</f>
        <v>2</v>
      </c>
      <c r="EF4" s="255">
        <f>IF(INDEX('Raw Data'!$A4:$EA4,MATCH(EF$2,RawData[#Headers],))=""," ",INDEX('Raw Data'!$A4:$EA4,MATCH(EF$2,RawData[#Headers],)))</f>
        <v>254</v>
      </c>
      <c r="EG4" s="255">
        <f t="shared" ref="EG4:EG28" si="68">IF(ISERROR(IF(EF4=""," ",RANK(EF4,EF$3:EF$28,0)))," ",IF(EF4=""," ",RANK(EF4,EF$3:EF$28,0)))</f>
        <v>1</v>
      </c>
      <c r="EH4" s="255">
        <f>IF(INDEX('Raw Data'!$A4:$EA4,MATCH(EH$2,RawData[#Headers],))=""," ",INDEX('Raw Data'!$A4:$EA4,MATCH(EH$2,RawData[#Headers],)))</f>
        <v>36</v>
      </c>
      <c r="EI4" s="255">
        <f t="shared" ref="EI4:EI28" si="69">IF(ISERROR(IF(EH4=""," ",RANK(EH4,EH$3:EH$28,0)))," ",IF(EH4=""," ",RANK(EH4,EH$3:EH$28,0)))</f>
        <v>1</v>
      </c>
      <c r="EJ4" s="255">
        <f>IF(INDEX('Raw Data'!$A4:$EA4,MATCH(EJ$2,RawData[#Headers],))=""," ",INDEX('Raw Data'!$A4:$EA4,MATCH(EJ$2,RawData[#Headers],)))</f>
        <v>14.17</v>
      </c>
      <c r="EK4" s="255">
        <f t="shared" ref="EK4:EK28" si="70">IF(ISERROR(IF(EJ4=""," ",RANK(EJ4,EJ$3:EJ$28,0)))," ",IF(EJ4=""," ",RANK(EJ4,EJ$3:EJ$28,0)))</f>
        <v>2</v>
      </c>
      <c r="EL4" s="255">
        <f>IF(INDEX('Raw Data'!$A4:$EA4,MATCH(EL$2,RawData[#Headers],))=""," ",INDEX('Raw Data'!$A4:$EA4,MATCH(EL$2,RawData[#Headers],)))</f>
        <v>-26</v>
      </c>
      <c r="EM4" s="255">
        <f t="shared" ref="EM4:EM28" si="71">IF(ISERROR(IF(EL4=""," ",RANK(EL4,EL$3:EL$28,0)))," ",IF(EL4=""," ",RANK(EL4,EL$3:EL$28,0)))</f>
        <v>4</v>
      </c>
      <c r="EN4" s="255">
        <f>IF(INDEX('Raw Data'!$A4:$EA4,MATCH(EN$2,RawData[#Headers],))=""," ",INDEX('Raw Data'!$A4:$EA4,MATCH(EN$2,RawData[#Headers],)))</f>
        <v>99</v>
      </c>
      <c r="EO4" s="255">
        <f t="shared" ref="EO4:EO28" si="72">IF(ISERROR(IF(EN4=""," ",RANK(EN4,EN$3:EN$28,0)))," ",IF(EN4=""," ",RANK(EN4,EN$3:EN$28,0)))</f>
        <v>1</v>
      </c>
      <c r="EP4" s="255">
        <f>IF(INDEX('Raw Data'!$A4:$EA4,MATCH(EP$2,RawData[#Headers],))=""," ",INDEX('Raw Data'!$A4:$EA4,MATCH(EP$2,RawData[#Headers],)))</f>
        <v>38.979999999999997</v>
      </c>
      <c r="EQ4" s="255">
        <f t="shared" ref="EQ4:EQ28" si="73">IF(ISERROR(IF(EP4=""," ",RANK(EP4,EP$3:EP$28,0)))," ",IF(EP4=""," ",RANK(EP4,EP$3:EP$28,0)))</f>
        <v>2</v>
      </c>
      <c r="ER4" s="255">
        <f>IF(INDEX('Raw Data'!$A4:$EA4,MATCH(ER$2,RawData[#Headers],))=""," ",INDEX('Raw Data'!$A4:$EA4,MATCH(ER$2,RawData[#Headers],)))</f>
        <v>6</v>
      </c>
      <c r="ES4" s="255">
        <f t="shared" si="2"/>
        <v>5</v>
      </c>
      <c r="ET4" s="255">
        <f>IF(INDEX('Raw Data'!$A4:$EA4,MATCH(ET$2,RawData[#Headers],))=""," ",INDEX('Raw Data'!$A4:$EA4,MATCH(ET$2,RawData[#Headers],)))</f>
        <v>5.0999999999999996</v>
      </c>
      <c r="EU4" s="255">
        <f t="shared" si="3"/>
        <v>7</v>
      </c>
      <c r="EV4" s="255">
        <f>IF(INDEX('Raw Data'!$A4:$EA4,MATCH(EV$2,RawData[#Headers],))=""," ",INDEX('Raw Data'!$A4:$EA4,MATCH(EV$2,RawData[#Headers],)))</f>
        <v>430</v>
      </c>
      <c r="EW4" s="255">
        <f t="shared" si="4"/>
        <v>8</v>
      </c>
      <c r="EX4" s="255" t="str">
        <f>IF(INDEX('Raw Data'!$A4:$EA4,MATCH(EX$2,RawData[#Headers],))=""," ",INDEX('Raw Data'!$A4:$EA4,MATCH(EX$2,RawData[#Headers],)))</f>
        <v xml:space="preserve"> </v>
      </c>
      <c r="EY4" s="255" t="str">
        <f t="shared" ref="EY4:EY28" si="74">IF(ISERROR(IF(EX4=""," ",RANK(EX4,EX$3:EX$28,0)))," ",IF(EX4=""," ",RANK(EX4,EX$3:EX$28,0)))</f>
        <v xml:space="preserve"> </v>
      </c>
      <c r="EZ4" s="276">
        <f>IF(INDEX('Raw Data'!$A4:$EA4,MATCH(EZ$2,RawData[#Headers],))=""," ",INDEX('Raw Data'!$A4:$EA4,MATCH(EZ$2,RawData[#Headers],)))</f>
        <v>21618.801111111112</v>
      </c>
      <c r="FA4" s="255">
        <f t="shared" ref="FA4:FA28" si="75">IF(ISERROR(IF(EZ4=""," ",RANK(EZ4,EZ$3:EZ$28,0)))," ",IF(EZ4=""," ",RANK(EZ4,EZ$3:EZ$28,0)))</f>
        <v>1</v>
      </c>
      <c r="FB4" s="255">
        <f>IF(INDEX('Raw Data'!$A4:$EA4,MATCH(FB$2,RawData[#Headers],))=""," ",INDEX('Raw Data'!$A4:$EA4,MATCH(FB$2,RawData[#Headers],)))</f>
        <v>6</v>
      </c>
    </row>
    <row r="5" spans="1:158" x14ac:dyDescent="0.3">
      <c r="A5" s="255">
        <f>RawData[[#This Row],[Num]]</f>
        <v>3</v>
      </c>
      <c r="B5" s="255">
        <f>IF(INDEX('Raw Data'!$A5:$EA5,MATCH(B$2,RawData[#Headers],))=""," ",INDEX('Raw Data'!$A5:$EA5,MATCH(B$2,RawData[#Headers],)))</f>
        <v>10.91</v>
      </c>
      <c r="C5" s="326">
        <f>IFERROR(STANDARDIZE(machina[[#This Row],[Career Strike Rate]],B$30,B$31)^2," ")</f>
        <v>1.8586777777777777</v>
      </c>
      <c r="D5" s="255">
        <f>IF(INDEX('Raw Data'!$A5:$EA5,MATCH(D$2,RawData[#Headers],))=""," ",INDEX('Raw Data'!$A5:$EA5,MATCH(D$2,RawData[#Headers],)))</f>
        <v>-20</v>
      </c>
      <c r="E5" s="326">
        <f>IFERROR(STANDARDIZE(machina[[#This Row],[Career ROI]],D$30,D$31)^2," ")</f>
        <v>2.7700831024930744E-3</v>
      </c>
      <c r="F5" s="255">
        <f>IF(INDEX('Raw Data'!$A5:$EA5,MATCH(F$2,RawData[#Headers],))=""," ",INDEX('Raw Data'!$A5:$EA5,MATCH(F$2,RawData[#Headers],)))</f>
        <v>23</v>
      </c>
      <c r="G5" s="255">
        <f t="shared" si="5"/>
        <v>5</v>
      </c>
      <c r="H5" s="255">
        <f>IF(INDEX('Raw Data'!$A5:$EA5,MATCH(H$2,RawData[#Headers],))=""," ",INDEX('Raw Data'!$A5:$EA5,MATCH(H$2,RawData[#Headers],)))</f>
        <v>41.82</v>
      </c>
      <c r="I5" s="255">
        <f t="shared" si="6"/>
        <v>3</v>
      </c>
      <c r="J5" s="255">
        <f>IF(INDEX('Raw Data'!$A5:$EA5,MATCH(J$2,RawData[#Headers],))=""," ",INDEX('Raw Data'!$A5:$EA5,MATCH(J$2,RawData[#Headers],)))</f>
        <v>1705</v>
      </c>
      <c r="K5" s="255">
        <f t="shared" si="7"/>
        <v>5</v>
      </c>
      <c r="L5" s="255">
        <f>IF(INDEX('Raw Data'!$A5:$EA5,MATCH(L$2,RawData[#Headers],))=""," ",INDEX('Raw Data'!$A5:$EA5,MATCH(L$2,RawData[#Headers],)))</f>
        <v>3</v>
      </c>
      <c r="M5" s="255">
        <f t="shared" si="0"/>
        <v>1</v>
      </c>
      <c r="N5" s="255">
        <f>IF(INDEX('Raw Data'!$A5:$EA5,MATCH(N$2,RawData[#Headers],))=""," ",INDEX('Raw Data'!$A5:$EA5,MATCH(N$2,RawData[#Headers],)))</f>
        <v>2.8</v>
      </c>
      <c r="O5" s="255">
        <f t="shared" si="0"/>
        <v>1</v>
      </c>
      <c r="P5" s="255">
        <f>IF(INDEX('Raw Data'!$A5:$EA5,MATCH(P$2,RawData[#Headers],))=""," ",INDEX('Raw Data'!$A5:$EA5,MATCH(P$2,RawData[#Headers],)))</f>
        <v>58.5</v>
      </c>
      <c r="Q5" s="255">
        <f t="shared" ref="Q5" si="76">IF(ISERROR(IF(P5=""," ",RANK(P5,P$3:P$28,1)))," ",IF(P5=""," ",RANK(P5,P$3:P$28,1)))</f>
        <v>6</v>
      </c>
      <c r="R5" s="255">
        <f>IF(INDEX('Raw Data'!$A5:$EA5,MATCH(R$2,RawData[#Headers],))=""," ",INDEX('Raw Data'!$A5:$EA5,MATCH(R$2,RawData[#Headers],)))</f>
        <v>15</v>
      </c>
      <c r="S5" s="255">
        <f t="shared" si="9"/>
        <v>2</v>
      </c>
      <c r="T5" s="255">
        <f>IF(INDEX('Raw Data'!$A5:$EA5,MATCH(T$2,RawData[#Headers],))=""," ",INDEX('Raw Data'!$A5:$EA5,MATCH(T$2,RawData[#Headers],)))</f>
        <v>2</v>
      </c>
      <c r="U5" s="255">
        <f t="shared" si="10"/>
        <v>2</v>
      </c>
      <c r="V5" s="255">
        <f>IF(INDEX('Raw Data'!$A5:$EA5,MATCH(V$2,RawData[#Headers],))=""," ",INDEX('Raw Data'!$A5:$EA5,MATCH(V$2,RawData[#Headers],)))</f>
        <v>13.33</v>
      </c>
      <c r="W5" s="255">
        <f t="shared" si="11"/>
        <v>4</v>
      </c>
      <c r="X5" s="255">
        <f>IF(INDEX('Raw Data'!$A5:$EA5,MATCH(X$2,RawData[#Headers],))=""," ",INDEX('Raw Data'!$A5:$EA5,MATCH(X$2,RawData[#Headers],)))</f>
        <v>60</v>
      </c>
      <c r="Y5" s="255">
        <f t="shared" si="12"/>
        <v>2</v>
      </c>
      <c r="Z5" s="255">
        <f>IF(INDEX('Raw Data'!$A5:$EA5,MATCH(Z$2,RawData[#Headers],))=""," ",INDEX('Raw Data'!$A5:$EA5,MATCH(Z$2,RawData[#Headers],)))</f>
        <v>9</v>
      </c>
      <c r="AA5" s="255">
        <f t="shared" si="13"/>
        <v>2</v>
      </c>
      <c r="AB5" s="255">
        <f>IF(INDEX('Raw Data'!$A5:$EA5,MATCH(AB$2,RawData[#Headers],))=""," ",INDEX('Raw Data'!$A5:$EA5,MATCH(AB$2,RawData[#Headers],)))</f>
        <v>60</v>
      </c>
      <c r="AC5" s="255">
        <f t="shared" si="14"/>
        <v>2</v>
      </c>
      <c r="AD5" s="255">
        <f>IF(INDEX('Raw Data'!$A5:$EA5,MATCH(AD$2,RawData[#Headers],))=""," ",INDEX('Raw Data'!$A5:$EA5,MATCH(AD$2,RawData[#Headers],)))</f>
        <v>3</v>
      </c>
      <c r="AE5" s="255">
        <f t="shared" si="15"/>
        <v>5</v>
      </c>
      <c r="AF5" s="255">
        <f>IF(INDEX('Raw Data'!$A5:$EA5,MATCH(AF$2,RawData[#Headers],))=""," ",INDEX('Raw Data'!$A5:$EA5,MATCH(AF$2,RawData[#Headers],)))</f>
        <v>0</v>
      </c>
      <c r="AG5" s="255">
        <f t="shared" si="16"/>
        <v>3</v>
      </c>
      <c r="AH5" s="255">
        <f>IF(INDEX('Raw Data'!$A5:$EA5,MATCH(AH$2,RawData[#Headers],))=""," ",INDEX('Raw Data'!$A5:$EA5,MATCH(AH$2,RawData[#Headers],)))</f>
        <v>0</v>
      </c>
      <c r="AI5" s="255">
        <f t="shared" si="17"/>
        <v>3</v>
      </c>
      <c r="AJ5" s="255">
        <f>IF(INDEX('Raw Data'!$A5:$EA5,MATCH(AJ$2,RawData[#Headers],))=""," ",INDEX('Raw Data'!$A5:$EA5,MATCH(AJ$2,RawData[#Headers],)))</f>
        <v>-100</v>
      </c>
      <c r="AK5" s="255">
        <f t="shared" si="18"/>
        <v>4</v>
      </c>
      <c r="AL5" s="255">
        <f>IF(INDEX('Raw Data'!$A5:$EA5,MATCH(AL$2,RawData[#Headers],))=""," ",INDEX('Raw Data'!$A5:$EA5,MATCH(AL$2,RawData[#Headers],)))</f>
        <v>2</v>
      </c>
      <c r="AM5" s="255">
        <f t="shared" si="19"/>
        <v>3</v>
      </c>
      <c r="AN5" s="255">
        <f>IF(INDEX('Raw Data'!$A5:$EA5,MATCH(AN$2,RawData[#Headers],))=""," ",INDEX('Raw Data'!$A5:$EA5,MATCH(AN$2,RawData[#Headers],)))</f>
        <v>66.67</v>
      </c>
      <c r="AO5" s="255">
        <f t="shared" si="20"/>
        <v>1</v>
      </c>
      <c r="AP5" s="255">
        <f>IF(INDEX('Raw Data'!$A5:$EA5,MATCH(AP$2,RawData[#Headers],))=""," ",INDEX('Raw Data'!$A5:$EA5,MATCH(AP$2,RawData[#Headers],)))</f>
        <v>1</v>
      </c>
      <c r="AQ5" s="255">
        <f t="shared" si="21"/>
        <v>4</v>
      </c>
      <c r="AR5" s="255">
        <f>IF(INDEX('Raw Data'!$A5:$EA5,MATCH(AR$2,RawData[#Headers],))=""," ",INDEX('Raw Data'!$A5:$EA5,MATCH(AR$2,RawData[#Headers],)))</f>
        <v>0</v>
      </c>
      <c r="AS5" s="255">
        <f t="shared" si="22"/>
        <v>2</v>
      </c>
      <c r="AT5" s="255">
        <f>IF(INDEX('Raw Data'!$A5:$EA5,MATCH(AT$2,RawData[#Headers],))=""," ",INDEX('Raw Data'!$A5:$EA5,MATCH(AT$2,RawData[#Headers],)))</f>
        <v>0</v>
      </c>
      <c r="AU5" s="255">
        <f t="shared" si="23"/>
        <v>2</v>
      </c>
      <c r="AV5" s="255">
        <f>IF(INDEX('Raw Data'!$A5:$EA5,MATCH(AV$2,RawData[#Headers],))=""," ",INDEX('Raw Data'!$A5:$EA5,MATCH(AV$2,RawData[#Headers],)))</f>
        <v>-100</v>
      </c>
      <c r="AW5" s="255">
        <f t="shared" si="24"/>
        <v>4</v>
      </c>
      <c r="AX5" s="255">
        <f>IF(INDEX('Raw Data'!$A5:$EA5,MATCH(AX$2,RawData[#Headers],))=""," ",INDEX('Raw Data'!$A5:$EA5,MATCH(AX$2,RawData[#Headers],)))</f>
        <v>1</v>
      </c>
      <c r="AY5" s="255">
        <f t="shared" si="25"/>
        <v>1</v>
      </c>
      <c r="AZ5" s="255">
        <f>IF(INDEX('Raw Data'!$A5:$EA5,MATCH(AZ$2,RawData[#Headers],))=""," ",INDEX('Raw Data'!$A5:$EA5,MATCH(AZ$2,RawData[#Headers],)))</f>
        <v>100</v>
      </c>
      <c r="BA5" s="255">
        <f t="shared" si="26"/>
        <v>1</v>
      </c>
      <c r="BB5" s="255">
        <f>IF(INDEX('Raw Data'!$A5:$EA5,MATCH(BB$2,RawData[#Headers],))=""," ",INDEX('Raw Data'!$A5:$EA5,MATCH(BB$2,RawData[#Headers],)))</f>
        <v>14</v>
      </c>
      <c r="BC5" s="255">
        <f t="shared" si="27"/>
        <v>1</v>
      </c>
      <c r="BD5" s="255">
        <f>IF(INDEX('Raw Data'!$A5:$EA5,MATCH(BD$2,RawData[#Headers],))=""," ",INDEX('Raw Data'!$A5:$EA5,MATCH(BD$2,RawData[#Headers],)))</f>
        <v>2</v>
      </c>
      <c r="BE5" s="255">
        <f t="shared" si="28"/>
        <v>1</v>
      </c>
      <c r="BF5" s="255">
        <f>IF(INDEX('Raw Data'!$A5:$EA5,MATCH(BF$2,RawData[#Headers],))=""," ",INDEX('Raw Data'!$A5:$EA5,MATCH(BF$2,RawData[#Headers],)))</f>
        <v>14.29</v>
      </c>
      <c r="BG5" s="255">
        <f t="shared" si="29"/>
        <v>2</v>
      </c>
      <c r="BH5" s="255">
        <f>IF(INDEX('Raw Data'!$A5:$EA5,MATCH(BH$2,RawData[#Headers],))=""," ",INDEX('Raw Data'!$A5:$EA5,MATCH(BH$2,RawData[#Headers],)))</f>
        <v>71</v>
      </c>
      <c r="BI5" s="255">
        <f t="shared" si="30"/>
        <v>1</v>
      </c>
      <c r="BJ5" s="255">
        <f>IF(INDEX('Raw Data'!$A5:$EA5,MATCH(BJ$2,RawData[#Headers],))=""," ",INDEX('Raw Data'!$A5:$EA5,MATCH(BJ$2,RawData[#Headers],)))</f>
        <v>7</v>
      </c>
      <c r="BK5" s="255">
        <f t="shared" si="31"/>
        <v>1</v>
      </c>
      <c r="BL5" s="255">
        <f>IF(INDEX('Raw Data'!$A5:$EA5,MATCH(BL$2,RawData[#Headers],))=""," ",INDEX('Raw Data'!$A5:$EA5,MATCH(BL$2,RawData[#Headers],)))</f>
        <v>50</v>
      </c>
      <c r="BM5" s="255">
        <f t="shared" si="32"/>
        <v>2</v>
      </c>
      <c r="BN5" s="255">
        <f>IF(INDEX('Raw Data'!$A5:$EA5,MATCH(BN$2,RawData[#Headers],))=""," ",INDEX('Raw Data'!$A5:$EA5,MATCH(BN$2,RawData[#Headers],)))</f>
        <v>1666</v>
      </c>
      <c r="BO5" s="255">
        <f t="shared" si="33"/>
        <v>4</v>
      </c>
      <c r="BP5" s="255">
        <f>IF(INDEX('Raw Data'!$A5:$EA5,MATCH(BP$2,RawData[#Headers],))=""," ",INDEX('Raw Data'!$A5:$EA5,MATCH(BP$2,RawData[#Headers],)))</f>
        <v>100</v>
      </c>
      <c r="BQ5" s="255">
        <f t="shared" si="34"/>
        <v>1</v>
      </c>
      <c r="BR5" s="255">
        <f>IF(INDEX('Raw Data'!$A5:$EA5,MATCH(BR$2,RawData[#Headers],))=""," ",INDEX('Raw Data'!$A5:$EA5,MATCH(BR$2,RawData[#Headers],)))</f>
        <v>10</v>
      </c>
      <c r="BS5" s="255">
        <f t="shared" si="35"/>
        <v>5</v>
      </c>
      <c r="BT5" s="255">
        <f>IF(INDEX('Raw Data'!$A5:$EA5,MATCH(BT$2,RawData[#Headers],))=""," ",INDEX('Raw Data'!$A5:$EA5,MATCH(BT$2,RawData[#Headers],)))</f>
        <v>10</v>
      </c>
      <c r="BU5" s="255">
        <f t="shared" si="36"/>
        <v>5</v>
      </c>
      <c r="BV5" s="255">
        <f>IF(INDEX('Raw Data'!$A5:$EA5,MATCH(BV$2,RawData[#Headers],))=""," ",INDEX('Raw Data'!$A5:$EA5,MATCH(BV$2,RawData[#Headers],)))</f>
        <v>7</v>
      </c>
      <c r="BW5" s="255">
        <f t="shared" si="37"/>
        <v>1</v>
      </c>
      <c r="BX5" s="255">
        <f>IF(INDEX('Raw Data'!$A5:$EA5,MATCH(BX$2,RawData[#Headers],))=""," ",INDEX('Raw Data'!$A5:$EA5,MATCH(BX$2,RawData[#Headers],)))</f>
        <v>33</v>
      </c>
      <c r="BY5" s="255">
        <f t="shared" si="38"/>
        <v>4</v>
      </c>
      <c r="BZ5" s="255">
        <f>IF(INDEX('Raw Data'!$A5:$EA5,MATCH(BZ$2,RawData[#Headers],))=""," ",INDEX('Raw Data'!$A5:$EA5,MATCH(BZ$2,RawData[#Headers],)))</f>
        <v>33</v>
      </c>
      <c r="CA5" s="255">
        <f t="shared" si="39"/>
        <v>4</v>
      </c>
      <c r="CB5" s="255">
        <f>IF(INDEX('Raw Data'!$A5:$EA5,MATCH(CB$2,RawData[#Headers],))=""," ",INDEX('Raw Data'!$A5:$EA5,MATCH(CB$2,RawData[#Headers],)))</f>
        <v>1537</v>
      </c>
      <c r="CC5" s="255">
        <f t="shared" si="40"/>
        <v>5</v>
      </c>
      <c r="CD5" s="255">
        <f>IF(INDEX('Raw Data'!$A5:$EA5,MATCH(CD$2,RawData[#Headers],))=""," ",INDEX('Raw Data'!$A5:$EA5,MATCH(CD$2,RawData[#Headers],)))</f>
        <v>144</v>
      </c>
      <c r="CE5" s="255">
        <f t="shared" si="41"/>
        <v>6</v>
      </c>
      <c r="CF5" s="255">
        <f>IF(INDEX('Raw Data'!$A5:$EA5,MATCH(CF$2,RawData[#Headers],))=""," ",INDEX('Raw Data'!$A5:$EA5,MATCH(CF$2,RawData[#Headers],)))</f>
        <v>13</v>
      </c>
      <c r="CG5" s="255">
        <f t="shared" si="42"/>
        <v>7</v>
      </c>
      <c r="CH5" s="255">
        <f>IF(INDEX('Raw Data'!$A5:$EA5,MATCH(CH$2,RawData[#Headers],))=""," ",INDEX('Raw Data'!$A5:$EA5,MATCH(CH$2,RawData[#Headers],)))</f>
        <v>9.0299999999999994</v>
      </c>
      <c r="CI5" s="255">
        <f t="shared" si="43"/>
        <v>7</v>
      </c>
      <c r="CJ5" s="255">
        <f>IF(INDEX('Raw Data'!$A5:$EA5,MATCH(CJ$2,RawData[#Headers],))=""," ",INDEX('Raw Data'!$A5:$EA5,MATCH(CJ$2,RawData[#Headers],)))</f>
        <v>-19</v>
      </c>
      <c r="CK5" s="255">
        <f t="shared" si="44"/>
        <v>1</v>
      </c>
      <c r="CL5" s="255">
        <f>IF(INDEX('Raw Data'!$A5:$EA5,MATCH(CL$2,RawData[#Headers],))=""," ",INDEX('Raw Data'!$A5:$EA5,MATCH(CL$2,RawData[#Headers],)))</f>
        <v>49</v>
      </c>
      <c r="CM5" s="255">
        <f t="shared" si="45"/>
        <v>7</v>
      </c>
      <c r="CN5" s="255">
        <f>IF(INDEX('Raw Data'!$A5:$EA5,MATCH(CN$2,RawData[#Headers],))=""," ",INDEX('Raw Data'!$A5:$EA5,MATCH(CN$2,RawData[#Headers],)))</f>
        <v>34.03</v>
      </c>
      <c r="CO5" s="255">
        <f t="shared" si="46"/>
        <v>3</v>
      </c>
      <c r="CP5" s="255">
        <f>IF(INDEX('Raw Data'!$A5:$EA5,MATCH(CP$2,RawData[#Headers],))=""," ",INDEX('Raw Data'!$A5:$EA5,MATCH(CP$2,RawData[#Headers],)))</f>
        <v>1537</v>
      </c>
      <c r="CQ5" s="255">
        <f t="shared" si="47"/>
        <v>5</v>
      </c>
      <c r="CR5" s="255">
        <f>IF(INDEX('Raw Data'!$A5:$EA5,MATCH(CR$2,RawData[#Headers],))=""," ",INDEX('Raw Data'!$A5:$EA5,MATCH(CR$2,RawData[#Headers],)))</f>
        <v>144</v>
      </c>
      <c r="CS5" s="255">
        <f t="shared" si="48"/>
        <v>6</v>
      </c>
      <c r="CT5" s="255">
        <f>IF(INDEX('Raw Data'!$A5:$EA5,MATCH(CT$2,RawData[#Headers],))=""," ",INDEX('Raw Data'!$A5:$EA5,MATCH(CT$2,RawData[#Headers],)))</f>
        <v>13</v>
      </c>
      <c r="CU5" s="255">
        <f t="shared" si="49"/>
        <v>6</v>
      </c>
      <c r="CV5" s="255">
        <f>IF(INDEX('Raw Data'!$A5:$EA5,MATCH(CV$2,RawData[#Headers],))=""," ",INDEX('Raw Data'!$A5:$EA5,MATCH(CV$2,RawData[#Headers],)))</f>
        <v>9.0299999999999994</v>
      </c>
      <c r="CW5" s="255">
        <f t="shared" si="50"/>
        <v>7</v>
      </c>
      <c r="CX5" s="255">
        <f>IF(INDEX('Raw Data'!$A5:$EA5,MATCH(CX$2,RawData[#Headers],))=""," ",INDEX('Raw Data'!$A5:$EA5,MATCH(CX$2,RawData[#Headers],)))</f>
        <v>-19</v>
      </c>
      <c r="CY5" s="255">
        <f t="shared" si="51"/>
        <v>1</v>
      </c>
      <c r="CZ5" s="255">
        <f>IF(INDEX('Raw Data'!$A5:$EA5,MATCH(CZ$2,RawData[#Headers],))=""," ",INDEX('Raw Data'!$A5:$EA5,MATCH(CZ$2,RawData[#Headers],)))</f>
        <v>49</v>
      </c>
      <c r="DA5" s="255">
        <f t="shared" si="52"/>
        <v>7</v>
      </c>
      <c r="DB5" s="255">
        <f>IF(INDEX('Raw Data'!$A5:$EA5,MATCH(DB$2,RawData[#Headers],))=""," ",INDEX('Raw Data'!$A5:$EA5,MATCH(DB$2,RawData[#Headers],)))</f>
        <v>34.03</v>
      </c>
      <c r="DC5" s="255">
        <f t="shared" si="53"/>
        <v>3</v>
      </c>
      <c r="DD5" s="255">
        <f>IF(INDEX('Raw Data'!$A5:$EA5,MATCH(DD$2,RawData[#Headers],))=""," ",INDEX('Raw Data'!$A5:$EA5,MATCH(DD$2,RawData[#Headers],)))</f>
        <v>2606</v>
      </c>
      <c r="DE5" s="255">
        <f t="shared" si="54"/>
        <v>2</v>
      </c>
      <c r="DF5" s="255">
        <f>IF(INDEX('Raw Data'!$A5:$EA5,MATCH(DF$2,RawData[#Headers],))=""," ",INDEX('Raw Data'!$A5:$EA5,MATCH(DF$2,RawData[#Headers],)))</f>
        <v>16</v>
      </c>
      <c r="DG5" s="255">
        <f t="shared" si="55"/>
        <v>1</v>
      </c>
      <c r="DH5" s="255">
        <f>IF(INDEX('Raw Data'!$A5:$EA5,MATCH(DH$2,RawData[#Headers],))=""," ",INDEX('Raw Data'!$A5:$EA5,MATCH(DH$2,RawData[#Headers],)))</f>
        <v>16</v>
      </c>
      <c r="DI5" s="255">
        <f t="shared" si="56"/>
        <v>1</v>
      </c>
      <c r="DJ5" s="255">
        <f>IF(INDEX('Raw Data'!$A5:$EA5,MATCH(DJ$2,RawData[#Headers],))=""," ",INDEX('Raw Data'!$A5:$EA5,MATCH(DJ$2,RawData[#Headers],)))</f>
        <v>-38</v>
      </c>
      <c r="DK5" s="255">
        <f t="shared" si="57"/>
        <v>3</v>
      </c>
      <c r="DL5" s="255">
        <f>IF(INDEX('Raw Data'!$A5:$EA5,MATCH(DL$2,RawData[#Headers],))=""," ",INDEX('Raw Data'!$A5:$EA5,MATCH(DL$2,RawData[#Headers],)))</f>
        <v>39</v>
      </c>
      <c r="DM5" s="255">
        <f t="shared" si="58"/>
        <v>2</v>
      </c>
      <c r="DN5" s="255">
        <f>IF(INDEX('Raw Data'!$A5:$EA5,MATCH(DN$2,RawData[#Headers],))=""," ",INDEX('Raw Data'!$A5:$EA5,MATCH(DN$2,RawData[#Headers],)))</f>
        <v>39</v>
      </c>
      <c r="DO5" s="255">
        <f t="shared" si="59"/>
        <v>2</v>
      </c>
      <c r="DP5" s="255">
        <f>IF(INDEX('Raw Data'!$A5:$EA5,MATCH(DP$2,RawData[#Headers],))=""," ",INDEX('Raw Data'!$A5:$EA5,MATCH(DP$2,RawData[#Headers],)))</f>
        <v>2471</v>
      </c>
      <c r="DQ5" s="255">
        <f t="shared" si="60"/>
        <v>3</v>
      </c>
      <c r="DR5" s="255">
        <f>IF(INDEX('Raw Data'!$A5:$EA5,MATCH(DR$2,RawData[#Headers],))=""," ",INDEX('Raw Data'!$A5:$EA5,MATCH(DR$2,RawData[#Headers],)))</f>
        <v>67</v>
      </c>
      <c r="DS5" s="255">
        <f t="shared" si="61"/>
        <v>4</v>
      </c>
      <c r="DT5" s="255">
        <f>IF(INDEX('Raw Data'!$A5:$EA5,MATCH(DT$2,RawData[#Headers],))=""," ",INDEX('Raw Data'!$A5:$EA5,MATCH(DT$2,RawData[#Headers],)))</f>
        <v>10</v>
      </c>
      <c r="DU5" s="255">
        <f t="shared" si="62"/>
        <v>2</v>
      </c>
      <c r="DV5" s="255">
        <f>IF(INDEX('Raw Data'!$A5:$EA5,MATCH(DV$2,RawData[#Headers],))=""," ",INDEX('Raw Data'!$A5:$EA5,MATCH(DV$2,RawData[#Headers],)))</f>
        <v>14.93</v>
      </c>
      <c r="DW5" s="255">
        <f t="shared" si="63"/>
        <v>1</v>
      </c>
      <c r="DX5" s="255">
        <f>IF(INDEX('Raw Data'!$A5:$EA5,MATCH(DX$2,RawData[#Headers],))=""," ",INDEX('Raw Data'!$A5:$EA5,MATCH(DX$2,RawData[#Headers],)))</f>
        <v>-39</v>
      </c>
      <c r="DY5" s="255">
        <f t="shared" si="64"/>
        <v>6</v>
      </c>
      <c r="DZ5" s="255">
        <f>IF(INDEX('Raw Data'!$A5:$EA5,MATCH(DZ$2,RawData[#Headers],))=""," ",INDEX('Raw Data'!$A5:$EA5,MATCH(DZ$2,RawData[#Headers],)))</f>
        <v>25</v>
      </c>
      <c r="EA5" s="255">
        <f t="shared" si="65"/>
        <v>2</v>
      </c>
      <c r="EB5" s="255">
        <f>IF(INDEX('Raw Data'!$A5:$EA5,MATCH(EB$2,RawData[#Headers],))=""," ",INDEX('Raw Data'!$A5:$EA5,MATCH(EB$2,RawData[#Headers],)))</f>
        <v>37.31</v>
      </c>
      <c r="EC5" s="255">
        <f t="shared" si="66"/>
        <v>3</v>
      </c>
      <c r="ED5" s="255">
        <f>IF(INDEX('Raw Data'!$A5:$EA5,MATCH(ED$2,RawData[#Headers],))=""," ",INDEX('Raw Data'!$A5:$EA5,MATCH(ED$2,RawData[#Headers],)))</f>
        <v>2483</v>
      </c>
      <c r="EE5" s="255">
        <f t="shared" si="67"/>
        <v>3</v>
      </c>
      <c r="EF5" s="255">
        <f>IF(INDEX('Raw Data'!$A5:$EA5,MATCH(EF$2,RawData[#Headers],))=""," ",INDEX('Raw Data'!$A5:$EA5,MATCH(EF$2,RawData[#Headers],)))</f>
        <v>62</v>
      </c>
      <c r="EG5" s="255">
        <f t="shared" si="68"/>
        <v>4</v>
      </c>
      <c r="EH5" s="255">
        <f>IF(INDEX('Raw Data'!$A5:$EA5,MATCH(EH$2,RawData[#Headers],))=""," ",INDEX('Raw Data'!$A5:$EA5,MATCH(EH$2,RawData[#Headers],)))</f>
        <v>9</v>
      </c>
      <c r="EI5" s="255">
        <f t="shared" si="69"/>
        <v>2</v>
      </c>
      <c r="EJ5" s="255">
        <f>IF(INDEX('Raw Data'!$A5:$EA5,MATCH(EJ$2,RawData[#Headers],))=""," ",INDEX('Raw Data'!$A5:$EA5,MATCH(EJ$2,RawData[#Headers],)))</f>
        <v>14.52</v>
      </c>
      <c r="EK5" s="255">
        <f t="shared" si="70"/>
        <v>1</v>
      </c>
      <c r="EL5" s="255">
        <f>IF(INDEX('Raw Data'!$A5:$EA5,MATCH(EL$2,RawData[#Headers],))=""," ",INDEX('Raw Data'!$A5:$EA5,MATCH(EL$2,RawData[#Headers],)))</f>
        <v>-39</v>
      </c>
      <c r="EM5" s="255">
        <f t="shared" si="71"/>
        <v>5</v>
      </c>
      <c r="EN5" s="255">
        <f>IF(INDEX('Raw Data'!$A5:$EA5,MATCH(EN$2,RawData[#Headers],))=""," ",INDEX('Raw Data'!$A5:$EA5,MATCH(EN$2,RawData[#Headers],)))</f>
        <v>24</v>
      </c>
      <c r="EO5" s="255">
        <f t="shared" si="72"/>
        <v>2</v>
      </c>
      <c r="EP5" s="255">
        <f>IF(INDEX('Raw Data'!$A5:$EA5,MATCH(EP$2,RawData[#Headers],))=""," ",INDEX('Raw Data'!$A5:$EA5,MATCH(EP$2,RawData[#Headers],)))</f>
        <v>38.71</v>
      </c>
      <c r="EQ5" s="255">
        <f t="shared" si="73"/>
        <v>3</v>
      </c>
      <c r="ER5" s="255">
        <f>IF(INDEX('Raw Data'!$A5:$EA5,MATCH(ER$2,RawData[#Headers],))=""," ",INDEX('Raw Data'!$A5:$EA5,MATCH(ER$2,RawData[#Headers],)))</f>
        <v>7</v>
      </c>
      <c r="ES5" s="255">
        <f t="shared" si="2"/>
        <v>6</v>
      </c>
      <c r="ET5" s="255">
        <f>IF(INDEX('Raw Data'!$A5:$EA5,MATCH(ET$2,RawData[#Headers],))=""," ",INDEX('Raw Data'!$A5:$EA5,MATCH(ET$2,RawData[#Headers],)))</f>
        <v>2.8</v>
      </c>
      <c r="EU5" s="255">
        <f t="shared" si="3"/>
        <v>3</v>
      </c>
      <c r="EV5" s="255">
        <f>IF(INDEX('Raw Data'!$A5:$EA5,MATCH(EV$2,RawData[#Headers],))=""," ",INDEX('Raw Data'!$A5:$EA5,MATCH(EV$2,RawData[#Headers],)))</f>
        <v>-10</v>
      </c>
      <c r="EW5" s="255">
        <f t="shared" si="4"/>
        <v>1</v>
      </c>
      <c r="EX5" s="255" t="str">
        <f>IF(INDEX('Raw Data'!$A5:$EA5,MATCH(EX$2,RawData[#Headers],))=""," ",INDEX('Raw Data'!$A5:$EA5,MATCH(EX$2,RawData[#Headers],)))</f>
        <v xml:space="preserve"> </v>
      </c>
      <c r="EY5" s="255" t="str">
        <f t="shared" si="74"/>
        <v xml:space="preserve"> </v>
      </c>
      <c r="EZ5" s="276">
        <f>IF(INDEX('Raw Data'!$A5:$EA5,MATCH(EZ$2,RawData[#Headers],))=""," ",INDEX('Raw Data'!$A5:$EA5,MATCH(EZ$2,RawData[#Headers],)))</f>
        <v>4.4444444444444132E-3</v>
      </c>
      <c r="FA5" s="255">
        <f t="shared" si="75"/>
        <v>8</v>
      </c>
      <c r="FB5" s="255">
        <f>IF(INDEX('Raw Data'!$A5:$EA5,MATCH(FB$2,RawData[#Headers],))=""," ",INDEX('Raw Data'!$A5:$EA5,MATCH(FB$2,RawData[#Headers],)))</f>
        <v>2</v>
      </c>
    </row>
    <row r="6" spans="1:158" x14ac:dyDescent="0.3">
      <c r="A6" s="255">
        <f>RawData[[#This Row],[Num]]</f>
        <v>5</v>
      </c>
      <c r="B6" s="255">
        <f>IF(INDEX('Raw Data'!$A6:$EA6,MATCH(B$2,RawData[#Headers],))=""," ",INDEX('Raw Data'!$A6:$EA6,MATCH(B$2,RawData[#Headers],)))</f>
        <v>16.39</v>
      </c>
      <c r="C6" s="326">
        <f>IFERROR(STANDARDIZE(machina[[#This Row],[Career Strike Rate]],B$30,B$31)^2," ")</f>
        <v>0.21467777777777797</v>
      </c>
      <c r="D6" s="255">
        <f>IF(INDEX('Raw Data'!$A6:$EA6,MATCH(D$2,RawData[#Headers],))=""," ",INDEX('Raw Data'!$A6:$EA6,MATCH(D$2,RawData[#Headers],)))</f>
        <v>-36</v>
      </c>
      <c r="E6" s="326">
        <f>IFERROR(STANDARDIZE(machina[[#This Row],[Career ROI]],D$30,D$31)^2," ")</f>
        <v>0.62326869806094187</v>
      </c>
      <c r="F6" s="255">
        <f>IF(INDEX('Raw Data'!$A6:$EA6,MATCH(F$2,RawData[#Headers],))=""," ",INDEX('Raw Data'!$A6:$EA6,MATCH(F$2,RawData[#Headers],)))</f>
        <v>24</v>
      </c>
      <c r="G6" s="255">
        <f t="shared" si="5"/>
        <v>3</v>
      </c>
      <c r="H6" s="255">
        <f>IF(INDEX('Raw Data'!$A6:$EA6,MATCH(H$2,RawData[#Headers],))=""," ",INDEX('Raw Data'!$A6:$EA6,MATCH(H$2,RawData[#Headers],)))</f>
        <v>39.340000000000003</v>
      </c>
      <c r="I6" s="255">
        <f t="shared" si="6"/>
        <v>6</v>
      </c>
      <c r="J6" s="255">
        <f>IF(INDEX('Raw Data'!$A6:$EA6,MATCH(J$2,RawData[#Headers],))=""," ",INDEX('Raw Data'!$A6:$EA6,MATCH(J$2,RawData[#Headers],)))</f>
        <v>1920</v>
      </c>
      <c r="K6" s="255">
        <f t="shared" si="7"/>
        <v>2</v>
      </c>
      <c r="L6" s="255">
        <f>IF(INDEX('Raw Data'!$A6:$EA6,MATCH(L$2,RawData[#Headers],))=""," ",INDEX('Raw Data'!$A6:$EA6,MATCH(L$2,RawData[#Headers],)))</f>
        <v>7.1</v>
      </c>
      <c r="M6" s="255">
        <f t="shared" si="0"/>
        <v>3</v>
      </c>
      <c r="N6" s="255">
        <f>IF(INDEX('Raw Data'!$A6:$EA6,MATCH(N$2,RawData[#Headers],))=""," ",INDEX('Raw Data'!$A6:$EA6,MATCH(N$2,RawData[#Headers],)))</f>
        <v>6.5</v>
      </c>
      <c r="O6" s="255">
        <f t="shared" si="0"/>
        <v>3</v>
      </c>
      <c r="P6" s="255">
        <f>IF(INDEX('Raw Data'!$A6:$EA6,MATCH(P$2,RawData[#Headers],))=""," ",INDEX('Raw Data'!$A6:$EA6,MATCH(P$2,RawData[#Headers],)))</f>
        <v>58</v>
      </c>
      <c r="Q6" s="255">
        <f t="shared" ref="Q6" si="77">IF(ISERROR(IF(P6=""," ",RANK(P6,P$3:P$28,1)))," ",IF(P6=""," ",RANK(P6,P$3:P$28,1)))</f>
        <v>5</v>
      </c>
      <c r="R6" s="255">
        <f>IF(INDEX('Raw Data'!$A6:$EA6,MATCH(R$2,RawData[#Headers],))=""," ",INDEX('Raw Data'!$A6:$EA6,MATCH(R$2,RawData[#Headers],)))</f>
        <v>6</v>
      </c>
      <c r="S6" s="255">
        <f t="shared" si="9"/>
        <v>3</v>
      </c>
      <c r="T6" s="255">
        <f>IF(INDEX('Raw Data'!$A6:$EA6,MATCH(T$2,RawData[#Headers],))=""," ",INDEX('Raw Data'!$A6:$EA6,MATCH(T$2,RawData[#Headers],)))</f>
        <v>0</v>
      </c>
      <c r="U6" s="255">
        <f t="shared" si="10"/>
        <v>5</v>
      </c>
      <c r="V6" s="255">
        <f>IF(INDEX('Raw Data'!$A6:$EA6,MATCH(V$2,RawData[#Headers],))=""," ",INDEX('Raw Data'!$A6:$EA6,MATCH(V$2,RawData[#Headers],)))</f>
        <v>0</v>
      </c>
      <c r="W6" s="255">
        <f t="shared" si="11"/>
        <v>5</v>
      </c>
      <c r="X6" s="255">
        <f>IF(INDEX('Raw Data'!$A6:$EA6,MATCH(X$2,RawData[#Headers],))=""," ",INDEX('Raw Data'!$A6:$EA6,MATCH(X$2,RawData[#Headers],)))</f>
        <v>-100</v>
      </c>
      <c r="Y6" s="255">
        <f t="shared" si="12"/>
        <v>5</v>
      </c>
      <c r="Z6" s="255">
        <f>IF(INDEX('Raw Data'!$A6:$EA6,MATCH(Z$2,RawData[#Headers],))=""," ",INDEX('Raw Data'!$A6:$EA6,MATCH(Z$2,RawData[#Headers],)))</f>
        <v>1</v>
      </c>
      <c r="AA6" s="255">
        <f t="shared" si="13"/>
        <v>6</v>
      </c>
      <c r="AB6" s="255">
        <f>IF(INDEX('Raw Data'!$A6:$EA6,MATCH(AB$2,RawData[#Headers],))=""," ",INDEX('Raw Data'!$A6:$EA6,MATCH(AB$2,RawData[#Headers],)))</f>
        <v>16.670000000000002</v>
      </c>
      <c r="AC6" s="255">
        <f t="shared" si="14"/>
        <v>6</v>
      </c>
      <c r="AD6" s="255">
        <f>IF(INDEX('Raw Data'!$A6:$EA6,MATCH(AD$2,RawData[#Headers],))=""," ",INDEX('Raw Data'!$A6:$EA6,MATCH(AD$2,RawData[#Headers],)))</f>
        <v>12</v>
      </c>
      <c r="AE6" s="255">
        <f t="shared" si="15"/>
        <v>1</v>
      </c>
      <c r="AF6" s="255">
        <f>IF(INDEX('Raw Data'!$A6:$EA6,MATCH(AF$2,RawData[#Headers],))=""," ",INDEX('Raw Data'!$A6:$EA6,MATCH(AF$2,RawData[#Headers],)))</f>
        <v>0</v>
      </c>
      <c r="AG6" s="255">
        <f t="shared" si="16"/>
        <v>3</v>
      </c>
      <c r="AH6" s="255">
        <f>IF(INDEX('Raw Data'!$A6:$EA6,MATCH(AH$2,RawData[#Headers],))=""," ",INDEX('Raw Data'!$A6:$EA6,MATCH(AH$2,RawData[#Headers],)))</f>
        <v>0</v>
      </c>
      <c r="AI6" s="255">
        <f t="shared" si="17"/>
        <v>3</v>
      </c>
      <c r="AJ6" s="255">
        <f>IF(INDEX('Raw Data'!$A6:$EA6,MATCH(AJ$2,RawData[#Headers],))=""," ",INDEX('Raw Data'!$A6:$EA6,MATCH(AJ$2,RawData[#Headers],)))</f>
        <v>-100</v>
      </c>
      <c r="AK6" s="255">
        <f t="shared" si="18"/>
        <v>4</v>
      </c>
      <c r="AL6" s="255">
        <f>IF(INDEX('Raw Data'!$A6:$EA6,MATCH(AL$2,RawData[#Headers],))=""," ",INDEX('Raw Data'!$A6:$EA6,MATCH(AL$2,RawData[#Headers],)))</f>
        <v>4</v>
      </c>
      <c r="AM6" s="255">
        <f t="shared" si="19"/>
        <v>1</v>
      </c>
      <c r="AN6" s="255">
        <f>IF(INDEX('Raw Data'!$A6:$EA6,MATCH(AN$2,RawData[#Headers],))=""," ",INDEX('Raw Data'!$A6:$EA6,MATCH(AN$2,RawData[#Headers],)))</f>
        <v>33.33</v>
      </c>
      <c r="AO6" s="255">
        <f t="shared" si="20"/>
        <v>5</v>
      </c>
      <c r="AP6" s="255">
        <f>IF(INDEX('Raw Data'!$A6:$EA6,MATCH(AP$2,RawData[#Headers],))=""," ",INDEX('Raw Data'!$A6:$EA6,MATCH(AP$2,RawData[#Headers],)))</f>
        <v>3</v>
      </c>
      <c r="AQ6" s="255">
        <f t="shared" si="21"/>
        <v>1</v>
      </c>
      <c r="AR6" s="255">
        <f>IF(INDEX('Raw Data'!$A6:$EA6,MATCH(AR$2,RawData[#Headers],))=""," ",INDEX('Raw Data'!$A6:$EA6,MATCH(AR$2,RawData[#Headers],)))</f>
        <v>0</v>
      </c>
      <c r="AS6" s="255">
        <f t="shared" si="22"/>
        <v>2</v>
      </c>
      <c r="AT6" s="255">
        <f>IF(INDEX('Raw Data'!$A6:$EA6,MATCH(AT$2,RawData[#Headers],))=""," ",INDEX('Raw Data'!$A6:$EA6,MATCH(AT$2,RawData[#Headers],)))</f>
        <v>0</v>
      </c>
      <c r="AU6" s="255">
        <f t="shared" si="23"/>
        <v>2</v>
      </c>
      <c r="AV6" s="255">
        <f>IF(INDEX('Raw Data'!$A6:$EA6,MATCH(AV$2,RawData[#Headers],))=""," ",INDEX('Raw Data'!$A6:$EA6,MATCH(AV$2,RawData[#Headers],)))</f>
        <v>-100</v>
      </c>
      <c r="AW6" s="255">
        <f t="shared" si="24"/>
        <v>4</v>
      </c>
      <c r="AX6" s="255">
        <f>IF(INDEX('Raw Data'!$A6:$EA6,MATCH(AX$2,RawData[#Headers],))=""," ",INDEX('Raw Data'!$A6:$EA6,MATCH(AX$2,RawData[#Headers],)))</f>
        <v>1</v>
      </c>
      <c r="AY6" s="255">
        <f t="shared" si="25"/>
        <v>1</v>
      </c>
      <c r="AZ6" s="255">
        <f>IF(INDEX('Raw Data'!$A6:$EA6,MATCH(AZ$2,RawData[#Headers],))=""," ",INDEX('Raw Data'!$A6:$EA6,MATCH(AZ$2,RawData[#Headers],)))</f>
        <v>33.33</v>
      </c>
      <c r="BA6" s="255">
        <f t="shared" si="26"/>
        <v>4</v>
      </c>
      <c r="BB6" s="255">
        <f>IF(INDEX('Raw Data'!$A6:$EA6,MATCH(BB$2,RawData[#Headers],))=""," ",INDEX('Raw Data'!$A6:$EA6,MATCH(BB$2,RawData[#Headers],)))</f>
        <v>11</v>
      </c>
      <c r="BC6" s="255">
        <f t="shared" si="27"/>
        <v>3</v>
      </c>
      <c r="BD6" s="255">
        <f>IF(INDEX('Raw Data'!$A6:$EA6,MATCH(BD$2,RawData[#Headers],))=""," ",INDEX('Raw Data'!$A6:$EA6,MATCH(BD$2,RawData[#Headers],)))</f>
        <v>1</v>
      </c>
      <c r="BE6" s="255">
        <f t="shared" si="28"/>
        <v>3</v>
      </c>
      <c r="BF6" s="255">
        <f>IF(INDEX('Raw Data'!$A6:$EA6,MATCH(BF$2,RawData[#Headers],))=""," ",INDEX('Raw Data'!$A6:$EA6,MATCH(BF$2,RawData[#Headers],)))</f>
        <v>9.09</v>
      </c>
      <c r="BG6" s="255">
        <f t="shared" si="29"/>
        <v>4</v>
      </c>
      <c r="BH6" s="255">
        <f>IF(INDEX('Raw Data'!$A6:$EA6,MATCH(BH$2,RawData[#Headers],))=""," ",INDEX('Raw Data'!$A6:$EA6,MATCH(BH$2,RawData[#Headers],)))</f>
        <v>-50</v>
      </c>
      <c r="BI6" s="255">
        <f t="shared" si="30"/>
        <v>3</v>
      </c>
      <c r="BJ6" s="255">
        <f>IF(INDEX('Raw Data'!$A6:$EA6,MATCH(BJ$2,RawData[#Headers],))=""," ",INDEX('Raw Data'!$A6:$EA6,MATCH(BJ$2,RawData[#Headers],)))</f>
        <v>4</v>
      </c>
      <c r="BK6" s="255">
        <f t="shared" si="31"/>
        <v>4</v>
      </c>
      <c r="BL6" s="255">
        <f>IF(INDEX('Raw Data'!$A6:$EA6,MATCH(BL$2,RawData[#Headers],))=""," ",INDEX('Raw Data'!$A6:$EA6,MATCH(BL$2,RawData[#Headers],)))</f>
        <v>36.36</v>
      </c>
      <c r="BM6" s="255">
        <f t="shared" si="32"/>
        <v>6</v>
      </c>
      <c r="BN6" s="255">
        <f>IF(INDEX('Raw Data'!$A6:$EA6,MATCH(BN$2,RawData[#Headers],))=""," ",INDEX('Raw Data'!$A6:$EA6,MATCH(BN$2,RawData[#Headers],)))</f>
        <v>3594</v>
      </c>
      <c r="BO6" s="255">
        <f t="shared" si="33"/>
        <v>1</v>
      </c>
      <c r="BP6" s="255">
        <f>IF(INDEX('Raw Data'!$A6:$EA6,MATCH(BP$2,RawData[#Headers],))=""," ",INDEX('Raw Data'!$A6:$EA6,MATCH(BP$2,RawData[#Headers],)))</f>
        <v>100</v>
      </c>
      <c r="BQ6" s="255">
        <f t="shared" si="34"/>
        <v>1</v>
      </c>
      <c r="BR6" s="255">
        <f>IF(INDEX('Raw Data'!$A6:$EA6,MATCH(BR$2,RawData[#Headers],))=""," ",INDEX('Raw Data'!$A6:$EA6,MATCH(BR$2,RawData[#Headers],)))</f>
        <v>11</v>
      </c>
      <c r="BS6" s="255">
        <f t="shared" si="35"/>
        <v>2</v>
      </c>
      <c r="BT6" s="255">
        <f>IF(INDEX('Raw Data'!$A6:$EA6,MATCH(BT$2,RawData[#Headers],))=""," ",INDEX('Raw Data'!$A6:$EA6,MATCH(BT$2,RawData[#Headers],)))</f>
        <v>11</v>
      </c>
      <c r="BU6" s="255">
        <f t="shared" si="36"/>
        <v>2</v>
      </c>
      <c r="BV6" s="255">
        <f>IF(INDEX('Raw Data'!$A6:$EA6,MATCH(BV$2,RawData[#Headers],))=""," ",INDEX('Raw Data'!$A6:$EA6,MATCH(BV$2,RawData[#Headers],)))</f>
        <v>-39</v>
      </c>
      <c r="BW6" s="255">
        <f t="shared" si="37"/>
        <v>5</v>
      </c>
      <c r="BX6" s="255">
        <f>IF(INDEX('Raw Data'!$A6:$EA6,MATCH(BX$2,RawData[#Headers],))=""," ",INDEX('Raw Data'!$A6:$EA6,MATCH(BX$2,RawData[#Headers],)))</f>
        <v>47</v>
      </c>
      <c r="BY6" s="255">
        <f t="shared" si="38"/>
        <v>2</v>
      </c>
      <c r="BZ6" s="255">
        <f>IF(INDEX('Raw Data'!$A6:$EA6,MATCH(BZ$2,RawData[#Headers],))=""," ",INDEX('Raw Data'!$A6:$EA6,MATCH(BZ$2,RawData[#Headers],)))</f>
        <v>47</v>
      </c>
      <c r="CA6" s="255">
        <f t="shared" si="39"/>
        <v>2</v>
      </c>
      <c r="CB6" s="255">
        <f>IF(INDEX('Raw Data'!$A6:$EA6,MATCH(CB$2,RawData[#Headers],))=""," ",INDEX('Raw Data'!$A6:$EA6,MATCH(CB$2,RawData[#Headers],)))</f>
        <v>2241</v>
      </c>
      <c r="CC6" s="255">
        <f t="shared" si="40"/>
        <v>2</v>
      </c>
      <c r="CD6" s="255">
        <f>IF(INDEX('Raw Data'!$A6:$EA6,MATCH(CD$2,RawData[#Headers],))=""," ",INDEX('Raw Data'!$A6:$EA6,MATCH(CD$2,RawData[#Headers],)))</f>
        <v>542</v>
      </c>
      <c r="CE6" s="255">
        <f t="shared" si="41"/>
        <v>1</v>
      </c>
      <c r="CF6" s="255">
        <f>IF(INDEX('Raw Data'!$A6:$EA6,MATCH(CF$2,RawData[#Headers],))=""," ",INDEX('Raw Data'!$A6:$EA6,MATCH(CF$2,RawData[#Headers],)))</f>
        <v>63</v>
      </c>
      <c r="CG6" s="255">
        <f t="shared" si="42"/>
        <v>1</v>
      </c>
      <c r="CH6" s="255">
        <f>IF(INDEX('Raw Data'!$A6:$EA6,MATCH(CH$2,RawData[#Headers],))=""," ",INDEX('Raw Data'!$A6:$EA6,MATCH(CH$2,RawData[#Headers],)))</f>
        <v>11.62</v>
      </c>
      <c r="CI6" s="255">
        <f t="shared" si="43"/>
        <v>4</v>
      </c>
      <c r="CJ6" s="255">
        <f>IF(INDEX('Raw Data'!$A6:$EA6,MATCH(CJ$2,RawData[#Headers],))=""," ",INDEX('Raw Data'!$A6:$EA6,MATCH(CJ$2,RawData[#Headers],)))</f>
        <v>-24</v>
      </c>
      <c r="CK6" s="255">
        <f t="shared" si="44"/>
        <v>4</v>
      </c>
      <c r="CL6" s="255">
        <f>IF(INDEX('Raw Data'!$A6:$EA6,MATCH(CL$2,RawData[#Headers],))=""," ",INDEX('Raw Data'!$A6:$EA6,MATCH(CL$2,RawData[#Headers],)))</f>
        <v>172</v>
      </c>
      <c r="CM6" s="255">
        <f t="shared" si="45"/>
        <v>1</v>
      </c>
      <c r="CN6" s="255">
        <f>IF(INDEX('Raw Data'!$A6:$EA6,MATCH(CN$2,RawData[#Headers],))=""," ",INDEX('Raw Data'!$A6:$EA6,MATCH(CN$2,RawData[#Headers],)))</f>
        <v>31.73</v>
      </c>
      <c r="CO6" s="255">
        <f t="shared" si="46"/>
        <v>6</v>
      </c>
      <c r="CP6" s="255">
        <f>IF(INDEX('Raw Data'!$A6:$EA6,MATCH(CP$2,RawData[#Headers],))=""," ",INDEX('Raw Data'!$A6:$EA6,MATCH(CP$2,RawData[#Headers],)))</f>
        <v>2286</v>
      </c>
      <c r="CQ6" s="255">
        <f t="shared" si="47"/>
        <v>2</v>
      </c>
      <c r="CR6" s="255">
        <f>IF(INDEX('Raw Data'!$A6:$EA6,MATCH(CR$2,RawData[#Headers],))=""," ",INDEX('Raw Data'!$A6:$EA6,MATCH(CR$2,RawData[#Headers],)))</f>
        <v>492</v>
      </c>
      <c r="CS6" s="255">
        <f t="shared" si="48"/>
        <v>1</v>
      </c>
      <c r="CT6" s="255">
        <f>IF(INDEX('Raw Data'!$A6:$EA6,MATCH(CT$2,RawData[#Headers],))=""," ",INDEX('Raw Data'!$A6:$EA6,MATCH(CT$2,RawData[#Headers],)))</f>
        <v>57</v>
      </c>
      <c r="CU6" s="255">
        <f t="shared" si="49"/>
        <v>1</v>
      </c>
      <c r="CV6" s="255">
        <f>IF(INDEX('Raw Data'!$A6:$EA6,MATCH(CV$2,RawData[#Headers],))=""," ",INDEX('Raw Data'!$A6:$EA6,MATCH(CV$2,RawData[#Headers],)))</f>
        <v>11.59</v>
      </c>
      <c r="CW6" s="255">
        <f t="shared" si="50"/>
        <v>3</v>
      </c>
      <c r="CX6" s="255">
        <f>IF(INDEX('Raw Data'!$A6:$EA6,MATCH(CX$2,RawData[#Headers],))=""," ",INDEX('Raw Data'!$A6:$EA6,MATCH(CX$2,RawData[#Headers],)))</f>
        <v>-24</v>
      </c>
      <c r="CY6" s="255">
        <f t="shared" si="51"/>
        <v>4</v>
      </c>
      <c r="CZ6" s="255">
        <f>IF(INDEX('Raw Data'!$A6:$EA6,MATCH(CZ$2,RawData[#Headers],))=""," ",INDEX('Raw Data'!$A6:$EA6,MATCH(CZ$2,RawData[#Headers],)))</f>
        <v>162</v>
      </c>
      <c r="DA6" s="255">
        <f t="shared" si="52"/>
        <v>1</v>
      </c>
      <c r="DB6" s="255">
        <f>IF(INDEX('Raw Data'!$A6:$EA6,MATCH(DB$2,RawData[#Headers],))=""," ",INDEX('Raw Data'!$A6:$EA6,MATCH(DB$2,RawData[#Headers],)))</f>
        <v>32.93</v>
      </c>
      <c r="DC6" s="255">
        <f t="shared" si="53"/>
        <v>4</v>
      </c>
      <c r="DD6" s="255">
        <f>IF(INDEX('Raw Data'!$A6:$EA6,MATCH(DD$2,RawData[#Headers],))=""," ",INDEX('Raw Data'!$A6:$EA6,MATCH(DD$2,RawData[#Headers],)))</f>
        <v>486</v>
      </c>
      <c r="DE6" s="255">
        <f t="shared" si="54"/>
        <v>8</v>
      </c>
      <c r="DF6" s="255">
        <f>IF(INDEX('Raw Data'!$A6:$EA6,MATCH(DF$2,RawData[#Headers],))=""," ",INDEX('Raw Data'!$A6:$EA6,MATCH(DF$2,RawData[#Headers],)))</f>
        <v>4</v>
      </c>
      <c r="DG6" s="255">
        <f t="shared" si="55"/>
        <v>7</v>
      </c>
      <c r="DH6" s="255">
        <f>IF(INDEX('Raw Data'!$A6:$EA6,MATCH(DH$2,RawData[#Headers],))=""," ",INDEX('Raw Data'!$A6:$EA6,MATCH(DH$2,RawData[#Headers],)))</f>
        <v>4</v>
      </c>
      <c r="DI6" s="255">
        <f t="shared" si="56"/>
        <v>8</v>
      </c>
      <c r="DJ6" s="255">
        <f>IF(INDEX('Raw Data'!$A6:$EA6,MATCH(DJ$2,RawData[#Headers],))=""," ",INDEX('Raw Data'!$A6:$EA6,MATCH(DJ$2,RawData[#Headers],)))</f>
        <v>-69</v>
      </c>
      <c r="DK6" s="255">
        <f t="shared" si="57"/>
        <v>8</v>
      </c>
      <c r="DL6" s="255">
        <f>IF(INDEX('Raw Data'!$A6:$EA6,MATCH(DL$2,RawData[#Headers],))=""," ",INDEX('Raw Data'!$A6:$EA6,MATCH(DL$2,RawData[#Headers],)))</f>
        <v>15</v>
      </c>
      <c r="DM6" s="255">
        <f t="shared" si="58"/>
        <v>7</v>
      </c>
      <c r="DN6" s="255">
        <f>IF(INDEX('Raw Data'!$A6:$EA6,MATCH(DN$2,RawData[#Headers],))=""," ",INDEX('Raw Data'!$A6:$EA6,MATCH(DN$2,RawData[#Headers],)))</f>
        <v>15</v>
      </c>
      <c r="DO6" s="255">
        <f t="shared" si="59"/>
        <v>8</v>
      </c>
      <c r="DP6" s="255">
        <f>IF(INDEX('Raw Data'!$A6:$EA6,MATCH(DP$2,RawData[#Headers],))=""," ",INDEX('Raw Data'!$A6:$EA6,MATCH(DP$2,RawData[#Headers],)))</f>
        <v>476</v>
      </c>
      <c r="DQ6" s="255">
        <f t="shared" si="60"/>
        <v>8</v>
      </c>
      <c r="DR6" s="255">
        <f>IF(INDEX('Raw Data'!$A6:$EA6,MATCH(DR$2,RawData[#Headers],))=""," ",INDEX('Raw Data'!$A6:$EA6,MATCH(DR$2,RawData[#Headers],)))</f>
        <v>102</v>
      </c>
      <c r="DS6" s="255">
        <f t="shared" si="61"/>
        <v>2</v>
      </c>
      <c r="DT6" s="255">
        <f>IF(INDEX('Raw Data'!$A6:$EA6,MATCH(DT$2,RawData[#Headers],))=""," ",INDEX('Raw Data'!$A6:$EA6,MATCH(DT$2,RawData[#Headers],)))</f>
        <v>4</v>
      </c>
      <c r="DU6" s="255">
        <f t="shared" si="62"/>
        <v>4</v>
      </c>
      <c r="DV6" s="255">
        <f>IF(INDEX('Raw Data'!$A6:$EA6,MATCH(DV$2,RawData[#Headers],))=""," ",INDEX('Raw Data'!$A6:$EA6,MATCH(DV$2,RawData[#Headers],)))</f>
        <v>3.92</v>
      </c>
      <c r="DW6" s="255">
        <f t="shared" si="63"/>
        <v>7</v>
      </c>
      <c r="DX6" s="255">
        <f>IF(INDEX('Raw Data'!$A6:$EA6,MATCH(DX$2,RawData[#Headers],))=""," ",INDEX('Raw Data'!$A6:$EA6,MATCH(DX$2,RawData[#Headers],)))</f>
        <v>-70</v>
      </c>
      <c r="DY6" s="255">
        <f t="shared" si="64"/>
        <v>8</v>
      </c>
      <c r="DZ6" s="255">
        <f>IF(INDEX('Raw Data'!$A6:$EA6,MATCH(DZ$2,RawData[#Headers],))=""," ",INDEX('Raw Data'!$A6:$EA6,MATCH(DZ$2,RawData[#Headers],)))</f>
        <v>15</v>
      </c>
      <c r="EA6" s="255">
        <f t="shared" si="65"/>
        <v>5</v>
      </c>
      <c r="EB6" s="255">
        <f>IF(INDEX('Raw Data'!$A6:$EA6,MATCH(EB$2,RawData[#Headers],))=""," ",INDEX('Raw Data'!$A6:$EA6,MATCH(EB$2,RawData[#Headers],)))</f>
        <v>14.71</v>
      </c>
      <c r="EC6" s="255">
        <f t="shared" si="66"/>
        <v>8</v>
      </c>
      <c r="ED6" s="255">
        <f>IF(INDEX('Raw Data'!$A6:$EA6,MATCH(ED$2,RawData[#Headers],))=""," ",INDEX('Raw Data'!$A6:$EA6,MATCH(ED$2,RawData[#Headers],)))</f>
        <v>449</v>
      </c>
      <c r="EE6" s="255">
        <f t="shared" si="67"/>
        <v>8</v>
      </c>
      <c r="EF6" s="255">
        <f>IF(INDEX('Raw Data'!$A6:$EA6,MATCH(EF$2,RawData[#Headers],))=""," ",INDEX('Raw Data'!$A6:$EA6,MATCH(EF$2,RawData[#Headers],)))</f>
        <v>98</v>
      </c>
      <c r="EG6" s="255">
        <f t="shared" si="68"/>
        <v>2</v>
      </c>
      <c r="EH6" s="255">
        <f>IF(INDEX('Raw Data'!$A6:$EA6,MATCH(EH$2,RawData[#Headers],))=""," ",INDEX('Raw Data'!$A6:$EA6,MATCH(EH$2,RawData[#Headers],)))</f>
        <v>3</v>
      </c>
      <c r="EI6" s="255">
        <f t="shared" si="69"/>
        <v>5</v>
      </c>
      <c r="EJ6" s="255">
        <f>IF(INDEX('Raw Data'!$A6:$EA6,MATCH(EJ$2,RawData[#Headers],))=""," ",INDEX('Raw Data'!$A6:$EA6,MATCH(EJ$2,RawData[#Headers],)))</f>
        <v>3.06</v>
      </c>
      <c r="EK6" s="255">
        <f t="shared" si="70"/>
        <v>7</v>
      </c>
      <c r="EL6" s="255">
        <f>IF(INDEX('Raw Data'!$A6:$EA6,MATCH(EL$2,RawData[#Headers],))=""," ",INDEX('Raw Data'!$A6:$EA6,MATCH(EL$2,RawData[#Headers],)))</f>
        <v>-78</v>
      </c>
      <c r="EM6" s="255">
        <f t="shared" si="71"/>
        <v>8</v>
      </c>
      <c r="EN6" s="255">
        <f>IF(INDEX('Raw Data'!$A6:$EA6,MATCH(EN$2,RawData[#Headers],))=""," ",INDEX('Raw Data'!$A6:$EA6,MATCH(EN$2,RawData[#Headers],)))</f>
        <v>14</v>
      </c>
      <c r="EO6" s="255">
        <f t="shared" si="72"/>
        <v>5</v>
      </c>
      <c r="EP6" s="255">
        <f>IF(INDEX('Raw Data'!$A6:$EA6,MATCH(EP$2,RawData[#Headers],))=""," ",INDEX('Raw Data'!$A6:$EA6,MATCH(EP$2,RawData[#Headers],)))</f>
        <v>14.29</v>
      </c>
      <c r="EQ6" s="255">
        <f t="shared" si="73"/>
        <v>8</v>
      </c>
      <c r="ER6" s="255">
        <f>IF(INDEX('Raw Data'!$A6:$EA6,MATCH(ER$2,RawData[#Headers],))=""," ",INDEX('Raw Data'!$A6:$EA6,MATCH(ER$2,RawData[#Headers],)))</f>
        <v>2</v>
      </c>
      <c r="ES6" s="255">
        <f t="shared" si="2"/>
        <v>1</v>
      </c>
      <c r="ET6" s="255">
        <f>IF(INDEX('Raw Data'!$A6:$EA6,MATCH(ET$2,RawData[#Headers],))=""," ",INDEX('Raw Data'!$A6:$EA6,MATCH(ET$2,RawData[#Headers],)))</f>
        <v>4.5</v>
      </c>
      <c r="EU6" s="255">
        <f t="shared" si="3"/>
        <v>6</v>
      </c>
      <c r="EV6" s="255">
        <f>IF(INDEX('Raw Data'!$A6:$EA6,MATCH(EV$2,RawData[#Headers],))=""," ",INDEX('Raw Data'!$A6:$EA6,MATCH(EV$2,RawData[#Headers],)))</f>
        <v>160</v>
      </c>
      <c r="EW6" s="255">
        <f t="shared" si="4"/>
        <v>3</v>
      </c>
      <c r="EX6" s="255">
        <f>IF(INDEX('Raw Data'!$A6:$EA6,MATCH(EX$2,RawData[#Headers],))=""," ",INDEX('Raw Data'!$A6:$EA6,MATCH(EX$2,RawData[#Headers],)))</f>
        <v>1600</v>
      </c>
      <c r="EY6" s="255">
        <f t="shared" si="74"/>
        <v>2</v>
      </c>
      <c r="EZ6" s="276">
        <f>IF(INDEX('Raw Data'!$A6:$EA6,MATCH(EZ$2,RawData[#Headers],))=""," ",INDEX('Raw Data'!$A6:$EA6,MATCH(EZ$2,RawData[#Headers],)))</f>
        <v>3080.25</v>
      </c>
      <c r="FA6" s="255">
        <f t="shared" si="75"/>
        <v>6</v>
      </c>
      <c r="FB6" s="255">
        <f>IF(INDEX('Raw Data'!$A6:$EA6,MATCH(FB$2,RawData[#Headers],))=""," ",INDEX('Raw Data'!$A6:$EA6,MATCH(FB$2,RawData[#Headers],)))</f>
        <v>5</v>
      </c>
    </row>
    <row r="7" spans="1:158" x14ac:dyDescent="0.3">
      <c r="A7" s="255">
        <f>RawData[[#This Row],[Num]]</f>
        <v>6</v>
      </c>
      <c r="B7" s="255">
        <f>IF(INDEX('Raw Data'!$A7:$EA7,MATCH(B$2,RawData[#Headers],))=""," ",INDEX('Raw Data'!$A7:$EA7,MATCH(B$2,RawData[#Headers],)))</f>
        <v>17.649999999999999</v>
      </c>
      <c r="C7" s="326">
        <f>IFERROR(STANDARDIZE(machina[[#This Row],[Career Strike Rate]],B$30,B$31)^2," ")</f>
        <v>0.78027777777777696</v>
      </c>
      <c r="D7" s="255">
        <f>IF(INDEX('Raw Data'!$A7:$EA7,MATCH(D$2,RawData[#Headers],))=""," ",INDEX('Raw Data'!$A7:$EA7,MATCH(D$2,RawData[#Headers],)))</f>
        <v>14</v>
      </c>
      <c r="E7" s="326">
        <f>IFERROR(STANDARDIZE(machina[[#This Row],[Career ROI]],D$30,D$31)^2," ")</f>
        <v>3.3933518005540164</v>
      </c>
      <c r="F7" s="255">
        <f>IF(INDEX('Raw Data'!$A7:$EA7,MATCH(F$2,RawData[#Headers],))=""," ",INDEX('Raw Data'!$A7:$EA7,MATCH(F$2,RawData[#Headers],)))</f>
        <v>27</v>
      </c>
      <c r="G7" s="255">
        <f t="shared" si="5"/>
        <v>1</v>
      </c>
      <c r="H7" s="255">
        <f>IF(INDEX('Raw Data'!$A7:$EA7,MATCH(H$2,RawData[#Headers],))=""," ",INDEX('Raw Data'!$A7:$EA7,MATCH(H$2,RawData[#Headers],)))</f>
        <v>39.71</v>
      </c>
      <c r="I7" s="255">
        <f t="shared" si="6"/>
        <v>5</v>
      </c>
      <c r="J7" s="255">
        <f>IF(INDEX('Raw Data'!$A7:$EA7,MATCH(J$2,RawData[#Headers],))=""," ",INDEX('Raw Data'!$A7:$EA7,MATCH(J$2,RawData[#Headers],)))</f>
        <v>1841</v>
      </c>
      <c r="K7" s="255">
        <f t="shared" si="7"/>
        <v>4</v>
      </c>
      <c r="L7" s="255">
        <f>IF(INDEX('Raw Data'!$A7:$EA7,MATCH(L$2,RawData[#Headers],))=""," ",INDEX('Raw Data'!$A7:$EA7,MATCH(L$2,RawData[#Headers],)))</f>
        <v>21</v>
      </c>
      <c r="M7" s="255">
        <f t="shared" si="0"/>
        <v>6</v>
      </c>
      <c r="N7" s="255">
        <f>IF(INDEX('Raw Data'!$A7:$EA7,MATCH(N$2,RawData[#Headers],))=""," ",INDEX('Raw Data'!$A7:$EA7,MATCH(N$2,RawData[#Headers],)))</f>
        <v>17</v>
      </c>
      <c r="O7" s="255">
        <f t="shared" si="0"/>
        <v>6</v>
      </c>
      <c r="P7" s="255">
        <f>IF(INDEX('Raw Data'!$A7:$EA7,MATCH(P$2,RawData[#Headers],))=""," ",INDEX('Raw Data'!$A7:$EA7,MATCH(P$2,RawData[#Headers],)))</f>
        <v>57</v>
      </c>
      <c r="Q7" s="255">
        <f t="shared" ref="Q7" si="78">IF(ISERROR(IF(P7=""," ",RANK(P7,P$3:P$28,1)))," ",IF(P7=""," ",RANK(P7,P$3:P$28,1)))</f>
        <v>4</v>
      </c>
      <c r="R7" s="255">
        <f>IF(INDEX('Raw Data'!$A7:$EA7,MATCH(R$2,RawData[#Headers],))=""," ",INDEX('Raw Data'!$A7:$EA7,MATCH(R$2,RawData[#Headers],)))</f>
        <v>4</v>
      </c>
      <c r="S7" s="255">
        <f t="shared" si="9"/>
        <v>6</v>
      </c>
      <c r="T7" s="255">
        <f>IF(INDEX('Raw Data'!$A7:$EA7,MATCH(T$2,RawData[#Headers],))=""," ",INDEX('Raw Data'!$A7:$EA7,MATCH(T$2,RawData[#Headers],)))</f>
        <v>2</v>
      </c>
      <c r="U7" s="255">
        <f t="shared" si="10"/>
        <v>2</v>
      </c>
      <c r="V7" s="255">
        <f>IF(INDEX('Raw Data'!$A7:$EA7,MATCH(V$2,RawData[#Headers],))=""," ",INDEX('Raw Data'!$A7:$EA7,MATCH(V$2,RawData[#Headers],)))</f>
        <v>50</v>
      </c>
      <c r="W7" s="255">
        <f t="shared" si="11"/>
        <v>1</v>
      </c>
      <c r="X7" s="255">
        <f>IF(INDEX('Raw Data'!$A7:$EA7,MATCH(X$2,RawData[#Headers],))=""," ",INDEX('Raw Data'!$A7:$EA7,MATCH(X$2,RawData[#Headers],)))</f>
        <v>158</v>
      </c>
      <c r="Y7" s="255">
        <f t="shared" si="12"/>
        <v>1</v>
      </c>
      <c r="Z7" s="255">
        <f>IF(INDEX('Raw Data'!$A7:$EA7,MATCH(Z$2,RawData[#Headers],))=""," ",INDEX('Raw Data'!$A7:$EA7,MATCH(Z$2,RawData[#Headers],)))</f>
        <v>2</v>
      </c>
      <c r="AA7" s="255">
        <f t="shared" si="13"/>
        <v>5</v>
      </c>
      <c r="AB7" s="255">
        <f>IF(INDEX('Raw Data'!$A7:$EA7,MATCH(AB$2,RawData[#Headers],))=""," ",INDEX('Raw Data'!$A7:$EA7,MATCH(AB$2,RawData[#Headers],)))</f>
        <v>50</v>
      </c>
      <c r="AC7" s="255">
        <f t="shared" si="14"/>
        <v>4</v>
      </c>
      <c r="AD7" s="255">
        <f>IF(INDEX('Raw Data'!$A7:$EA7,MATCH(AD$2,RawData[#Headers],))=""," ",INDEX('Raw Data'!$A7:$EA7,MATCH(AD$2,RawData[#Headers],)))</f>
        <v>6</v>
      </c>
      <c r="AE7" s="255">
        <f t="shared" si="15"/>
        <v>2</v>
      </c>
      <c r="AF7" s="255">
        <f>IF(INDEX('Raw Data'!$A7:$EA7,MATCH(AF$2,RawData[#Headers],))=""," ",INDEX('Raw Data'!$A7:$EA7,MATCH(AF$2,RawData[#Headers],)))</f>
        <v>1</v>
      </c>
      <c r="AG7" s="255">
        <f t="shared" si="16"/>
        <v>1</v>
      </c>
      <c r="AH7" s="255">
        <f>IF(INDEX('Raw Data'!$A7:$EA7,MATCH(AH$2,RawData[#Headers],))=""," ",INDEX('Raw Data'!$A7:$EA7,MATCH(AH$2,RawData[#Headers],)))</f>
        <v>16.670000000000002</v>
      </c>
      <c r="AI7" s="255">
        <f t="shared" si="17"/>
        <v>1</v>
      </c>
      <c r="AJ7" s="255">
        <f>IF(INDEX('Raw Data'!$A7:$EA7,MATCH(AJ$2,RawData[#Headers],))=""," ",INDEX('Raw Data'!$A7:$EA7,MATCH(AJ$2,RawData[#Headers],)))</f>
        <v>-37</v>
      </c>
      <c r="AK7" s="255">
        <f t="shared" si="18"/>
        <v>3</v>
      </c>
      <c r="AL7" s="255">
        <f>IF(INDEX('Raw Data'!$A7:$EA7,MATCH(AL$2,RawData[#Headers],))=""," ",INDEX('Raw Data'!$A7:$EA7,MATCH(AL$2,RawData[#Headers],)))</f>
        <v>3</v>
      </c>
      <c r="AM7" s="255">
        <f t="shared" si="19"/>
        <v>2</v>
      </c>
      <c r="AN7" s="255">
        <f>IF(INDEX('Raw Data'!$A7:$EA7,MATCH(AN$2,RawData[#Headers],))=""," ",INDEX('Raw Data'!$A7:$EA7,MATCH(AN$2,RawData[#Headers],)))</f>
        <v>50</v>
      </c>
      <c r="AO7" s="255">
        <f t="shared" si="20"/>
        <v>2</v>
      </c>
      <c r="AP7" s="255">
        <f>IF(INDEX('Raw Data'!$A7:$EA7,MATCH(AP$2,RawData[#Headers],))=""," ",INDEX('Raw Data'!$A7:$EA7,MATCH(AP$2,RawData[#Headers],)))</f>
        <v>2</v>
      </c>
      <c r="AQ7" s="255">
        <f t="shared" si="21"/>
        <v>2</v>
      </c>
      <c r="AR7" s="255">
        <f>IF(INDEX('Raw Data'!$A7:$EA7,MATCH(AR$2,RawData[#Headers],))=""," ",INDEX('Raw Data'!$A7:$EA7,MATCH(AR$2,RawData[#Headers],)))</f>
        <v>1</v>
      </c>
      <c r="AS7" s="255">
        <f t="shared" si="22"/>
        <v>1</v>
      </c>
      <c r="AT7" s="255">
        <f>IF(INDEX('Raw Data'!$A7:$EA7,MATCH(AT$2,RawData[#Headers],))=""," ",INDEX('Raw Data'!$A7:$EA7,MATCH(AT$2,RawData[#Headers],)))</f>
        <v>50</v>
      </c>
      <c r="AU7" s="255">
        <f t="shared" si="23"/>
        <v>1</v>
      </c>
      <c r="AV7" s="255">
        <f>IF(INDEX('Raw Data'!$A7:$EA7,MATCH(AV$2,RawData[#Headers],))=""," ",INDEX('Raw Data'!$A7:$EA7,MATCH(AV$2,RawData[#Headers],)))</f>
        <v>90</v>
      </c>
      <c r="AW7" s="255">
        <f t="shared" si="24"/>
        <v>1</v>
      </c>
      <c r="AX7" s="255">
        <f>IF(INDEX('Raw Data'!$A7:$EA7,MATCH(AX$2,RawData[#Headers],))=""," ",INDEX('Raw Data'!$A7:$EA7,MATCH(AX$2,RawData[#Headers],)))</f>
        <v>1</v>
      </c>
      <c r="AY7" s="255">
        <f t="shared" si="25"/>
        <v>1</v>
      </c>
      <c r="AZ7" s="255">
        <f>IF(INDEX('Raw Data'!$A7:$EA7,MATCH(AZ$2,RawData[#Headers],))=""," ",INDEX('Raw Data'!$A7:$EA7,MATCH(AZ$2,RawData[#Headers],)))</f>
        <v>50</v>
      </c>
      <c r="BA7" s="255">
        <f t="shared" si="26"/>
        <v>2</v>
      </c>
      <c r="BB7" s="255">
        <f>IF(INDEX('Raw Data'!$A7:$EA7,MATCH(BB$2,RawData[#Headers],))=""," ",INDEX('Raw Data'!$A7:$EA7,MATCH(BB$2,RawData[#Headers],)))</f>
        <v>8</v>
      </c>
      <c r="BC7" s="255">
        <f t="shared" si="27"/>
        <v>6</v>
      </c>
      <c r="BD7" s="255">
        <f>IF(INDEX('Raw Data'!$A7:$EA7,MATCH(BD$2,RawData[#Headers],))=""," ",INDEX('Raw Data'!$A7:$EA7,MATCH(BD$2,RawData[#Headers],)))</f>
        <v>0</v>
      </c>
      <c r="BE7" s="255">
        <f t="shared" si="28"/>
        <v>6</v>
      </c>
      <c r="BF7" s="255">
        <f>IF(INDEX('Raw Data'!$A7:$EA7,MATCH(BF$2,RawData[#Headers],))=""," ",INDEX('Raw Data'!$A7:$EA7,MATCH(BF$2,RawData[#Headers],)))</f>
        <v>0</v>
      </c>
      <c r="BG7" s="255">
        <f t="shared" si="29"/>
        <v>6</v>
      </c>
      <c r="BH7" s="255">
        <f>IF(INDEX('Raw Data'!$A7:$EA7,MATCH(BH$2,RawData[#Headers],))=""," ",INDEX('Raw Data'!$A7:$EA7,MATCH(BH$2,RawData[#Headers],)))</f>
        <v>-100</v>
      </c>
      <c r="BI7" s="255">
        <f t="shared" si="30"/>
        <v>6</v>
      </c>
      <c r="BJ7" s="255">
        <f>IF(INDEX('Raw Data'!$A7:$EA7,MATCH(BJ$2,RawData[#Headers],))=""," ",INDEX('Raw Data'!$A7:$EA7,MATCH(BJ$2,RawData[#Headers],)))</f>
        <v>3</v>
      </c>
      <c r="BK7" s="255">
        <f t="shared" si="31"/>
        <v>5</v>
      </c>
      <c r="BL7" s="255">
        <f>IF(INDEX('Raw Data'!$A7:$EA7,MATCH(BL$2,RawData[#Headers],))=""," ",INDEX('Raw Data'!$A7:$EA7,MATCH(BL$2,RawData[#Headers],)))</f>
        <v>37.5</v>
      </c>
      <c r="BM7" s="255">
        <f t="shared" si="32"/>
        <v>5</v>
      </c>
      <c r="BN7" s="255">
        <f>IF(INDEX('Raw Data'!$A7:$EA7,MATCH(BN$2,RawData[#Headers],))=""," ",INDEX('Raw Data'!$A7:$EA7,MATCH(BN$2,RawData[#Headers],)))</f>
        <v>1209</v>
      </c>
      <c r="BO7" s="255">
        <f t="shared" si="33"/>
        <v>8</v>
      </c>
      <c r="BP7" s="255">
        <f>IF(INDEX('Raw Data'!$A7:$EA7,MATCH(BP$2,RawData[#Headers],))=""," ",INDEX('Raw Data'!$A7:$EA7,MATCH(BP$2,RawData[#Headers],)))</f>
        <v>100</v>
      </c>
      <c r="BQ7" s="255">
        <f t="shared" si="34"/>
        <v>1</v>
      </c>
      <c r="BR7" s="255">
        <f>IF(INDEX('Raw Data'!$A7:$EA7,MATCH(BR$2,RawData[#Headers],))=""," ",INDEX('Raw Data'!$A7:$EA7,MATCH(BR$2,RawData[#Headers],)))</f>
        <v>10</v>
      </c>
      <c r="BS7" s="255">
        <f t="shared" si="35"/>
        <v>5</v>
      </c>
      <c r="BT7" s="255">
        <f>IF(INDEX('Raw Data'!$A7:$EA7,MATCH(BT$2,RawData[#Headers],))=""," ",INDEX('Raw Data'!$A7:$EA7,MATCH(BT$2,RawData[#Headers],)))</f>
        <v>10</v>
      </c>
      <c r="BU7" s="255">
        <f t="shared" si="36"/>
        <v>5</v>
      </c>
      <c r="BV7" s="255">
        <f>IF(INDEX('Raw Data'!$A7:$EA7,MATCH(BV$2,RawData[#Headers],))=""," ",INDEX('Raw Data'!$A7:$EA7,MATCH(BV$2,RawData[#Headers],)))</f>
        <v>-56</v>
      </c>
      <c r="BW7" s="255">
        <f t="shared" si="37"/>
        <v>7</v>
      </c>
      <c r="BX7" s="255">
        <f>IF(INDEX('Raw Data'!$A7:$EA7,MATCH(BX$2,RawData[#Headers],))=""," ",INDEX('Raw Data'!$A7:$EA7,MATCH(BX$2,RawData[#Headers],)))</f>
        <v>29</v>
      </c>
      <c r="BY7" s="255">
        <f t="shared" si="38"/>
        <v>6</v>
      </c>
      <c r="BZ7" s="255">
        <f>IF(INDEX('Raw Data'!$A7:$EA7,MATCH(BZ$2,RawData[#Headers],))=""," ",INDEX('Raw Data'!$A7:$EA7,MATCH(BZ$2,RawData[#Headers],)))</f>
        <v>29</v>
      </c>
      <c r="CA7" s="255">
        <f t="shared" si="39"/>
        <v>6</v>
      </c>
      <c r="CB7" s="255">
        <f>IF(INDEX('Raw Data'!$A7:$EA7,MATCH(CB$2,RawData[#Headers],))=""," ",INDEX('Raw Data'!$A7:$EA7,MATCH(CB$2,RawData[#Headers],)))</f>
        <v>1703</v>
      </c>
      <c r="CC7" s="255">
        <f t="shared" si="40"/>
        <v>4</v>
      </c>
      <c r="CD7" s="255">
        <f>IF(INDEX('Raw Data'!$A7:$EA7,MATCH(CD$2,RawData[#Headers],))=""," ",INDEX('Raw Data'!$A7:$EA7,MATCH(CD$2,RawData[#Headers],)))</f>
        <v>42</v>
      </c>
      <c r="CE7" s="255">
        <f t="shared" si="41"/>
        <v>8</v>
      </c>
      <c r="CF7" s="255">
        <f>IF(INDEX('Raw Data'!$A7:$EA7,MATCH(CF$2,RawData[#Headers],))=""," ",INDEX('Raw Data'!$A7:$EA7,MATCH(CF$2,RawData[#Headers],)))</f>
        <v>6</v>
      </c>
      <c r="CG7" s="255">
        <f t="shared" si="42"/>
        <v>8</v>
      </c>
      <c r="CH7" s="255">
        <f>IF(INDEX('Raw Data'!$A7:$EA7,MATCH(CH$2,RawData[#Headers],))=""," ",INDEX('Raw Data'!$A7:$EA7,MATCH(CH$2,RawData[#Headers],)))</f>
        <v>14.29</v>
      </c>
      <c r="CI7" s="255">
        <f t="shared" si="43"/>
        <v>1</v>
      </c>
      <c r="CJ7" s="255">
        <f>IF(INDEX('Raw Data'!$A7:$EA7,MATCH(CJ$2,RawData[#Headers],))=""," ",INDEX('Raw Data'!$A7:$EA7,MATCH(CJ$2,RawData[#Headers],)))</f>
        <v>-20</v>
      </c>
      <c r="CK7" s="255">
        <f t="shared" si="44"/>
        <v>2</v>
      </c>
      <c r="CL7" s="255">
        <f>IF(INDEX('Raw Data'!$A7:$EA7,MATCH(CL$2,RawData[#Headers],))=""," ",INDEX('Raw Data'!$A7:$EA7,MATCH(CL$2,RawData[#Headers],)))</f>
        <v>12</v>
      </c>
      <c r="CM7" s="255">
        <f t="shared" si="45"/>
        <v>8</v>
      </c>
      <c r="CN7" s="255">
        <f>IF(INDEX('Raw Data'!$A7:$EA7,MATCH(CN$2,RawData[#Headers],))=""," ",INDEX('Raw Data'!$A7:$EA7,MATCH(CN$2,RawData[#Headers],)))</f>
        <v>28.57</v>
      </c>
      <c r="CO7" s="255">
        <f t="shared" si="46"/>
        <v>8</v>
      </c>
      <c r="CP7" s="255">
        <f>IF(INDEX('Raw Data'!$A7:$EA7,MATCH(CP$2,RawData[#Headers],))=""," ",INDEX('Raw Data'!$A7:$EA7,MATCH(CP$2,RawData[#Headers],)))</f>
        <v>1703</v>
      </c>
      <c r="CQ7" s="255">
        <f t="shared" si="47"/>
        <v>4</v>
      </c>
      <c r="CR7" s="255">
        <f>IF(INDEX('Raw Data'!$A7:$EA7,MATCH(CR$2,RawData[#Headers],))=""," ",INDEX('Raw Data'!$A7:$EA7,MATCH(CR$2,RawData[#Headers],)))</f>
        <v>42</v>
      </c>
      <c r="CS7" s="255">
        <f t="shared" si="48"/>
        <v>8</v>
      </c>
      <c r="CT7" s="255">
        <f>IF(INDEX('Raw Data'!$A7:$EA7,MATCH(CT$2,RawData[#Headers],))=""," ",INDEX('Raw Data'!$A7:$EA7,MATCH(CT$2,RawData[#Headers],)))</f>
        <v>6</v>
      </c>
      <c r="CU7" s="255">
        <f t="shared" si="49"/>
        <v>8</v>
      </c>
      <c r="CV7" s="255">
        <f>IF(INDEX('Raw Data'!$A7:$EA7,MATCH(CV$2,RawData[#Headers],))=""," ",INDEX('Raw Data'!$A7:$EA7,MATCH(CV$2,RawData[#Headers],)))</f>
        <v>14.29</v>
      </c>
      <c r="CW7" s="255">
        <f t="shared" si="50"/>
        <v>1</v>
      </c>
      <c r="CX7" s="255">
        <f>IF(INDEX('Raw Data'!$A7:$EA7,MATCH(CX$2,RawData[#Headers],))=""," ",INDEX('Raw Data'!$A7:$EA7,MATCH(CX$2,RawData[#Headers],)))</f>
        <v>-20</v>
      </c>
      <c r="CY7" s="255">
        <f t="shared" si="51"/>
        <v>3</v>
      </c>
      <c r="CZ7" s="255">
        <f>IF(INDEX('Raw Data'!$A7:$EA7,MATCH(CZ$2,RawData[#Headers],))=""," ",INDEX('Raw Data'!$A7:$EA7,MATCH(CZ$2,RawData[#Headers],)))</f>
        <v>12</v>
      </c>
      <c r="DA7" s="255">
        <f t="shared" si="52"/>
        <v>8</v>
      </c>
      <c r="DB7" s="255">
        <f>IF(INDEX('Raw Data'!$A7:$EA7,MATCH(DB$2,RawData[#Headers],))=""," ",INDEX('Raw Data'!$A7:$EA7,MATCH(DB$2,RawData[#Headers],)))</f>
        <v>28.57</v>
      </c>
      <c r="DC7" s="255">
        <f t="shared" si="53"/>
        <v>7</v>
      </c>
      <c r="DD7" s="255">
        <f>IF(INDEX('Raw Data'!$A7:$EA7,MATCH(DD$2,RawData[#Headers],))=""," ",INDEX('Raw Data'!$A7:$EA7,MATCH(DD$2,RawData[#Headers],)))</f>
        <v>957</v>
      </c>
      <c r="DE7" s="255">
        <f t="shared" si="54"/>
        <v>5</v>
      </c>
      <c r="DF7" s="255">
        <f>IF(INDEX('Raw Data'!$A7:$EA7,MATCH(DF$2,RawData[#Headers],))=""," ",INDEX('Raw Data'!$A7:$EA7,MATCH(DF$2,RawData[#Headers],)))</f>
        <v>2</v>
      </c>
      <c r="DG7" s="255">
        <f t="shared" si="55"/>
        <v>8</v>
      </c>
      <c r="DH7" s="255">
        <f>IF(INDEX('Raw Data'!$A7:$EA7,MATCH(DH$2,RawData[#Headers],))=""," ",INDEX('Raw Data'!$A7:$EA7,MATCH(DH$2,RawData[#Headers],)))</f>
        <v>4.6500000000000004</v>
      </c>
      <c r="DI7" s="255">
        <f t="shared" si="56"/>
        <v>7</v>
      </c>
      <c r="DJ7" s="255">
        <f>IF(INDEX('Raw Data'!$A7:$EA7,MATCH(DJ$2,RawData[#Headers],))=""," ",INDEX('Raw Data'!$A7:$EA7,MATCH(DJ$2,RawData[#Headers],)))</f>
        <v>-42</v>
      </c>
      <c r="DK7" s="255">
        <f t="shared" si="57"/>
        <v>4</v>
      </c>
      <c r="DL7" s="255">
        <f>IF(INDEX('Raw Data'!$A7:$EA7,MATCH(DL$2,RawData[#Headers],))=""," ",INDEX('Raw Data'!$A7:$EA7,MATCH(DL$2,RawData[#Headers],)))</f>
        <v>14</v>
      </c>
      <c r="DM7" s="255">
        <f t="shared" si="58"/>
        <v>8</v>
      </c>
      <c r="DN7" s="255">
        <f>IF(INDEX('Raw Data'!$A7:$EA7,MATCH(DN$2,RawData[#Headers],))=""," ",INDEX('Raw Data'!$A7:$EA7,MATCH(DN$2,RawData[#Headers],)))</f>
        <v>32.56</v>
      </c>
      <c r="DO7" s="255">
        <f t="shared" si="59"/>
        <v>4</v>
      </c>
      <c r="DP7" s="255">
        <f>IF(INDEX('Raw Data'!$A7:$EA7,MATCH(DP$2,RawData[#Headers],))=""," ",INDEX('Raw Data'!$A7:$EA7,MATCH(DP$2,RawData[#Headers],)))</f>
        <v>781</v>
      </c>
      <c r="DQ7" s="255">
        <f t="shared" si="60"/>
        <v>6</v>
      </c>
      <c r="DR7" s="255">
        <f>IF(INDEX('Raw Data'!$A7:$EA7,MATCH(DR$2,RawData[#Headers],))=""," ",INDEX('Raw Data'!$A7:$EA7,MATCH(DR$2,RawData[#Headers],)))</f>
        <v>36</v>
      </c>
      <c r="DS7" s="255">
        <f t="shared" si="61"/>
        <v>7</v>
      </c>
      <c r="DT7" s="255">
        <f>IF(INDEX('Raw Data'!$A7:$EA7,MATCH(DT$2,RawData[#Headers],))=""," ",INDEX('Raw Data'!$A7:$EA7,MATCH(DT$2,RawData[#Headers],)))</f>
        <v>1</v>
      </c>
      <c r="DU7" s="255">
        <f t="shared" si="62"/>
        <v>7</v>
      </c>
      <c r="DV7" s="255">
        <f>IF(INDEX('Raw Data'!$A7:$EA7,MATCH(DV$2,RawData[#Headers],))=""," ",INDEX('Raw Data'!$A7:$EA7,MATCH(DV$2,RawData[#Headers],)))</f>
        <v>2.78</v>
      </c>
      <c r="DW7" s="255">
        <f t="shared" si="63"/>
        <v>8</v>
      </c>
      <c r="DX7" s="255">
        <f>IF(INDEX('Raw Data'!$A7:$EA7,MATCH(DX$2,RawData[#Headers],))=""," ",INDEX('Raw Data'!$A7:$EA7,MATCH(DX$2,RawData[#Headers],)))</f>
        <v>-53</v>
      </c>
      <c r="DY7" s="255">
        <f t="shared" si="64"/>
        <v>7</v>
      </c>
      <c r="DZ7" s="255">
        <f>IF(INDEX('Raw Data'!$A7:$EA7,MATCH(DZ$2,RawData[#Headers],))=""," ",INDEX('Raw Data'!$A7:$EA7,MATCH(DZ$2,RawData[#Headers],)))</f>
        <v>10</v>
      </c>
      <c r="EA7" s="255">
        <f t="shared" si="65"/>
        <v>6</v>
      </c>
      <c r="EB7" s="255">
        <f>IF(INDEX('Raw Data'!$A7:$EA7,MATCH(EB$2,RawData[#Headers],))=""," ",INDEX('Raw Data'!$A7:$EA7,MATCH(EB$2,RawData[#Headers],)))</f>
        <v>27.78</v>
      </c>
      <c r="EC7" s="255">
        <f t="shared" si="66"/>
        <v>4</v>
      </c>
      <c r="ED7" s="255">
        <f>IF(INDEX('Raw Data'!$A7:$EA7,MATCH(ED$2,RawData[#Headers],))=""," ",INDEX('Raw Data'!$A7:$EA7,MATCH(ED$2,RawData[#Headers],)))</f>
        <v>763</v>
      </c>
      <c r="EE7" s="255">
        <f t="shared" si="67"/>
        <v>7</v>
      </c>
      <c r="EF7" s="255">
        <f>IF(INDEX('Raw Data'!$A7:$EA7,MATCH(EF$2,RawData[#Headers],))=""," ",INDEX('Raw Data'!$A7:$EA7,MATCH(EF$2,RawData[#Headers],)))</f>
        <v>35</v>
      </c>
      <c r="EG7" s="255">
        <f t="shared" si="68"/>
        <v>7</v>
      </c>
      <c r="EH7" s="255">
        <f>IF(INDEX('Raw Data'!$A7:$EA7,MATCH(EH$2,RawData[#Headers],))=""," ",INDEX('Raw Data'!$A7:$EA7,MATCH(EH$2,RawData[#Headers],)))</f>
        <v>1</v>
      </c>
      <c r="EI7" s="255">
        <f t="shared" si="69"/>
        <v>7</v>
      </c>
      <c r="EJ7" s="255">
        <f>IF(INDEX('Raw Data'!$A7:$EA7,MATCH(EJ$2,RawData[#Headers],))=""," ",INDEX('Raw Data'!$A7:$EA7,MATCH(EJ$2,RawData[#Headers],)))</f>
        <v>2.86</v>
      </c>
      <c r="EK7" s="255">
        <f t="shared" si="70"/>
        <v>8</v>
      </c>
      <c r="EL7" s="255">
        <f>IF(INDEX('Raw Data'!$A7:$EA7,MATCH(EL$2,RawData[#Headers],))=""," ",INDEX('Raw Data'!$A7:$EA7,MATCH(EL$2,RawData[#Headers],)))</f>
        <v>-51</v>
      </c>
      <c r="EM7" s="255">
        <f t="shared" si="71"/>
        <v>6</v>
      </c>
      <c r="EN7" s="255">
        <f>IF(INDEX('Raw Data'!$A7:$EA7,MATCH(EN$2,RawData[#Headers],))=""," ",INDEX('Raw Data'!$A7:$EA7,MATCH(EN$2,RawData[#Headers],)))</f>
        <v>9</v>
      </c>
      <c r="EO7" s="255">
        <f t="shared" si="72"/>
        <v>6</v>
      </c>
      <c r="EP7" s="255">
        <f>IF(INDEX('Raw Data'!$A7:$EA7,MATCH(EP$2,RawData[#Headers],))=""," ",INDEX('Raw Data'!$A7:$EA7,MATCH(EP$2,RawData[#Headers],)))</f>
        <v>25.71</v>
      </c>
      <c r="EQ7" s="255">
        <f t="shared" si="73"/>
        <v>6</v>
      </c>
      <c r="ER7" s="255">
        <f>IF(INDEX('Raw Data'!$A7:$EA7,MATCH(ER$2,RawData[#Headers],))=""," ",INDEX('Raw Data'!$A7:$EA7,MATCH(ER$2,RawData[#Headers],)))</f>
        <v>3</v>
      </c>
      <c r="ES7" s="255">
        <f t="shared" si="2"/>
        <v>3</v>
      </c>
      <c r="ET7" s="255">
        <f>IF(INDEX('Raw Data'!$A7:$EA7,MATCH(ET$2,RawData[#Headers],))=""," ",INDEX('Raw Data'!$A7:$EA7,MATCH(ET$2,RawData[#Headers],)))</f>
        <v>2.85</v>
      </c>
      <c r="EU7" s="255">
        <f t="shared" si="3"/>
        <v>4</v>
      </c>
      <c r="EV7" s="255">
        <f>IF(INDEX('Raw Data'!$A7:$EA7,MATCH(EV$2,RawData[#Headers],))=""," ",INDEX('Raw Data'!$A7:$EA7,MATCH(EV$2,RawData[#Headers],)))</f>
        <v>130</v>
      </c>
      <c r="EW7" s="255">
        <f t="shared" si="4"/>
        <v>2</v>
      </c>
      <c r="EX7" s="255">
        <f>IF(INDEX('Raw Data'!$A7:$EA7,MATCH(EX$2,RawData[#Headers],))=""," ",INDEX('Raw Data'!$A7:$EA7,MATCH(EX$2,RawData[#Headers],)))</f>
        <v>700</v>
      </c>
      <c r="EY7" s="255">
        <f t="shared" si="74"/>
        <v>3</v>
      </c>
      <c r="EZ7" s="276">
        <f>IF(INDEX('Raw Data'!$A7:$EA7,MATCH(EZ$2,RawData[#Headers],))=""," ",INDEX('Raw Data'!$A7:$EA7,MATCH(EZ$2,RawData[#Headers],)))</f>
        <v>2050.5802777777776</v>
      </c>
      <c r="FA7" s="255">
        <f t="shared" si="75"/>
        <v>7</v>
      </c>
      <c r="FB7" s="255">
        <f>IF(INDEX('Raw Data'!$A7:$EA7,MATCH(FB$2,RawData[#Headers],))=""," ",INDEX('Raw Data'!$A7:$EA7,MATCH(FB$2,RawData[#Headers],)))</f>
        <v>1</v>
      </c>
    </row>
    <row r="8" spans="1:158" x14ac:dyDescent="0.3">
      <c r="A8" s="255">
        <f>RawData[[#This Row],[Num]]</f>
        <v>7</v>
      </c>
      <c r="B8" s="255">
        <f>IF(INDEX('Raw Data'!$A8:$EA8,MATCH(B$2,RawData[#Headers],))=""," ",INDEX('Raw Data'!$A8:$EA8,MATCH(B$2,RawData[#Headers],)))</f>
        <v>10.96</v>
      </c>
      <c r="C8" s="326">
        <f>IFERROR(STANDARDIZE(machina[[#This Row],[Career Strike Rate]],B$30,B$31)^2," ")</f>
        <v>1.8135111111111106</v>
      </c>
      <c r="D8" s="255">
        <f>IF(INDEX('Raw Data'!$A8:$EA8,MATCH(D$2,RawData[#Headers],))=""," ",INDEX('Raw Data'!$A8:$EA8,MATCH(D$2,RawData[#Headers],)))</f>
        <v>-32</v>
      </c>
      <c r="E8" s="326">
        <f>IFERROR(STANDARDIZE(machina[[#This Row],[Career ROI]],D$30,D$31)^2," ")</f>
        <v>0.33518005540166207</v>
      </c>
      <c r="F8" s="255">
        <f>IF(INDEX('Raw Data'!$A8:$EA8,MATCH(F$2,RawData[#Headers],))=""," ",INDEX('Raw Data'!$A8:$EA8,MATCH(F$2,RawData[#Headers],)))</f>
        <v>24</v>
      </c>
      <c r="G8" s="255">
        <f t="shared" si="5"/>
        <v>3</v>
      </c>
      <c r="H8" s="255">
        <f>IF(INDEX('Raw Data'!$A8:$EA8,MATCH(H$2,RawData[#Headers],))=""," ",INDEX('Raw Data'!$A8:$EA8,MATCH(H$2,RawData[#Headers],)))</f>
        <v>32.880000000000003</v>
      </c>
      <c r="I8" s="255">
        <f t="shared" si="6"/>
        <v>7</v>
      </c>
      <c r="J8" s="255">
        <f>IF(INDEX('Raw Data'!$A8:$EA8,MATCH(J$2,RawData[#Headers],))=""," ",INDEX('Raw Data'!$A8:$EA8,MATCH(J$2,RawData[#Headers],)))</f>
        <v>1511</v>
      </c>
      <c r="K8" s="255">
        <f t="shared" si="7"/>
        <v>7</v>
      </c>
      <c r="L8" s="255">
        <f>IF(INDEX('Raw Data'!$A8:$EA8,MATCH(L$2,RawData[#Headers],))=""," ",INDEX('Raw Data'!$A8:$EA8,MATCH(L$2,RawData[#Headers],)))</f>
        <v>23.5</v>
      </c>
      <c r="M8" s="255">
        <f t="shared" si="0"/>
        <v>8</v>
      </c>
      <c r="N8" s="255">
        <f>IF(INDEX('Raw Data'!$A8:$EA8,MATCH(N$2,RawData[#Headers],))=""," ",INDEX('Raw Data'!$A8:$EA8,MATCH(N$2,RawData[#Headers],)))</f>
        <v>20</v>
      </c>
      <c r="O8" s="255">
        <f t="shared" si="0"/>
        <v>7</v>
      </c>
      <c r="P8" s="255">
        <f>IF(INDEX('Raw Data'!$A8:$EA8,MATCH(P$2,RawData[#Headers],))=""," ",INDEX('Raw Data'!$A8:$EA8,MATCH(P$2,RawData[#Headers],)))</f>
        <v>55.5</v>
      </c>
      <c r="Q8" s="255">
        <f t="shared" ref="Q8" si="79">IF(ISERROR(IF(P8=""," ",RANK(P8,P$3:P$28,1)))," ",IF(P8=""," ",RANK(P8,P$3:P$28,1)))</f>
        <v>3</v>
      </c>
      <c r="R8" s="255">
        <f>IF(INDEX('Raw Data'!$A8:$EA8,MATCH(R$2,RawData[#Headers],))=""," ",INDEX('Raw Data'!$A8:$EA8,MATCH(R$2,RawData[#Headers],)))</f>
        <v>6</v>
      </c>
      <c r="S8" s="255">
        <f t="shared" si="9"/>
        <v>3</v>
      </c>
      <c r="T8" s="255">
        <f>IF(INDEX('Raw Data'!$A8:$EA8,MATCH(T$2,RawData[#Headers],))=""," ",INDEX('Raw Data'!$A8:$EA8,MATCH(T$2,RawData[#Headers],)))</f>
        <v>0</v>
      </c>
      <c r="U8" s="255">
        <f t="shared" si="10"/>
        <v>5</v>
      </c>
      <c r="V8" s="255">
        <f>IF(INDEX('Raw Data'!$A8:$EA8,MATCH(V$2,RawData[#Headers],))=""," ",INDEX('Raw Data'!$A8:$EA8,MATCH(V$2,RawData[#Headers],)))</f>
        <v>0</v>
      </c>
      <c r="W8" s="255">
        <f t="shared" si="11"/>
        <v>5</v>
      </c>
      <c r="X8" s="255">
        <f>IF(INDEX('Raw Data'!$A8:$EA8,MATCH(X$2,RawData[#Headers],))=""," ",INDEX('Raw Data'!$A8:$EA8,MATCH(X$2,RawData[#Headers],)))</f>
        <v>-100</v>
      </c>
      <c r="Y8" s="255">
        <f t="shared" si="12"/>
        <v>5</v>
      </c>
      <c r="Z8" s="255">
        <f>IF(INDEX('Raw Data'!$A8:$EA8,MATCH(Z$2,RawData[#Headers],))=""," ",INDEX('Raw Data'!$A8:$EA8,MATCH(Z$2,RawData[#Headers],)))</f>
        <v>3</v>
      </c>
      <c r="AA8" s="255">
        <f t="shared" si="13"/>
        <v>4</v>
      </c>
      <c r="AB8" s="255">
        <f>IF(INDEX('Raw Data'!$A8:$EA8,MATCH(AB$2,RawData[#Headers],))=""," ",INDEX('Raw Data'!$A8:$EA8,MATCH(AB$2,RawData[#Headers],)))</f>
        <v>50</v>
      </c>
      <c r="AC8" s="255">
        <f t="shared" si="14"/>
        <v>4</v>
      </c>
      <c r="AD8" s="255">
        <f>IF(INDEX('Raw Data'!$A8:$EA8,MATCH(AD$2,RawData[#Headers],))=""," ",INDEX('Raw Data'!$A8:$EA8,MATCH(AD$2,RawData[#Headers],)))</f>
        <v>5</v>
      </c>
      <c r="AE8" s="255">
        <f t="shared" si="15"/>
        <v>4</v>
      </c>
      <c r="AF8" s="255">
        <f>IF(INDEX('Raw Data'!$A8:$EA8,MATCH(AF$2,RawData[#Headers],))=""," ",INDEX('Raw Data'!$A8:$EA8,MATCH(AF$2,RawData[#Headers],)))</f>
        <v>0</v>
      </c>
      <c r="AG8" s="255">
        <f t="shared" si="16"/>
        <v>3</v>
      </c>
      <c r="AH8" s="255">
        <f>IF(INDEX('Raw Data'!$A8:$EA8,MATCH(AH$2,RawData[#Headers],))=""," ",INDEX('Raw Data'!$A8:$EA8,MATCH(AH$2,RawData[#Headers],)))</f>
        <v>0</v>
      </c>
      <c r="AI8" s="255">
        <f t="shared" si="17"/>
        <v>3</v>
      </c>
      <c r="AJ8" s="255">
        <f>IF(INDEX('Raw Data'!$A8:$EA8,MATCH(AJ$2,RawData[#Headers],))=""," ",INDEX('Raw Data'!$A8:$EA8,MATCH(AJ$2,RawData[#Headers],)))</f>
        <v>-100</v>
      </c>
      <c r="AK8" s="255">
        <f t="shared" si="18"/>
        <v>4</v>
      </c>
      <c r="AL8" s="255">
        <f>IF(INDEX('Raw Data'!$A8:$EA8,MATCH(AL$2,RawData[#Headers],))=""," ",INDEX('Raw Data'!$A8:$EA8,MATCH(AL$2,RawData[#Headers],)))</f>
        <v>2</v>
      </c>
      <c r="AM8" s="255">
        <f t="shared" si="19"/>
        <v>3</v>
      </c>
      <c r="AN8" s="255">
        <f>IF(INDEX('Raw Data'!$A8:$EA8,MATCH(AN$2,RawData[#Headers],))=""," ",INDEX('Raw Data'!$A8:$EA8,MATCH(AN$2,RawData[#Headers],)))</f>
        <v>40</v>
      </c>
      <c r="AO8" s="255">
        <f t="shared" si="20"/>
        <v>4</v>
      </c>
      <c r="AP8" s="255">
        <f>IF(INDEX('Raw Data'!$A8:$EA8,MATCH(AP$2,RawData[#Headers],))=""," ",INDEX('Raw Data'!$A8:$EA8,MATCH(AP$2,RawData[#Headers],)))</f>
        <v>2</v>
      </c>
      <c r="AQ8" s="255">
        <f t="shared" si="21"/>
        <v>2</v>
      </c>
      <c r="AR8" s="255">
        <f>IF(INDEX('Raw Data'!$A8:$EA8,MATCH(AR$2,RawData[#Headers],))=""," ",INDEX('Raw Data'!$A8:$EA8,MATCH(AR$2,RawData[#Headers],)))</f>
        <v>0</v>
      </c>
      <c r="AS8" s="255">
        <f t="shared" si="22"/>
        <v>2</v>
      </c>
      <c r="AT8" s="255">
        <f>IF(INDEX('Raw Data'!$A8:$EA8,MATCH(AT$2,RawData[#Headers],))=""," ",INDEX('Raw Data'!$A8:$EA8,MATCH(AT$2,RawData[#Headers],)))</f>
        <v>0</v>
      </c>
      <c r="AU8" s="255">
        <f t="shared" si="23"/>
        <v>2</v>
      </c>
      <c r="AV8" s="255">
        <f>IF(INDEX('Raw Data'!$A8:$EA8,MATCH(AV$2,RawData[#Headers],))=""," ",INDEX('Raw Data'!$A8:$EA8,MATCH(AV$2,RawData[#Headers],)))</f>
        <v>-100</v>
      </c>
      <c r="AW8" s="255">
        <f t="shared" si="24"/>
        <v>4</v>
      </c>
      <c r="AX8" s="255">
        <f>IF(INDEX('Raw Data'!$A8:$EA8,MATCH(AX$2,RawData[#Headers],))=""," ",INDEX('Raw Data'!$A8:$EA8,MATCH(AX$2,RawData[#Headers],)))</f>
        <v>1</v>
      </c>
      <c r="AY8" s="255">
        <f t="shared" si="25"/>
        <v>1</v>
      </c>
      <c r="AZ8" s="255">
        <f>IF(INDEX('Raw Data'!$A8:$EA8,MATCH(AZ$2,RawData[#Headers],))=""," ",INDEX('Raw Data'!$A8:$EA8,MATCH(AZ$2,RawData[#Headers],)))</f>
        <v>50</v>
      </c>
      <c r="BA8" s="255">
        <f t="shared" si="26"/>
        <v>2</v>
      </c>
      <c r="BB8" s="255">
        <f>IF(INDEX('Raw Data'!$A8:$EA8,MATCH(BB$2,RawData[#Headers],))=""," ",INDEX('Raw Data'!$A8:$EA8,MATCH(BB$2,RawData[#Headers],)))</f>
        <v>10</v>
      </c>
      <c r="BC8" s="255">
        <f t="shared" si="27"/>
        <v>4</v>
      </c>
      <c r="BD8" s="255">
        <f>IF(INDEX('Raw Data'!$A8:$EA8,MATCH(BD$2,RawData[#Headers],))=""," ",INDEX('Raw Data'!$A8:$EA8,MATCH(BD$2,RawData[#Headers],)))</f>
        <v>1</v>
      </c>
      <c r="BE8" s="255">
        <f t="shared" si="28"/>
        <v>3</v>
      </c>
      <c r="BF8" s="255">
        <f>IF(INDEX('Raw Data'!$A8:$EA8,MATCH(BF$2,RawData[#Headers],))=""," ",INDEX('Raw Data'!$A8:$EA8,MATCH(BF$2,RawData[#Headers],)))</f>
        <v>10</v>
      </c>
      <c r="BG8" s="255">
        <f t="shared" si="29"/>
        <v>3</v>
      </c>
      <c r="BH8" s="255">
        <f>IF(INDEX('Raw Data'!$A8:$EA8,MATCH(BH$2,RawData[#Headers],))=""," ",INDEX('Raw Data'!$A8:$EA8,MATCH(BH$2,RawData[#Headers],)))</f>
        <v>-74</v>
      </c>
      <c r="BI8" s="255">
        <f t="shared" si="30"/>
        <v>5</v>
      </c>
      <c r="BJ8" s="255">
        <f>IF(INDEX('Raw Data'!$A8:$EA8,MATCH(BJ$2,RawData[#Headers],))=""," ",INDEX('Raw Data'!$A8:$EA8,MATCH(BJ$2,RawData[#Headers],)))</f>
        <v>2</v>
      </c>
      <c r="BK8" s="255">
        <f t="shared" si="31"/>
        <v>7</v>
      </c>
      <c r="BL8" s="255">
        <f>IF(INDEX('Raw Data'!$A8:$EA8,MATCH(BL$2,RawData[#Headers],))=""," ",INDEX('Raw Data'!$A8:$EA8,MATCH(BL$2,RawData[#Headers],)))</f>
        <v>20</v>
      </c>
      <c r="BM8" s="255">
        <f t="shared" si="32"/>
        <v>8</v>
      </c>
      <c r="BN8" s="255">
        <f>IF(INDEX('Raw Data'!$A8:$EA8,MATCH(BN$2,RawData[#Headers],))=""," ",INDEX('Raw Data'!$A8:$EA8,MATCH(BN$2,RawData[#Headers],)))</f>
        <v>1258</v>
      </c>
      <c r="BO8" s="255">
        <f t="shared" si="33"/>
        <v>7</v>
      </c>
      <c r="BP8" s="255">
        <f>IF(INDEX('Raw Data'!$A8:$EA8,MATCH(BP$2,RawData[#Headers],))=""," ",INDEX('Raw Data'!$A8:$EA8,MATCH(BP$2,RawData[#Headers],)))</f>
        <v>100</v>
      </c>
      <c r="BQ8" s="255">
        <f t="shared" si="34"/>
        <v>1</v>
      </c>
      <c r="BR8" s="255">
        <f>IF(INDEX('Raw Data'!$A8:$EA8,MATCH(BR$2,RawData[#Headers],))=""," ",INDEX('Raw Data'!$A8:$EA8,MATCH(BR$2,RawData[#Headers],)))</f>
        <v>11</v>
      </c>
      <c r="BS8" s="255">
        <f t="shared" si="35"/>
        <v>2</v>
      </c>
      <c r="BT8" s="255">
        <f>IF(INDEX('Raw Data'!$A8:$EA8,MATCH(BT$2,RawData[#Headers],))=""," ",INDEX('Raw Data'!$A8:$EA8,MATCH(BT$2,RawData[#Headers],)))</f>
        <v>11</v>
      </c>
      <c r="BU8" s="255">
        <f t="shared" si="36"/>
        <v>2</v>
      </c>
      <c r="BV8" s="255">
        <f>IF(INDEX('Raw Data'!$A8:$EA8,MATCH(BV$2,RawData[#Headers],))=""," ",INDEX('Raw Data'!$A8:$EA8,MATCH(BV$2,RawData[#Headers],)))</f>
        <v>-62</v>
      </c>
      <c r="BW8" s="255">
        <f t="shared" si="37"/>
        <v>8</v>
      </c>
      <c r="BX8" s="255">
        <f>IF(INDEX('Raw Data'!$A8:$EA8,MATCH(BX$2,RawData[#Headers],))=""," ",INDEX('Raw Data'!$A8:$EA8,MATCH(BX$2,RawData[#Headers],)))</f>
        <v>51</v>
      </c>
      <c r="BY8" s="255">
        <f t="shared" si="38"/>
        <v>1</v>
      </c>
      <c r="BZ8" s="255">
        <f>IF(INDEX('Raw Data'!$A8:$EA8,MATCH(BZ$2,RawData[#Headers],))=""," ",INDEX('Raw Data'!$A8:$EA8,MATCH(BZ$2,RawData[#Headers],)))</f>
        <v>51</v>
      </c>
      <c r="CA8" s="255">
        <f t="shared" si="39"/>
        <v>1</v>
      </c>
      <c r="CB8" s="255">
        <f>IF(INDEX('Raw Data'!$A8:$EA8,MATCH(CB$2,RawData[#Headers],))=""," ",INDEX('Raw Data'!$A8:$EA8,MATCH(CB$2,RawData[#Headers],)))</f>
        <v>1357</v>
      </c>
      <c r="CC8" s="255">
        <f t="shared" si="40"/>
        <v>7</v>
      </c>
      <c r="CD8" s="255">
        <f>IF(INDEX('Raw Data'!$A8:$EA8,MATCH(CD$2,RawData[#Headers],))=""," ",INDEX('Raw Data'!$A8:$EA8,MATCH(CD$2,RawData[#Headers],)))</f>
        <v>113</v>
      </c>
      <c r="CE8" s="255">
        <f t="shared" si="41"/>
        <v>7</v>
      </c>
      <c r="CF8" s="255">
        <f>IF(INDEX('Raw Data'!$A8:$EA8,MATCH(CF$2,RawData[#Headers],))=""," ",INDEX('Raw Data'!$A8:$EA8,MATCH(CF$2,RawData[#Headers],)))</f>
        <v>15</v>
      </c>
      <c r="CG8" s="255">
        <f t="shared" si="42"/>
        <v>6</v>
      </c>
      <c r="CH8" s="255">
        <f>IF(INDEX('Raw Data'!$A8:$EA8,MATCH(CH$2,RawData[#Headers],))=""," ",INDEX('Raw Data'!$A8:$EA8,MATCH(CH$2,RawData[#Headers],)))</f>
        <v>13.27</v>
      </c>
      <c r="CI8" s="255">
        <f t="shared" si="43"/>
        <v>2</v>
      </c>
      <c r="CJ8" s="255">
        <f>IF(INDEX('Raw Data'!$A8:$EA8,MATCH(CJ$2,RawData[#Headers],))=""," ",INDEX('Raw Data'!$A8:$EA8,MATCH(CJ$2,RawData[#Headers],)))</f>
        <v>-46</v>
      </c>
      <c r="CK8" s="255">
        <f t="shared" si="44"/>
        <v>7</v>
      </c>
      <c r="CL8" s="255">
        <f>IF(INDEX('Raw Data'!$A8:$EA8,MATCH(CL$2,RawData[#Headers],))=""," ",INDEX('Raw Data'!$A8:$EA8,MATCH(CL$2,RawData[#Headers],)))</f>
        <v>59</v>
      </c>
      <c r="CM8" s="255">
        <f t="shared" si="45"/>
        <v>6</v>
      </c>
      <c r="CN8" s="255">
        <f>IF(INDEX('Raw Data'!$A8:$EA8,MATCH(CN$2,RawData[#Headers],))=""," ",INDEX('Raw Data'!$A8:$EA8,MATCH(CN$2,RawData[#Headers],)))</f>
        <v>52.21</v>
      </c>
      <c r="CO8" s="255">
        <f t="shared" si="46"/>
        <v>1</v>
      </c>
      <c r="CP8" s="255">
        <f>IF(INDEX('Raw Data'!$A8:$EA8,MATCH(CP$2,RawData[#Headers],))=""," ",INDEX('Raw Data'!$A8:$EA8,MATCH(CP$2,RawData[#Headers],)))</f>
        <v>1193</v>
      </c>
      <c r="CQ8" s="255">
        <f t="shared" si="47"/>
        <v>8</v>
      </c>
      <c r="CR8" s="255">
        <f>IF(INDEX('Raw Data'!$A8:$EA8,MATCH(CR$2,RawData[#Headers],))=""," ",INDEX('Raw Data'!$A8:$EA8,MATCH(CR$2,RawData[#Headers],)))</f>
        <v>96</v>
      </c>
      <c r="CS8" s="255">
        <f t="shared" si="48"/>
        <v>7</v>
      </c>
      <c r="CT8" s="255">
        <f>IF(INDEX('Raw Data'!$A8:$EA8,MATCH(CT$2,RawData[#Headers],))=""," ",INDEX('Raw Data'!$A8:$EA8,MATCH(CT$2,RawData[#Headers],)))</f>
        <v>9</v>
      </c>
      <c r="CU8" s="255">
        <f t="shared" si="49"/>
        <v>7</v>
      </c>
      <c r="CV8" s="255">
        <f>IF(INDEX('Raw Data'!$A8:$EA8,MATCH(CV$2,RawData[#Headers],))=""," ",INDEX('Raw Data'!$A8:$EA8,MATCH(CV$2,RawData[#Headers],)))</f>
        <v>9.3800000000000008</v>
      </c>
      <c r="CW8" s="255">
        <f t="shared" si="50"/>
        <v>6</v>
      </c>
      <c r="CX8" s="255">
        <f>IF(INDEX('Raw Data'!$A8:$EA8,MATCH(CX$2,RawData[#Headers],))=""," ",INDEX('Raw Data'!$A8:$EA8,MATCH(CX$2,RawData[#Headers],)))</f>
        <v>-68</v>
      </c>
      <c r="CY8" s="255">
        <f t="shared" si="51"/>
        <v>8</v>
      </c>
      <c r="CZ8" s="255">
        <f>IF(INDEX('Raw Data'!$A8:$EA8,MATCH(CZ$2,RawData[#Headers],))=""," ",INDEX('Raw Data'!$A8:$EA8,MATCH(CZ$2,RawData[#Headers],)))</f>
        <v>50</v>
      </c>
      <c r="DA8" s="255">
        <f t="shared" si="52"/>
        <v>6</v>
      </c>
      <c r="DB8" s="255">
        <f>IF(INDEX('Raw Data'!$A8:$EA8,MATCH(DB$2,RawData[#Headers],))=""," ",INDEX('Raw Data'!$A8:$EA8,MATCH(DB$2,RawData[#Headers],)))</f>
        <v>52.08</v>
      </c>
      <c r="DC8" s="255">
        <f t="shared" si="53"/>
        <v>1</v>
      </c>
      <c r="DD8" s="255">
        <f>IF(INDEX('Raw Data'!$A8:$EA8,MATCH(DD$2,RawData[#Headers],))=""," ",INDEX('Raw Data'!$A8:$EA8,MATCH(DD$2,RawData[#Headers],)))</f>
        <v>628</v>
      </c>
      <c r="DE8" s="255">
        <f t="shared" si="54"/>
        <v>7</v>
      </c>
      <c r="DF8" s="255">
        <f>IF(INDEX('Raw Data'!$A8:$EA8,MATCH(DF$2,RawData[#Headers],))=""," ",INDEX('Raw Data'!$A8:$EA8,MATCH(DF$2,RawData[#Headers],)))</f>
        <v>5</v>
      </c>
      <c r="DG8" s="255">
        <f t="shared" si="55"/>
        <v>6</v>
      </c>
      <c r="DH8" s="255">
        <f>IF(INDEX('Raw Data'!$A8:$EA8,MATCH(DH$2,RawData[#Headers],))=""," ",INDEX('Raw Data'!$A8:$EA8,MATCH(DH$2,RawData[#Headers],)))</f>
        <v>5</v>
      </c>
      <c r="DI8" s="255">
        <f t="shared" si="56"/>
        <v>6</v>
      </c>
      <c r="DJ8" s="255">
        <f>IF(INDEX('Raw Data'!$A8:$EA8,MATCH(DJ$2,RawData[#Headers],))=""," ",INDEX('Raw Data'!$A8:$EA8,MATCH(DJ$2,RawData[#Headers],)))</f>
        <v>-56</v>
      </c>
      <c r="DK8" s="255">
        <f t="shared" si="57"/>
        <v>6</v>
      </c>
      <c r="DL8" s="255">
        <f>IF(INDEX('Raw Data'!$A8:$EA8,MATCH(DL$2,RawData[#Headers],))=""," ",INDEX('Raw Data'!$A8:$EA8,MATCH(DL$2,RawData[#Headers],)))</f>
        <v>21</v>
      </c>
      <c r="DM8" s="255">
        <f t="shared" si="58"/>
        <v>6</v>
      </c>
      <c r="DN8" s="255">
        <f>IF(INDEX('Raw Data'!$A8:$EA8,MATCH(DN$2,RawData[#Headers],))=""," ",INDEX('Raw Data'!$A8:$EA8,MATCH(DN$2,RawData[#Headers],)))</f>
        <v>21</v>
      </c>
      <c r="DO8" s="255">
        <f t="shared" si="59"/>
        <v>7</v>
      </c>
      <c r="DP8" s="255">
        <f>IF(INDEX('Raw Data'!$A8:$EA8,MATCH(DP$2,RawData[#Headers],))=""," ",INDEX('Raw Data'!$A8:$EA8,MATCH(DP$2,RawData[#Headers],)))</f>
        <v>671</v>
      </c>
      <c r="DQ8" s="255">
        <f t="shared" si="60"/>
        <v>7</v>
      </c>
      <c r="DR8" s="255">
        <f>IF(INDEX('Raw Data'!$A8:$EA8,MATCH(DR$2,RawData[#Headers],))=""," ",INDEX('Raw Data'!$A8:$EA8,MATCH(DR$2,RawData[#Headers],)))</f>
        <v>47</v>
      </c>
      <c r="DS8" s="255">
        <f t="shared" si="61"/>
        <v>6</v>
      </c>
      <c r="DT8" s="255">
        <f>IF(INDEX('Raw Data'!$A8:$EA8,MATCH(DT$2,RawData[#Headers],))=""," ",INDEX('Raw Data'!$A8:$EA8,MATCH(DT$2,RawData[#Headers],)))</f>
        <v>4</v>
      </c>
      <c r="DU8" s="255">
        <f t="shared" si="62"/>
        <v>4</v>
      </c>
      <c r="DV8" s="255">
        <f>IF(INDEX('Raw Data'!$A8:$EA8,MATCH(DV$2,RawData[#Headers],))=""," ",INDEX('Raw Data'!$A8:$EA8,MATCH(DV$2,RawData[#Headers],)))</f>
        <v>8.51</v>
      </c>
      <c r="DW8" s="255">
        <f t="shared" si="63"/>
        <v>4</v>
      </c>
      <c r="DX8" s="255">
        <f>IF(INDEX('Raw Data'!$A8:$EA8,MATCH(DX$2,RawData[#Headers],))=""," ",INDEX('Raw Data'!$A8:$EA8,MATCH(DX$2,RawData[#Headers],)))</f>
        <v>-12</v>
      </c>
      <c r="DY8" s="255">
        <f t="shared" si="64"/>
        <v>2</v>
      </c>
      <c r="DZ8" s="255">
        <f>IF(INDEX('Raw Data'!$A8:$EA8,MATCH(DZ$2,RawData[#Headers],))=""," ",INDEX('Raw Data'!$A8:$EA8,MATCH(DZ$2,RawData[#Headers],)))</f>
        <v>9</v>
      </c>
      <c r="EA8" s="255">
        <f t="shared" si="65"/>
        <v>7</v>
      </c>
      <c r="EB8" s="255">
        <f>IF(INDEX('Raw Data'!$A8:$EA8,MATCH(EB$2,RawData[#Headers],))=""," ",INDEX('Raw Data'!$A8:$EA8,MATCH(EB$2,RawData[#Headers],)))</f>
        <v>19.149999999999999</v>
      </c>
      <c r="EC8" s="255">
        <f t="shared" si="66"/>
        <v>7</v>
      </c>
      <c r="ED8" s="255">
        <f>IF(INDEX('Raw Data'!$A8:$EA8,MATCH(ED$2,RawData[#Headers],))=""," ",INDEX('Raw Data'!$A8:$EA8,MATCH(ED$2,RawData[#Headers],)))</f>
        <v>790</v>
      </c>
      <c r="EE8" s="255">
        <f t="shared" si="67"/>
        <v>6</v>
      </c>
      <c r="EF8" s="255">
        <f>IF(INDEX('Raw Data'!$A8:$EA8,MATCH(EF$2,RawData[#Headers],))=""," ",INDEX('Raw Data'!$A8:$EA8,MATCH(EF$2,RawData[#Headers],)))</f>
        <v>39</v>
      </c>
      <c r="EG8" s="255">
        <f t="shared" si="68"/>
        <v>6</v>
      </c>
      <c r="EH8" s="255">
        <f>IF(INDEX('Raw Data'!$A8:$EA8,MATCH(EH$2,RawData[#Headers],))=""," ",INDEX('Raw Data'!$A8:$EA8,MATCH(EH$2,RawData[#Headers],)))</f>
        <v>4</v>
      </c>
      <c r="EI8" s="255">
        <f t="shared" si="69"/>
        <v>4</v>
      </c>
      <c r="EJ8" s="255">
        <f>IF(INDEX('Raw Data'!$A8:$EA8,MATCH(EJ$2,RawData[#Headers],))=""," ",INDEX('Raw Data'!$A8:$EA8,MATCH(EJ$2,RawData[#Headers],)))</f>
        <v>10.26</v>
      </c>
      <c r="EK8" s="255">
        <f t="shared" si="70"/>
        <v>4</v>
      </c>
      <c r="EL8" s="255">
        <f>IF(INDEX('Raw Data'!$A8:$EA8,MATCH(EL$2,RawData[#Headers],))=""," ",INDEX('Raw Data'!$A8:$EA8,MATCH(EL$2,RawData[#Headers],)))</f>
        <v>6</v>
      </c>
      <c r="EM8" s="255">
        <f t="shared" si="71"/>
        <v>2</v>
      </c>
      <c r="EN8" s="255">
        <f>IF(INDEX('Raw Data'!$A8:$EA8,MATCH(EN$2,RawData[#Headers],))=""," ",INDEX('Raw Data'!$A8:$EA8,MATCH(EN$2,RawData[#Headers],)))</f>
        <v>8</v>
      </c>
      <c r="EO8" s="255">
        <f t="shared" si="72"/>
        <v>7</v>
      </c>
      <c r="EP8" s="255">
        <f>IF(INDEX('Raw Data'!$A8:$EA8,MATCH(EP$2,RawData[#Headers],))=""," ",INDEX('Raw Data'!$A8:$EA8,MATCH(EP$2,RawData[#Headers],)))</f>
        <v>20.51</v>
      </c>
      <c r="EQ8" s="255">
        <f t="shared" si="73"/>
        <v>7</v>
      </c>
      <c r="ER8" s="255">
        <f>IF(INDEX('Raw Data'!$A8:$EA8,MATCH(ER$2,RawData[#Headers],))=""," ",INDEX('Raw Data'!$A8:$EA8,MATCH(ER$2,RawData[#Headers],)))</f>
        <v>8</v>
      </c>
      <c r="ES8" s="255">
        <f t="shared" si="2"/>
        <v>7</v>
      </c>
      <c r="ET8" s="255">
        <f>IF(INDEX('Raw Data'!$A8:$EA8,MATCH(ET$2,RawData[#Headers],))=""," ",INDEX('Raw Data'!$A8:$EA8,MATCH(ET$2,RawData[#Headers],)))</f>
        <v>2.75</v>
      </c>
      <c r="EU8" s="255">
        <f t="shared" si="3"/>
        <v>2</v>
      </c>
      <c r="EV8" s="255">
        <f>IF(INDEX('Raw Data'!$A8:$EA8,MATCH(EV$2,RawData[#Headers],))=""," ",INDEX('Raw Data'!$A8:$EA8,MATCH(EV$2,RawData[#Headers],)))</f>
        <v>180</v>
      </c>
      <c r="EW8" s="255">
        <f t="shared" si="4"/>
        <v>4</v>
      </c>
      <c r="EX8" s="255" t="str">
        <f>IF(INDEX('Raw Data'!$A8:$EA8,MATCH(EX$2,RawData[#Headers],))=""," ",INDEX('Raw Data'!$A8:$EA8,MATCH(EX$2,RawData[#Headers],)))</f>
        <v xml:space="preserve"> </v>
      </c>
      <c r="EY8" s="255" t="str">
        <f t="shared" si="74"/>
        <v xml:space="preserve"> </v>
      </c>
      <c r="EZ8" s="276">
        <f>IF(INDEX('Raw Data'!$A8:$EA8,MATCH(EZ$2,RawData[#Headers],))=""," ",INDEX('Raw Data'!$A8:$EA8,MATCH(EZ$2,RawData[#Headers],)))</f>
        <v>4042.8402777777783</v>
      </c>
      <c r="FA8" s="255">
        <f t="shared" si="75"/>
        <v>4</v>
      </c>
      <c r="FB8" s="255">
        <f>IF(INDEX('Raw Data'!$A8:$EA8,MATCH(FB$2,RawData[#Headers],))=""," ",INDEX('Raw Data'!$A8:$EA8,MATCH(FB$2,RawData[#Headers],)))</f>
        <v>7</v>
      </c>
    </row>
    <row r="9" spans="1:158" x14ac:dyDescent="0.3">
      <c r="A9" s="255">
        <f>RawData[[#This Row],[Num]]</f>
        <v>8</v>
      </c>
      <c r="B9" s="255">
        <f>IF(INDEX('Raw Data'!$A9:$EA9,MATCH(B$2,RawData[#Headers],))=""," ",INDEX('Raw Data'!$A9:$EA9,MATCH(B$2,RawData[#Headers],)))</f>
        <v>15.38</v>
      </c>
      <c r="C9" s="326">
        <f>IFERROR(STANDARDIZE(machina[[#This Row],[Career Strike Rate]],B$30,B$31)^2," ")</f>
        <v>1.604444444444451E-2</v>
      </c>
      <c r="D9" s="255">
        <f>IF(INDEX('Raw Data'!$A9:$EA9,MATCH(D$2,RawData[#Headers],))=""," ",INDEX('Raw Data'!$A9:$EA9,MATCH(D$2,RawData[#Headers],)))</f>
        <v>-26</v>
      </c>
      <c r="E9" s="326">
        <f>IFERROR(STANDARDIZE(machina[[#This Row],[Career ROI]],D$30,D$31)^2," ")</f>
        <v>6.9252077562326861E-2</v>
      </c>
      <c r="F9" s="255">
        <f>IF(INDEX('Raw Data'!$A9:$EA9,MATCH(F$2,RawData[#Headers],))=""," ",INDEX('Raw Data'!$A9:$EA9,MATCH(F$2,RawData[#Headers],)))</f>
        <v>18</v>
      </c>
      <c r="G9" s="255">
        <f t="shared" si="5"/>
        <v>6</v>
      </c>
      <c r="H9" s="255">
        <f>IF(INDEX('Raw Data'!$A9:$EA9,MATCH(H$2,RawData[#Headers],))=""," ",INDEX('Raw Data'!$A9:$EA9,MATCH(H$2,RawData[#Headers],)))</f>
        <v>46.15</v>
      </c>
      <c r="I9" s="255">
        <f t="shared" si="6"/>
        <v>2</v>
      </c>
      <c r="J9" s="255">
        <f>IF(INDEX('Raw Data'!$A9:$EA9,MATCH(J$2,RawData[#Headers],))=""," ",INDEX('Raw Data'!$A9:$EA9,MATCH(J$2,RawData[#Headers],)))</f>
        <v>1592</v>
      </c>
      <c r="K9" s="255">
        <f t="shared" si="7"/>
        <v>6</v>
      </c>
      <c r="L9" s="255">
        <f>IF(INDEX('Raw Data'!$A9:$EA9,MATCH(L$2,RawData[#Headers],))=""," ",INDEX('Raw Data'!$A9:$EA9,MATCH(L$2,RawData[#Headers],)))</f>
        <v>13</v>
      </c>
      <c r="M9" s="255">
        <f t="shared" si="0"/>
        <v>5</v>
      </c>
      <c r="N9" s="255">
        <f>IF(INDEX('Raw Data'!$A9:$EA9,MATCH(N$2,RawData[#Headers],))=""," ",INDEX('Raw Data'!$A9:$EA9,MATCH(N$2,RawData[#Headers],)))</f>
        <v>12</v>
      </c>
      <c r="O9" s="255">
        <f t="shared" si="0"/>
        <v>5</v>
      </c>
      <c r="P9" s="255">
        <f>IF(INDEX('Raw Data'!$A9:$EA9,MATCH(P$2,RawData[#Headers],))=""," ",INDEX('Raw Data'!$A9:$EA9,MATCH(P$2,RawData[#Headers],)))</f>
        <v>54.5</v>
      </c>
      <c r="Q9" s="255">
        <f t="shared" ref="Q9" si="80">IF(ISERROR(IF(P9=""," ",RANK(P9,P$3:P$28,1)))," ",IF(P9=""," ",RANK(P9,P$3:P$28,1)))</f>
        <v>2</v>
      </c>
      <c r="R9" s="255">
        <f>IF(INDEX('Raw Data'!$A9:$EA9,MATCH(R$2,RawData[#Headers],))=""," ",INDEX('Raw Data'!$A9:$EA9,MATCH(R$2,RawData[#Headers],)))</f>
        <v>1</v>
      </c>
      <c r="S9" s="255">
        <f t="shared" si="9"/>
        <v>8</v>
      </c>
      <c r="T9" s="255">
        <f>IF(INDEX('Raw Data'!$A9:$EA9,MATCH(T$2,RawData[#Headers],))=""," ",INDEX('Raw Data'!$A9:$EA9,MATCH(T$2,RawData[#Headers],)))</f>
        <v>0</v>
      </c>
      <c r="U9" s="255">
        <f t="shared" si="10"/>
        <v>5</v>
      </c>
      <c r="V9" s="255">
        <f>IF(INDEX('Raw Data'!$A9:$EA9,MATCH(V$2,RawData[#Headers],))=""," ",INDEX('Raw Data'!$A9:$EA9,MATCH(V$2,RawData[#Headers],)))</f>
        <v>0</v>
      </c>
      <c r="W9" s="255">
        <f t="shared" si="11"/>
        <v>5</v>
      </c>
      <c r="X9" s="255">
        <f>IF(INDEX('Raw Data'!$A9:$EA9,MATCH(X$2,RawData[#Headers],))=""," ",INDEX('Raw Data'!$A9:$EA9,MATCH(X$2,RawData[#Headers],)))</f>
        <v>-100</v>
      </c>
      <c r="Y9" s="255">
        <f t="shared" si="12"/>
        <v>5</v>
      </c>
      <c r="Z9" s="255">
        <f>IF(INDEX('Raw Data'!$A9:$EA9,MATCH(Z$2,RawData[#Headers],))=""," ",INDEX('Raw Data'!$A9:$EA9,MATCH(Z$2,RawData[#Headers],)))</f>
        <v>0</v>
      </c>
      <c r="AA9" s="255">
        <f t="shared" si="13"/>
        <v>7</v>
      </c>
      <c r="AB9" s="255">
        <f>IF(INDEX('Raw Data'!$A9:$EA9,MATCH(AB$2,RawData[#Headers],))=""," ",INDEX('Raw Data'!$A9:$EA9,MATCH(AB$2,RawData[#Headers],)))</f>
        <v>0</v>
      </c>
      <c r="AC9" s="255">
        <f t="shared" si="14"/>
        <v>7</v>
      </c>
      <c r="AD9" s="255">
        <f>IF(INDEX('Raw Data'!$A9:$EA9,MATCH(AD$2,RawData[#Headers],))=""," ",INDEX('Raw Data'!$A9:$EA9,MATCH(AD$2,RawData[#Headers],)))</f>
        <v>6</v>
      </c>
      <c r="AE9" s="255">
        <f t="shared" si="15"/>
        <v>2</v>
      </c>
      <c r="AF9" s="255">
        <f>IF(INDEX('Raw Data'!$A9:$EA9,MATCH(AF$2,RawData[#Headers],))=""," ",INDEX('Raw Data'!$A9:$EA9,MATCH(AF$2,RawData[#Headers],)))</f>
        <v>1</v>
      </c>
      <c r="AG9" s="255">
        <f t="shared" si="16"/>
        <v>1</v>
      </c>
      <c r="AH9" s="255">
        <f>IF(INDEX('Raw Data'!$A9:$EA9,MATCH(AH$2,RawData[#Headers],))=""," ",INDEX('Raw Data'!$A9:$EA9,MATCH(AH$2,RawData[#Headers],)))</f>
        <v>16.670000000000002</v>
      </c>
      <c r="AI9" s="255">
        <f t="shared" si="17"/>
        <v>1</v>
      </c>
      <c r="AJ9" s="255">
        <f>IF(INDEX('Raw Data'!$A9:$EA9,MATCH(AJ$2,RawData[#Headers],))=""," ",INDEX('Raw Data'!$A9:$EA9,MATCH(AJ$2,RawData[#Headers],)))</f>
        <v>0</v>
      </c>
      <c r="AK9" s="255">
        <f t="shared" si="18"/>
        <v>1</v>
      </c>
      <c r="AL9" s="255">
        <f>IF(INDEX('Raw Data'!$A9:$EA9,MATCH(AL$2,RawData[#Headers],))=""," ",INDEX('Raw Data'!$A9:$EA9,MATCH(AL$2,RawData[#Headers],)))</f>
        <v>1</v>
      </c>
      <c r="AM9" s="255">
        <f t="shared" si="19"/>
        <v>5</v>
      </c>
      <c r="AN9" s="255">
        <f>IF(INDEX('Raw Data'!$A9:$EA9,MATCH(AN$2,RawData[#Headers],))=""," ",INDEX('Raw Data'!$A9:$EA9,MATCH(AN$2,RawData[#Headers],)))</f>
        <v>16.670000000000002</v>
      </c>
      <c r="AO9" s="255">
        <f t="shared" si="20"/>
        <v>6</v>
      </c>
      <c r="AP9" s="255">
        <f>IF(INDEX('Raw Data'!$A9:$EA9,MATCH(AP$2,RawData[#Headers],))=""," ",INDEX('Raw Data'!$A9:$EA9,MATCH(AP$2,RawData[#Headers],)))</f>
        <v>1</v>
      </c>
      <c r="AQ9" s="255">
        <f t="shared" si="21"/>
        <v>4</v>
      </c>
      <c r="AR9" s="255">
        <f>IF(INDEX('Raw Data'!$A9:$EA9,MATCH(AR$2,RawData[#Headers],))=""," ",INDEX('Raw Data'!$A9:$EA9,MATCH(AR$2,RawData[#Headers],)))</f>
        <v>0</v>
      </c>
      <c r="AS9" s="255">
        <f t="shared" si="22"/>
        <v>2</v>
      </c>
      <c r="AT9" s="255">
        <f>IF(INDEX('Raw Data'!$A9:$EA9,MATCH(AT$2,RawData[#Headers],))=""," ",INDEX('Raw Data'!$A9:$EA9,MATCH(AT$2,RawData[#Headers],)))</f>
        <v>0</v>
      </c>
      <c r="AU9" s="255">
        <f t="shared" si="23"/>
        <v>2</v>
      </c>
      <c r="AV9" s="255">
        <f>IF(INDEX('Raw Data'!$A9:$EA9,MATCH(AV$2,RawData[#Headers],))=""," ",INDEX('Raw Data'!$A9:$EA9,MATCH(AV$2,RawData[#Headers],)))</f>
        <v>-100</v>
      </c>
      <c r="AW9" s="255">
        <f t="shared" si="24"/>
        <v>4</v>
      </c>
      <c r="AX9" s="255">
        <f>IF(INDEX('Raw Data'!$A9:$EA9,MATCH(AX$2,RawData[#Headers],))=""," ",INDEX('Raw Data'!$A9:$EA9,MATCH(AX$2,RawData[#Headers],)))</f>
        <v>0</v>
      </c>
      <c r="AY9" s="255">
        <f t="shared" si="25"/>
        <v>5</v>
      </c>
      <c r="AZ9" s="255">
        <f>IF(INDEX('Raw Data'!$A9:$EA9,MATCH(AZ$2,RawData[#Headers],))=""," ",INDEX('Raw Data'!$A9:$EA9,MATCH(AZ$2,RawData[#Headers],)))</f>
        <v>0</v>
      </c>
      <c r="BA9" s="255">
        <f t="shared" si="26"/>
        <v>5</v>
      </c>
      <c r="BB9" s="255">
        <f>IF(INDEX('Raw Data'!$A9:$EA9,MATCH(BB$2,RawData[#Headers],))=""," ",INDEX('Raw Data'!$A9:$EA9,MATCH(BB$2,RawData[#Headers],)))</f>
        <v>7</v>
      </c>
      <c r="BC9" s="255">
        <f t="shared" si="27"/>
        <v>7</v>
      </c>
      <c r="BD9" s="255">
        <f>IF(INDEX('Raw Data'!$A9:$EA9,MATCH(BD$2,RawData[#Headers],))=""," ",INDEX('Raw Data'!$A9:$EA9,MATCH(BD$2,RawData[#Headers],)))</f>
        <v>0</v>
      </c>
      <c r="BE9" s="255">
        <f t="shared" si="28"/>
        <v>6</v>
      </c>
      <c r="BF9" s="255">
        <f>IF(INDEX('Raw Data'!$A9:$EA9,MATCH(BF$2,RawData[#Headers],))=""," ",INDEX('Raw Data'!$A9:$EA9,MATCH(BF$2,RawData[#Headers],)))</f>
        <v>0</v>
      </c>
      <c r="BG9" s="255">
        <f t="shared" si="29"/>
        <v>6</v>
      </c>
      <c r="BH9" s="255">
        <f>IF(INDEX('Raw Data'!$A9:$EA9,MATCH(BH$2,RawData[#Headers],))=""," ",INDEX('Raw Data'!$A9:$EA9,MATCH(BH$2,RawData[#Headers],)))</f>
        <v>-100</v>
      </c>
      <c r="BI9" s="255">
        <f t="shared" si="30"/>
        <v>6</v>
      </c>
      <c r="BJ9" s="255">
        <f>IF(INDEX('Raw Data'!$A9:$EA9,MATCH(BJ$2,RawData[#Headers],))=""," ",INDEX('Raw Data'!$A9:$EA9,MATCH(BJ$2,RawData[#Headers],)))</f>
        <v>3</v>
      </c>
      <c r="BK9" s="255">
        <f t="shared" si="31"/>
        <v>5</v>
      </c>
      <c r="BL9" s="255">
        <f>IF(INDEX('Raw Data'!$A9:$EA9,MATCH(BL$2,RawData[#Headers],))=""," ",INDEX('Raw Data'!$A9:$EA9,MATCH(BL$2,RawData[#Headers],)))</f>
        <v>42.86</v>
      </c>
      <c r="BM9" s="255">
        <f t="shared" si="32"/>
        <v>4</v>
      </c>
      <c r="BN9" s="255">
        <f>IF(INDEX('Raw Data'!$A9:$EA9,MATCH(BN$2,RawData[#Headers],))=""," ",INDEX('Raw Data'!$A9:$EA9,MATCH(BN$2,RawData[#Headers],)))</f>
        <v>1329</v>
      </c>
      <c r="BO9" s="255">
        <f t="shared" si="33"/>
        <v>6</v>
      </c>
      <c r="BP9" s="255">
        <f>IF(INDEX('Raw Data'!$A9:$EA9,MATCH(BP$2,RawData[#Headers],))=""," ",INDEX('Raw Data'!$A9:$EA9,MATCH(BP$2,RawData[#Headers],)))</f>
        <v>100</v>
      </c>
      <c r="BQ9" s="255">
        <f t="shared" si="34"/>
        <v>1</v>
      </c>
      <c r="BR9" s="255">
        <f>IF(INDEX('Raw Data'!$A9:$EA9,MATCH(BR$2,RawData[#Headers],))=""," ",INDEX('Raw Data'!$A9:$EA9,MATCH(BR$2,RawData[#Headers],)))</f>
        <v>13</v>
      </c>
      <c r="BS9" s="255">
        <f t="shared" si="35"/>
        <v>1</v>
      </c>
      <c r="BT9" s="255">
        <f>IF(INDEX('Raw Data'!$A9:$EA9,MATCH(BT$2,RawData[#Headers],))=""," ",INDEX('Raw Data'!$A9:$EA9,MATCH(BT$2,RawData[#Headers],)))</f>
        <v>13</v>
      </c>
      <c r="BU9" s="255">
        <f t="shared" si="36"/>
        <v>1</v>
      </c>
      <c r="BV9" s="255">
        <f>IF(INDEX('Raw Data'!$A9:$EA9,MATCH(BV$2,RawData[#Headers],))=""," ",INDEX('Raw Data'!$A9:$EA9,MATCH(BV$2,RawData[#Headers],)))</f>
        <v>-9</v>
      </c>
      <c r="BW9" s="255">
        <f t="shared" si="37"/>
        <v>3</v>
      </c>
      <c r="BX9" s="255">
        <f>IF(INDEX('Raw Data'!$A9:$EA9,MATCH(BX$2,RawData[#Headers],))=""," ",INDEX('Raw Data'!$A9:$EA9,MATCH(BX$2,RawData[#Headers],)))</f>
        <v>22</v>
      </c>
      <c r="BY9" s="255">
        <f t="shared" si="38"/>
        <v>8</v>
      </c>
      <c r="BZ9" s="255">
        <f>IF(INDEX('Raw Data'!$A9:$EA9,MATCH(BZ$2,RawData[#Headers],))=""," ",INDEX('Raw Data'!$A9:$EA9,MATCH(BZ$2,RawData[#Headers],)))</f>
        <v>22</v>
      </c>
      <c r="CA9" s="255">
        <f t="shared" si="39"/>
        <v>8</v>
      </c>
      <c r="CB9" s="255">
        <f>IF(INDEX('Raw Data'!$A9:$EA9,MATCH(CB$2,RawData[#Headers],))=""," ",INDEX('Raw Data'!$A9:$EA9,MATCH(CB$2,RawData[#Headers],)))</f>
        <v>1247</v>
      </c>
      <c r="CC9" s="255">
        <f t="shared" si="40"/>
        <v>8</v>
      </c>
      <c r="CD9" s="255">
        <f>IF(INDEX('Raw Data'!$A9:$EA9,MATCH(CD$2,RawData[#Headers],))=""," ",INDEX('Raw Data'!$A9:$EA9,MATCH(CD$2,RawData[#Headers],)))</f>
        <v>416</v>
      </c>
      <c r="CE9" s="255">
        <f t="shared" si="41"/>
        <v>2</v>
      </c>
      <c r="CF9" s="255">
        <f>IF(INDEX('Raw Data'!$A9:$EA9,MATCH(CF$2,RawData[#Headers],))=""," ",INDEX('Raw Data'!$A9:$EA9,MATCH(CF$2,RawData[#Headers],)))</f>
        <v>42</v>
      </c>
      <c r="CG9" s="255">
        <f t="shared" si="42"/>
        <v>2</v>
      </c>
      <c r="CH9" s="255">
        <f>IF(INDEX('Raw Data'!$A9:$EA9,MATCH(CH$2,RawData[#Headers],))=""," ",INDEX('Raw Data'!$A9:$EA9,MATCH(CH$2,RawData[#Headers],)))</f>
        <v>10.1</v>
      </c>
      <c r="CI9" s="255">
        <f t="shared" si="43"/>
        <v>6</v>
      </c>
      <c r="CJ9" s="255">
        <f>IF(INDEX('Raw Data'!$A9:$EA9,MATCH(CJ$2,RawData[#Headers],))=""," ",INDEX('Raw Data'!$A9:$EA9,MATCH(CJ$2,RawData[#Headers],)))</f>
        <v>-28</v>
      </c>
      <c r="CK9" s="255">
        <f t="shared" si="44"/>
        <v>5</v>
      </c>
      <c r="CL9" s="255">
        <f>IF(INDEX('Raw Data'!$A9:$EA9,MATCH(CL$2,RawData[#Headers],))=""," ",INDEX('Raw Data'!$A9:$EA9,MATCH(CL$2,RawData[#Headers],)))</f>
        <v>119</v>
      </c>
      <c r="CM9" s="255">
        <f t="shared" si="45"/>
        <v>2</v>
      </c>
      <c r="CN9" s="255">
        <f>IF(INDEX('Raw Data'!$A9:$EA9,MATCH(CN$2,RawData[#Headers],))=""," ",INDEX('Raw Data'!$A9:$EA9,MATCH(CN$2,RawData[#Headers],)))</f>
        <v>28.61</v>
      </c>
      <c r="CO9" s="255">
        <f t="shared" si="46"/>
        <v>7</v>
      </c>
      <c r="CP9" s="255">
        <f>IF(INDEX('Raw Data'!$A9:$EA9,MATCH(CP$2,RawData[#Headers],))=""," ",INDEX('Raw Data'!$A9:$EA9,MATCH(CP$2,RawData[#Headers],)))</f>
        <v>1264</v>
      </c>
      <c r="CQ9" s="255">
        <f t="shared" si="47"/>
        <v>7</v>
      </c>
      <c r="CR9" s="255">
        <f>IF(INDEX('Raw Data'!$A9:$EA9,MATCH(CR$2,RawData[#Headers],))=""," ",INDEX('Raw Data'!$A9:$EA9,MATCH(CR$2,RawData[#Headers],)))</f>
        <v>336</v>
      </c>
      <c r="CS9" s="255">
        <f t="shared" si="48"/>
        <v>2</v>
      </c>
      <c r="CT9" s="255">
        <f>IF(INDEX('Raw Data'!$A9:$EA9,MATCH(CT$2,RawData[#Headers],))=""," ",INDEX('Raw Data'!$A9:$EA9,MATCH(CT$2,RawData[#Headers],)))</f>
        <v>33</v>
      </c>
      <c r="CU9" s="255">
        <f t="shared" si="49"/>
        <v>2</v>
      </c>
      <c r="CV9" s="255">
        <f>IF(INDEX('Raw Data'!$A9:$EA9,MATCH(CV$2,RawData[#Headers],))=""," ",INDEX('Raw Data'!$A9:$EA9,MATCH(CV$2,RawData[#Headers],)))</f>
        <v>9.82</v>
      </c>
      <c r="CW9" s="255">
        <f t="shared" si="50"/>
        <v>5</v>
      </c>
      <c r="CX9" s="255">
        <f>IF(INDEX('Raw Data'!$A9:$EA9,MATCH(CX$2,RawData[#Headers],))=""," ",INDEX('Raw Data'!$A9:$EA9,MATCH(CX$2,RawData[#Headers],)))</f>
        <v>-34</v>
      </c>
      <c r="CY9" s="255">
        <f t="shared" si="51"/>
        <v>6</v>
      </c>
      <c r="CZ9" s="255">
        <f>IF(INDEX('Raw Data'!$A9:$EA9,MATCH(CZ$2,RawData[#Headers],))=""," ",INDEX('Raw Data'!$A9:$EA9,MATCH(CZ$2,RawData[#Headers],)))</f>
        <v>92</v>
      </c>
      <c r="DA9" s="255">
        <f t="shared" si="52"/>
        <v>2</v>
      </c>
      <c r="DB9" s="255">
        <f>IF(INDEX('Raw Data'!$A9:$EA9,MATCH(DB$2,RawData[#Headers],))=""," ",INDEX('Raw Data'!$A9:$EA9,MATCH(DB$2,RawData[#Headers],)))</f>
        <v>27.38</v>
      </c>
      <c r="DC9" s="255">
        <f t="shared" si="53"/>
        <v>8</v>
      </c>
      <c r="DD9" s="255">
        <f>IF(INDEX('Raw Data'!$A9:$EA9,MATCH(DD$2,RawData[#Headers],))=""," ",INDEX('Raw Data'!$A9:$EA9,MATCH(DD$2,RawData[#Headers],)))</f>
        <v>927</v>
      </c>
      <c r="DE9" s="255">
        <f t="shared" si="54"/>
        <v>6</v>
      </c>
      <c r="DF9" s="255">
        <f>IF(INDEX('Raw Data'!$A9:$EA9,MATCH(DF$2,RawData[#Headers],))=""," ",INDEX('Raw Data'!$A9:$EA9,MATCH(DF$2,RawData[#Headers],)))</f>
        <v>7</v>
      </c>
      <c r="DG9" s="255">
        <f t="shared" si="55"/>
        <v>5</v>
      </c>
      <c r="DH9" s="255">
        <f>IF(INDEX('Raw Data'!$A9:$EA9,MATCH(DH$2,RawData[#Headers],))=""," ",INDEX('Raw Data'!$A9:$EA9,MATCH(DH$2,RawData[#Headers],)))</f>
        <v>7</v>
      </c>
      <c r="DI9" s="255">
        <f t="shared" si="56"/>
        <v>5</v>
      </c>
      <c r="DJ9" s="255">
        <f>IF(INDEX('Raw Data'!$A9:$EA9,MATCH(DJ$2,RawData[#Headers],))=""," ",INDEX('Raw Data'!$A9:$EA9,MATCH(DJ$2,RawData[#Headers],)))</f>
        <v>-51</v>
      </c>
      <c r="DK9" s="255">
        <f t="shared" si="57"/>
        <v>5</v>
      </c>
      <c r="DL9" s="255">
        <f>IF(INDEX('Raw Data'!$A9:$EA9,MATCH(DL$2,RawData[#Headers],))=""," ",INDEX('Raw Data'!$A9:$EA9,MATCH(DL$2,RawData[#Headers],)))</f>
        <v>37</v>
      </c>
      <c r="DM9" s="255">
        <f t="shared" si="58"/>
        <v>3</v>
      </c>
      <c r="DN9" s="255">
        <f>IF(INDEX('Raw Data'!$A9:$EA9,MATCH(DN$2,RawData[#Headers],))=""," ",INDEX('Raw Data'!$A9:$EA9,MATCH(DN$2,RawData[#Headers],)))</f>
        <v>37</v>
      </c>
      <c r="DO9" s="255">
        <f t="shared" si="59"/>
        <v>3</v>
      </c>
      <c r="DP9" s="255">
        <f>IF(INDEX('Raw Data'!$A9:$EA9,MATCH(DP$2,RawData[#Headers],))=""," ",INDEX('Raw Data'!$A9:$EA9,MATCH(DP$2,RawData[#Headers],)))</f>
        <v>1154</v>
      </c>
      <c r="DQ9" s="255">
        <f t="shared" si="60"/>
        <v>4</v>
      </c>
      <c r="DR9" s="255">
        <f>IF(INDEX('Raw Data'!$A9:$EA9,MATCH(DR$2,RawData[#Headers],))=""," ",INDEX('Raw Data'!$A9:$EA9,MATCH(DR$2,RawData[#Headers],)))</f>
        <v>48</v>
      </c>
      <c r="DS9" s="255">
        <f t="shared" si="61"/>
        <v>5</v>
      </c>
      <c r="DT9" s="255">
        <f>IF(INDEX('Raw Data'!$A9:$EA9,MATCH(DT$2,RawData[#Headers],))=""," ",INDEX('Raw Data'!$A9:$EA9,MATCH(DT$2,RawData[#Headers],)))</f>
        <v>4</v>
      </c>
      <c r="DU9" s="255">
        <f t="shared" si="62"/>
        <v>4</v>
      </c>
      <c r="DV9" s="255">
        <f>IF(INDEX('Raw Data'!$A9:$EA9,MATCH(DV$2,RawData[#Headers],))=""," ",INDEX('Raw Data'!$A9:$EA9,MATCH(DV$2,RawData[#Headers],)))</f>
        <v>8.33</v>
      </c>
      <c r="DW9" s="255">
        <f t="shared" si="63"/>
        <v>5</v>
      </c>
      <c r="DX9" s="255">
        <f>IF(INDEX('Raw Data'!$A9:$EA9,MATCH(DX$2,RawData[#Headers],))=""," ",INDEX('Raw Data'!$A9:$EA9,MATCH(DX$2,RawData[#Headers],)))</f>
        <v>-34</v>
      </c>
      <c r="DY9" s="255">
        <f t="shared" si="64"/>
        <v>5</v>
      </c>
      <c r="DZ9" s="255">
        <f>IF(INDEX('Raw Data'!$A9:$EA9,MATCH(DZ$2,RawData[#Headers],))=""," ",INDEX('Raw Data'!$A9:$EA9,MATCH(DZ$2,RawData[#Headers],)))</f>
        <v>21</v>
      </c>
      <c r="EA9" s="255">
        <f t="shared" si="65"/>
        <v>3</v>
      </c>
      <c r="EB9" s="255">
        <f>IF(INDEX('Raw Data'!$A9:$EA9,MATCH(EB$2,RawData[#Headers],))=""," ",INDEX('Raw Data'!$A9:$EA9,MATCH(EB$2,RawData[#Headers],)))</f>
        <v>43.75</v>
      </c>
      <c r="EC9" s="255">
        <f t="shared" si="66"/>
        <v>1</v>
      </c>
      <c r="ED9" s="255">
        <f>IF(INDEX('Raw Data'!$A9:$EA9,MATCH(ED$2,RawData[#Headers],))=""," ",INDEX('Raw Data'!$A9:$EA9,MATCH(ED$2,RawData[#Headers],)))</f>
        <v>1099</v>
      </c>
      <c r="EE9" s="255">
        <f t="shared" si="67"/>
        <v>5</v>
      </c>
      <c r="EF9" s="255">
        <f>IF(INDEX('Raw Data'!$A9:$EA9,MATCH(EF$2,RawData[#Headers],))=""," ",INDEX('Raw Data'!$A9:$EA9,MATCH(EF$2,RawData[#Headers],)))</f>
        <v>45</v>
      </c>
      <c r="EG9" s="255">
        <f t="shared" si="68"/>
        <v>5</v>
      </c>
      <c r="EH9" s="255">
        <f>IF(INDEX('Raw Data'!$A9:$EA9,MATCH(EH$2,RawData[#Headers],))=""," ",INDEX('Raw Data'!$A9:$EA9,MATCH(EH$2,RawData[#Headers],)))</f>
        <v>3</v>
      </c>
      <c r="EI9" s="255">
        <f t="shared" si="69"/>
        <v>5</v>
      </c>
      <c r="EJ9" s="255">
        <f>IF(INDEX('Raw Data'!$A9:$EA9,MATCH(EJ$2,RawData[#Headers],))=""," ",INDEX('Raw Data'!$A9:$EA9,MATCH(EJ$2,RawData[#Headers],)))</f>
        <v>6.67</v>
      </c>
      <c r="EK9" s="255">
        <f t="shared" si="70"/>
        <v>6</v>
      </c>
      <c r="EL9" s="255">
        <f>IF(INDEX('Raw Data'!$A9:$EA9,MATCH(EL$2,RawData[#Headers],))=""," ",INDEX('Raw Data'!$A9:$EA9,MATCH(EL$2,RawData[#Headers],)))</f>
        <v>-54</v>
      </c>
      <c r="EM9" s="255">
        <f t="shared" si="71"/>
        <v>7</v>
      </c>
      <c r="EN9" s="255">
        <f>IF(INDEX('Raw Data'!$A9:$EA9,MATCH(EN$2,RawData[#Headers],))=""," ",INDEX('Raw Data'!$A9:$EA9,MATCH(EN$2,RawData[#Headers],)))</f>
        <v>19</v>
      </c>
      <c r="EO9" s="255">
        <f t="shared" si="72"/>
        <v>3</v>
      </c>
      <c r="EP9" s="255">
        <f>IF(INDEX('Raw Data'!$A9:$EA9,MATCH(EP$2,RawData[#Headers],))=""," ",INDEX('Raw Data'!$A9:$EA9,MATCH(EP$2,RawData[#Headers],)))</f>
        <v>42.22</v>
      </c>
      <c r="EQ9" s="255">
        <f t="shared" si="73"/>
        <v>1</v>
      </c>
      <c r="ER9" s="255">
        <f>IF(INDEX('Raw Data'!$A9:$EA9,MATCH(ER$2,RawData[#Headers],))=""," ",INDEX('Raw Data'!$A9:$EA9,MATCH(ER$2,RawData[#Headers],)))</f>
        <v>5</v>
      </c>
      <c r="ES9" s="255">
        <f t="shared" si="2"/>
        <v>4</v>
      </c>
      <c r="ET9" s="255">
        <f>IF(INDEX('Raw Data'!$A9:$EA9,MATCH(ET$2,RawData[#Headers],))=""," ",INDEX('Raw Data'!$A9:$EA9,MATCH(ET$2,RawData[#Headers],)))</f>
        <v>3.2</v>
      </c>
      <c r="EU9" s="255">
        <f t="shared" si="3"/>
        <v>5</v>
      </c>
      <c r="EV9" s="255">
        <f>IF(INDEX('Raw Data'!$A9:$EA9,MATCH(EV$2,RawData[#Headers],))=""," ",INDEX('Raw Data'!$A9:$EA9,MATCH(EV$2,RawData[#Headers],)))</f>
        <v>180</v>
      </c>
      <c r="EW9" s="255">
        <f t="shared" si="4"/>
        <v>4</v>
      </c>
      <c r="EX9" s="255" t="str">
        <f>IF(INDEX('Raw Data'!$A9:$EA9,MATCH(EX$2,RawData[#Headers],))=""," ",INDEX('Raw Data'!$A9:$EA9,MATCH(EX$2,RawData[#Headers],)))</f>
        <v xml:space="preserve"> </v>
      </c>
      <c r="EY9" s="255" t="str">
        <f t="shared" si="74"/>
        <v xml:space="preserve"> </v>
      </c>
      <c r="EZ9" s="276">
        <f>IF(INDEX('Raw Data'!$A9:$EA9,MATCH(EZ$2,RawData[#Headers],))=""," ",INDEX('Raw Data'!$A9:$EA9,MATCH(EZ$2,RawData[#Headers],)))</f>
        <v>3935.4711111111105</v>
      </c>
      <c r="FA9" s="255">
        <f t="shared" si="75"/>
        <v>5</v>
      </c>
      <c r="FB9" s="255">
        <f>IF(INDEX('Raw Data'!$A9:$EA9,MATCH(FB$2,RawData[#Headers],))=""," ",INDEX('Raw Data'!$A9:$EA9,MATCH(FB$2,RawData[#Headers],)))</f>
        <v>3</v>
      </c>
    </row>
    <row r="10" spans="1:158" x14ac:dyDescent="0.3">
      <c r="A10" s="255">
        <f>RawData[[#This Row],[Num]]</f>
        <v>9</v>
      </c>
      <c r="B10" s="255">
        <f>IF(INDEX('Raw Data'!$A10:$EA10,MATCH(B$2,RawData[#Headers],))=""," ",INDEX('Raw Data'!$A10:$EA10,MATCH(B$2,RawData[#Headers],)))</f>
        <v>18.18</v>
      </c>
      <c r="C10" s="326">
        <f>IFERROR(STANDARDIZE(machina[[#This Row],[Career Strike Rate]],B$30,B$31)^2," ")</f>
        <v>1.1235999999999997</v>
      </c>
      <c r="D10" s="255">
        <f>IF(INDEX('Raw Data'!$A10:$EA10,MATCH(D$2,RawData[#Headers],))=""," ",INDEX('Raw Data'!$A10:$EA10,MATCH(D$2,RawData[#Headers],)))</f>
        <v>-40</v>
      </c>
      <c r="E10" s="326">
        <f>IFERROR(STANDARDIZE(machina[[#This Row],[Career ROI]],D$30,D$31)^2," ")</f>
        <v>1</v>
      </c>
      <c r="F10" s="255">
        <f>IF(INDEX('Raw Data'!$A10:$EA10,MATCH(F$2,RawData[#Headers],))=""," ",INDEX('Raw Data'!$A10:$EA10,MATCH(F$2,RawData[#Headers],)))</f>
        <v>3</v>
      </c>
      <c r="G10" s="255">
        <f t="shared" si="5"/>
        <v>8</v>
      </c>
      <c r="H10" s="255">
        <f>IF(INDEX('Raw Data'!$A10:$EA10,MATCH(H$2,RawData[#Headers],))=""," ",INDEX('Raw Data'!$A10:$EA10,MATCH(H$2,RawData[#Headers],)))</f>
        <v>27.27</v>
      </c>
      <c r="I10" s="255">
        <f t="shared" si="6"/>
        <v>8</v>
      </c>
      <c r="J10" s="255">
        <f>IF(INDEX('Raw Data'!$A10:$EA10,MATCH(J$2,RawData[#Headers],))=""," ",INDEX('Raw Data'!$A10:$EA10,MATCH(J$2,RawData[#Headers],)))</f>
        <v>1114</v>
      </c>
      <c r="K10" s="255">
        <f t="shared" si="7"/>
        <v>8</v>
      </c>
      <c r="L10" s="255">
        <f>IF(INDEX('Raw Data'!$A10:$EA10,MATCH(L$2,RawData[#Headers],))=""," ",INDEX('Raw Data'!$A10:$EA10,MATCH(L$2,RawData[#Headers],)))</f>
        <v>8.5</v>
      </c>
      <c r="M10" s="255">
        <f t="shared" si="0"/>
        <v>4</v>
      </c>
      <c r="N10" s="255">
        <f>IF(INDEX('Raw Data'!$A10:$EA10,MATCH(N$2,RawData[#Headers],))=""," ",INDEX('Raw Data'!$A10:$EA10,MATCH(N$2,RawData[#Headers],)))</f>
        <v>8</v>
      </c>
      <c r="O10" s="255">
        <f t="shared" si="0"/>
        <v>4</v>
      </c>
      <c r="P10" s="255">
        <f>IF(INDEX('Raw Data'!$A10:$EA10,MATCH(P$2,RawData[#Headers],))=""," ",INDEX('Raw Data'!$A10:$EA10,MATCH(P$2,RawData[#Headers],)))</f>
        <v>54</v>
      </c>
      <c r="Q10" s="255">
        <f t="shared" ref="Q10" si="81">IF(ISERROR(IF(P10=""," ",RANK(P10,P$3:P$28,1)))," ",IF(P10=""," ",RANK(P10,P$3:P$28,1)))</f>
        <v>1</v>
      </c>
      <c r="R10" s="255">
        <f>IF(INDEX('Raw Data'!$A10:$EA10,MATCH(R$2,RawData[#Headers],))=""," ",INDEX('Raw Data'!$A10:$EA10,MATCH(R$2,RawData[#Headers],)))</f>
        <v>2</v>
      </c>
      <c r="S10" s="255">
        <f t="shared" si="9"/>
        <v>7</v>
      </c>
      <c r="T10" s="255">
        <f>IF(INDEX('Raw Data'!$A10:$EA10,MATCH(T$2,RawData[#Headers],))=""," ",INDEX('Raw Data'!$A10:$EA10,MATCH(T$2,RawData[#Headers],)))</f>
        <v>0</v>
      </c>
      <c r="U10" s="255">
        <f t="shared" si="10"/>
        <v>5</v>
      </c>
      <c r="V10" s="255">
        <f>IF(INDEX('Raw Data'!$A10:$EA10,MATCH(V$2,RawData[#Headers],))=""," ",INDEX('Raw Data'!$A10:$EA10,MATCH(V$2,RawData[#Headers],)))</f>
        <v>0</v>
      </c>
      <c r="W10" s="255">
        <f t="shared" si="11"/>
        <v>5</v>
      </c>
      <c r="X10" s="255">
        <f>IF(INDEX('Raw Data'!$A10:$EA10,MATCH(X$2,RawData[#Headers],))=""," ",INDEX('Raw Data'!$A10:$EA10,MATCH(X$2,RawData[#Headers],)))</f>
        <v>-100</v>
      </c>
      <c r="Y10" s="255">
        <f t="shared" si="12"/>
        <v>5</v>
      </c>
      <c r="Z10" s="255">
        <f>IF(INDEX('Raw Data'!$A10:$EA10,MATCH(Z$2,RawData[#Headers],))=""," ",INDEX('Raw Data'!$A10:$EA10,MATCH(Z$2,RawData[#Headers],)))</f>
        <v>0</v>
      </c>
      <c r="AA10" s="255">
        <f t="shared" si="13"/>
        <v>7</v>
      </c>
      <c r="AB10" s="255">
        <f>IF(INDEX('Raw Data'!$A10:$EA10,MATCH(AB$2,RawData[#Headers],))=""," ",INDEX('Raw Data'!$A10:$EA10,MATCH(AB$2,RawData[#Headers],)))</f>
        <v>0</v>
      </c>
      <c r="AC10" s="255">
        <f t="shared" si="14"/>
        <v>7</v>
      </c>
      <c r="AD10" s="255">
        <f>IF(INDEX('Raw Data'!$A10:$EA10,MATCH(AD$2,RawData[#Headers],))=""," ",INDEX('Raw Data'!$A10:$EA10,MATCH(AD$2,RawData[#Headers],)))</f>
        <v>1</v>
      </c>
      <c r="AE10" s="255">
        <f t="shared" si="15"/>
        <v>7</v>
      </c>
      <c r="AF10" s="255">
        <f>IF(INDEX('Raw Data'!$A10:$EA10,MATCH(AF$2,RawData[#Headers],))=""," ",INDEX('Raw Data'!$A10:$EA10,MATCH(AF$2,RawData[#Headers],)))</f>
        <v>0</v>
      </c>
      <c r="AG10" s="255">
        <f t="shared" si="16"/>
        <v>3</v>
      </c>
      <c r="AH10" s="255">
        <f>IF(INDEX('Raw Data'!$A10:$EA10,MATCH(AH$2,RawData[#Headers],))=""," ",INDEX('Raw Data'!$A10:$EA10,MATCH(AH$2,RawData[#Headers],)))</f>
        <v>0</v>
      </c>
      <c r="AI10" s="255">
        <f t="shared" si="17"/>
        <v>3</v>
      </c>
      <c r="AJ10" s="255">
        <f>IF(INDEX('Raw Data'!$A10:$EA10,MATCH(AJ$2,RawData[#Headers],))=""," ",INDEX('Raw Data'!$A10:$EA10,MATCH(AJ$2,RawData[#Headers],)))</f>
        <v>-100</v>
      </c>
      <c r="AK10" s="255">
        <f t="shared" si="18"/>
        <v>4</v>
      </c>
      <c r="AL10" s="255">
        <f>IF(INDEX('Raw Data'!$A10:$EA10,MATCH(AL$2,RawData[#Headers],))=""," ",INDEX('Raw Data'!$A10:$EA10,MATCH(AL$2,RawData[#Headers],)))</f>
        <v>0</v>
      </c>
      <c r="AM10" s="255">
        <f t="shared" si="19"/>
        <v>7</v>
      </c>
      <c r="AN10" s="255">
        <f>IF(INDEX('Raw Data'!$A10:$EA10,MATCH(AN$2,RawData[#Headers],))=""," ",INDEX('Raw Data'!$A10:$EA10,MATCH(AN$2,RawData[#Headers],)))</f>
        <v>0</v>
      </c>
      <c r="AO10" s="255">
        <f t="shared" si="20"/>
        <v>7</v>
      </c>
      <c r="AP10" s="255">
        <f>IF(INDEX('Raw Data'!$A10:$EA10,MATCH(AP$2,RawData[#Headers],))=""," ",INDEX('Raw Data'!$A10:$EA10,MATCH(AP$2,RawData[#Headers],)))</f>
        <v>0</v>
      </c>
      <c r="AQ10" s="255">
        <f t="shared" si="21"/>
        <v>7</v>
      </c>
      <c r="AR10" s="255">
        <f>IF(INDEX('Raw Data'!$A10:$EA10,MATCH(AR$2,RawData[#Headers],))=""," ",INDEX('Raw Data'!$A10:$EA10,MATCH(AR$2,RawData[#Headers],)))</f>
        <v>0</v>
      </c>
      <c r="AS10" s="255">
        <f t="shared" si="22"/>
        <v>2</v>
      </c>
      <c r="AT10" s="255">
        <f>IF(INDEX('Raw Data'!$A10:$EA10,MATCH(AT$2,RawData[#Headers],))=""," ",INDEX('Raw Data'!$A10:$EA10,MATCH(AT$2,RawData[#Headers],)))</f>
        <v>0</v>
      </c>
      <c r="AU10" s="255">
        <f t="shared" si="23"/>
        <v>2</v>
      </c>
      <c r="AV10" s="255">
        <f>IF(INDEX('Raw Data'!$A10:$EA10,MATCH(AV$2,RawData[#Headers],))=""," ",INDEX('Raw Data'!$A10:$EA10,MATCH(AV$2,RawData[#Headers],)))</f>
        <v>0</v>
      </c>
      <c r="AW10" s="255">
        <f t="shared" si="24"/>
        <v>2</v>
      </c>
      <c r="AX10" s="255">
        <f>IF(INDEX('Raw Data'!$A10:$EA10,MATCH(AX$2,RawData[#Headers],))=""," ",INDEX('Raw Data'!$A10:$EA10,MATCH(AX$2,RawData[#Headers],)))</f>
        <v>0</v>
      </c>
      <c r="AY10" s="255">
        <f t="shared" si="25"/>
        <v>5</v>
      </c>
      <c r="AZ10" s="255">
        <f>IF(INDEX('Raw Data'!$A10:$EA10,MATCH(AZ$2,RawData[#Headers],))=""," ",INDEX('Raw Data'!$A10:$EA10,MATCH(AZ$2,RawData[#Headers],)))</f>
        <v>0</v>
      </c>
      <c r="BA10" s="255">
        <f t="shared" si="26"/>
        <v>5</v>
      </c>
      <c r="BB10" s="255">
        <f>IF(INDEX('Raw Data'!$A10:$EA10,MATCH(BB$2,RawData[#Headers],))=""," ",INDEX('Raw Data'!$A10:$EA10,MATCH(BB$2,RawData[#Headers],)))</f>
        <v>3</v>
      </c>
      <c r="BC10" s="255">
        <f t="shared" si="27"/>
        <v>8</v>
      </c>
      <c r="BD10" s="255">
        <f>IF(INDEX('Raw Data'!$A10:$EA10,MATCH(BD$2,RawData[#Headers],))=""," ",INDEX('Raw Data'!$A10:$EA10,MATCH(BD$2,RawData[#Headers],)))</f>
        <v>0</v>
      </c>
      <c r="BE10" s="255">
        <f t="shared" si="28"/>
        <v>6</v>
      </c>
      <c r="BF10" s="255">
        <f>IF(INDEX('Raw Data'!$A10:$EA10,MATCH(BF$2,RawData[#Headers],))=""," ",INDEX('Raw Data'!$A10:$EA10,MATCH(BF$2,RawData[#Headers],)))</f>
        <v>0</v>
      </c>
      <c r="BG10" s="255">
        <f t="shared" si="29"/>
        <v>6</v>
      </c>
      <c r="BH10" s="255">
        <f>IF(INDEX('Raw Data'!$A10:$EA10,MATCH(BH$2,RawData[#Headers],))=""," ",INDEX('Raw Data'!$A10:$EA10,MATCH(BH$2,RawData[#Headers],)))</f>
        <v>-100</v>
      </c>
      <c r="BI10" s="255">
        <f t="shared" si="30"/>
        <v>6</v>
      </c>
      <c r="BJ10" s="255">
        <f>IF(INDEX('Raw Data'!$A10:$EA10,MATCH(BJ$2,RawData[#Headers],))=""," ",INDEX('Raw Data'!$A10:$EA10,MATCH(BJ$2,RawData[#Headers],)))</f>
        <v>1</v>
      </c>
      <c r="BK10" s="255">
        <f t="shared" si="31"/>
        <v>8</v>
      </c>
      <c r="BL10" s="255">
        <f>IF(INDEX('Raw Data'!$A10:$EA10,MATCH(BL$2,RawData[#Headers],))=""," ",INDEX('Raw Data'!$A10:$EA10,MATCH(BL$2,RawData[#Headers],)))</f>
        <v>33.33</v>
      </c>
      <c r="BM10" s="255">
        <f t="shared" si="32"/>
        <v>7</v>
      </c>
      <c r="BN10" s="255">
        <f>IF(INDEX('Raw Data'!$A10:$EA10,MATCH(BN$2,RawData[#Headers],))=""," ",INDEX('Raw Data'!$A10:$EA10,MATCH(BN$2,RawData[#Headers],)))</f>
        <v>1822</v>
      </c>
      <c r="BO10" s="255">
        <f t="shared" si="33"/>
        <v>3</v>
      </c>
      <c r="BP10" s="255">
        <f>IF(INDEX('Raw Data'!$A10:$EA10,MATCH(BP$2,RawData[#Headers],))=""," ",INDEX('Raw Data'!$A10:$EA10,MATCH(BP$2,RawData[#Headers],)))</f>
        <v>100</v>
      </c>
      <c r="BQ10" s="255">
        <f t="shared" si="34"/>
        <v>1</v>
      </c>
      <c r="BR10" s="255">
        <f>IF(INDEX('Raw Data'!$A10:$EA10,MATCH(BR$2,RawData[#Headers],))=""," ",INDEX('Raw Data'!$A10:$EA10,MATCH(BR$2,RawData[#Headers],)))</f>
        <v>9</v>
      </c>
      <c r="BS10" s="255">
        <f t="shared" si="35"/>
        <v>7</v>
      </c>
      <c r="BT10" s="255">
        <f>IF(INDEX('Raw Data'!$A10:$EA10,MATCH(BT$2,RawData[#Headers],))=""," ",INDEX('Raw Data'!$A10:$EA10,MATCH(BT$2,RawData[#Headers],)))</f>
        <v>9</v>
      </c>
      <c r="BU10" s="255">
        <f t="shared" si="36"/>
        <v>7</v>
      </c>
      <c r="BV10" s="255">
        <f>IF(INDEX('Raw Data'!$A10:$EA10,MATCH(BV$2,RawData[#Headers],))=""," ",INDEX('Raw Data'!$A10:$EA10,MATCH(BV$2,RawData[#Headers],)))</f>
        <v>-35</v>
      </c>
      <c r="BW10" s="255">
        <f t="shared" si="37"/>
        <v>4</v>
      </c>
      <c r="BX10" s="255">
        <f>IF(INDEX('Raw Data'!$A10:$EA10,MATCH(BX$2,RawData[#Headers],))=""," ",INDEX('Raw Data'!$A10:$EA10,MATCH(BX$2,RawData[#Headers],)))</f>
        <v>24</v>
      </c>
      <c r="BY10" s="255">
        <f t="shared" si="38"/>
        <v>7</v>
      </c>
      <c r="BZ10" s="255">
        <f>IF(INDEX('Raw Data'!$A10:$EA10,MATCH(BZ$2,RawData[#Headers],))=""," ",INDEX('Raw Data'!$A10:$EA10,MATCH(BZ$2,RawData[#Headers],)))</f>
        <v>24</v>
      </c>
      <c r="CA10" s="255">
        <f t="shared" si="39"/>
        <v>7</v>
      </c>
      <c r="CB10" s="255">
        <f>IF(INDEX('Raw Data'!$A10:$EA10,MATCH(CB$2,RawData[#Headers],))=""," ",INDEX('Raw Data'!$A10:$EA10,MATCH(CB$2,RawData[#Headers],)))</f>
        <v>1972</v>
      </c>
      <c r="CC10" s="255">
        <f t="shared" si="40"/>
        <v>3</v>
      </c>
      <c r="CD10" s="255">
        <f>IF(INDEX('Raw Data'!$A10:$EA10,MATCH(CD$2,RawData[#Headers],))=""," ",INDEX('Raw Data'!$A10:$EA10,MATCH(CD$2,RawData[#Headers],)))</f>
        <v>245</v>
      </c>
      <c r="CE10" s="255">
        <f t="shared" si="41"/>
        <v>4</v>
      </c>
      <c r="CF10" s="255">
        <f>IF(INDEX('Raw Data'!$A10:$EA10,MATCH(CF$2,RawData[#Headers],))=""," ",INDEX('Raw Data'!$A10:$EA10,MATCH(CF$2,RawData[#Headers],)))</f>
        <v>30</v>
      </c>
      <c r="CG10" s="255">
        <f t="shared" si="42"/>
        <v>3</v>
      </c>
      <c r="CH10" s="255">
        <f>IF(INDEX('Raw Data'!$A10:$EA10,MATCH(CH$2,RawData[#Headers],))=""," ",INDEX('Raw Data'!$A10:$EA10,MATCH(CH$2,RawData[#Headers],)))</f>
        <v>12.24</v>
      </c>
      <c r="CI10" s="255">
        <f t="shared" si="43"/>
        <v>3</v>
      </c>
      <c r="CJ10" s="255">
        <f>IF(INDEX('Raw Data'!$A10:$EA10,MATCH(CJ$2,RawData[#Headers],))=""," ",INDEX('Raw Data'!$A10:$EA10,MATCH(CJ$2,RawData[#Headers],)))</f>
        <v>-21</v>
      </c>
      <c r="CK10" s="255">
        <f t="shared" si="44"/>
        <v>3</v>
      </c>
      <c r="CL10" s="255">
        <f>IF(INDEX('Raw Data'!$A10:$EA10,MATCH(CL$2,RawData[#Headers],))=""," ",INDEX('Raw Data'!$A10:$EA10,MATCH(CL$2,RawData[#Headers],)))</f>
        <v>85</v>
      </c>
      <c r="CM10" s="255">
        <f t="shared" si="45"/>
        <v>4</v>
      </c>
      <c r="CN10" s="255">
        <f>IF(INDEX('Raw Data'!$A10:$EA10,MATCH(CN$2,RawData[#Headers],))=""," ",INDEX('Raw Data'!$A10:$EA10,MATCH(CN$2,RawData[#Headers],)))</f>
        <v>34.69</v>
      </c>
      <c r="CO10" s="255">
        <f t="shared" si="46"/>
        <v>2</v>
      </c>
      <c r="CP10" s="255">
        <f>IF(INDEX('Raw Data'!$A10:$EA10,MATCH(CP$2,RawData[#Headers],))=""," ",INDEX('Raw Data'!$A10:$EA10,MATCH(CP$2,RawData[#Headers],)))</f>
        <v>2013</v>
      </c>
      <c r="CQ10" s="255">
        <f t="shared" si="47"/>
        <v>3</v>
      </c>
      <c r="CR10" s="255">
        <f>IF(INDEX('Raw Data'!$A10:$EA10,MATCH(CR$2,RawData[#Headers],))=""," ",INDEX('Raw Data'!$A10:$EA10,MATCH(CR$2,RawData[#Headers],)))</f>
        <v>233</v>
      </c>
      <c r="CS10" s="255">
        <f t="shared" si="48"/>
        <v>4</v>
      </c>
      <c r="CT10" s="255">
        <f>IF(INDEX('Raw Data'!$A10:$EA10,MATCH(CT$2,RawData[#Headers],))=""," ",INDEX('Raw Data'!$A10:$EA10,MATCH(CT$2,RawData[#Headers],)))</f>
        <v>29</v>
      </c>
      <c r="CU10" s="255">
        <f t="shared" si="49"/>
        <v>4</v>
      </c>
      <c r="CV10" s="255">
        <f>IF(INDEX('Raw Data'!$A10:$EA10,MATCH(CV$2,RawData[#Headers],))=""," ",INDEX('Raw Data'!$A10:$EA10,MATCH(CV$2,RawData[#Headers],)))</f>
        <v>12.45</v>
      </c>
      <c r="CW10" s="255">
        <f t="shared" si="50"/>
        <v>2</v>
      </c>
      <c r="CX10" s="255">
        <f>IF(INDEX('Raw Data'!$A10:$EA10,MATCH(CX$2,RawData[#Headers],))=""," ",INDEX('Raw Data'!$A10:$EA10,MATCH(CX$2,RawData[#Headers],)))</f>
        <v>-19</v>
      </c>
      <c r="CY10" s="255">
        <f t="shared" si="51"/>
        <v>1</v>
      </c>
      <c r="CZ10" s="255">
        <f>IF(INDEX('Raw Data'!$A10:$EA10,MATCH(CZ$2,RawData[#Headers],))=""," ",INDEX('Raw Data'!$A10:$EA10,MATCH(CZ$2,RawData[#Headers],)))</f>
        <v>81</v>
      </c>
      <c r="DA10" s="255">
        <f t="shared" si="52"/>
        <v>4</v>
      </c>
      <c r="DB10" s="255">
        <f>IF(INDEX('Raw Data'!$A10:$EA10,MATCH(DB$2,RawData[#Headers],))=""," ",INDEX('Raw Data'!$A10:$EA10,MATCH(DB$2,RawData[#Headers],)))</f>
        <v>34.76</v>
      </c>
      <c r="DC10" s="255">
        <f t="shared" si="53"/>
        <v>2</v>
      </c>
      <c r="DD10" s="255">
        <f>IF(INDEX('Raw Data'!$A10:$EA10,MATCH(DD$2,RawData[#Headers],))=""," ",INDEX('Raw Data'!$A10:$EA10,MATCH(DD$2,RawData[#Headers],)))</f>
        <v>2386</v>
      </c>
      <c r="DE10" s="255">
        <f t="shared" si="54"/>
        <v>3</v>
      </c>
      <c r="DF10" s="255">
        <f>IF(INDEX('Raw Data'!$A10:$EA10,MATCH(DF$2,RawData[#Headers],))=""," ",INDEX('Raw Data'!$A10:$EA10,MATCH(DF$2,RawData[#Headers],)))</f>
        <v>14</v>
      </c>
      <c r="DG10" s="255">
        <f t="shared" si="55"/>
        <v>2</v>
      </c>
      <c r="DH10" s="255">
        <f>IF(INDEX('Raw Data'!$A10:$EA10,MATCH(DH$2,RawData[#Headers],))=""," ",INDEX('Raw Data'!$A10:$EA10,MATCH(DH$2,RawData[#Headers],)))</f>
        <v>14</v>
      </c>
      <c r="DI10" s="255">
        <f t="shared" si="56"/>
        <v>2</v>
      </c>
      <c r="DJ10" s="255">
        <f>IF(INDEX('Raw Data'!$A10:$EA10,MATCH(DJ$2,RawData[#Headers],))=""," ",INDEX('Raw Data'!$A10:$EA10,MATCH(DJ$2,RawData[#Headers],)))</f>
        <v>68</v>
      </c>
      <c r="DK10" s="255">
        <f t="shared" si="57"/>
        <v>1</v>
      </c>
      <c r="DL10" s="255">
        <f>IF(INDEX('Raw Data'!$A10:$EA10,MATCH(DL$2,RawData[#Headers],))=""," ",INDEX('Raw Data'!$A10:$EA10,MATCH(DL$2,RawData[#Headers],)))</f>
        <v>31</v>
      </c>
      <c r="DM10" s="255">
        <f t="shared" si="58"/>
        <v>4</v>
      </c>
      <c r="DN10" s="255">
        <f>IF(INDEX('Raw Data'!$A10:$EA10,MATCH(DN$2,RawData[#Headers],))=""," ",INDEX('Raw Data'!$A10:$EA10,MATCH(DN$2,RawData[#Headers],)))</f>
        <v>31</v>
      </c>
      <c r="DO10" s="255">
        <f t="shared" si="59"/>
        <v>5</v>
      </c>
      <c r="DP10" s="255">
        <f>IF(INDEX('Raw Data'!$A10:$EA10,MATCH(DP$2,RawData[#Headers],))=""," ",INDEX('Raw Data'!$A10:$EA10,MATCH(DP$2,RawData[#Headers],)))</f>
        <v>3000</v>
      </c>
      <c r="DQ10" s="255">
        <f t="shared" si="60"/>
        <v>2</v>
      </c>
      <c r="DR10" s="255">
        <f>IF(INDEX('Raw Data'!$A10:$EA10,MATCH(DR$2,RawData[#Headers],))=""," ",INDEX('Raw Data'!$A10:$EA10,MATCH(DR$2,RawData[#Headers],)))</f>
        <v>15</v>
      </c>
      <c r="DS10" s="255">
        <f t="shared" si="61"/>
        <v>8</v>
      </c>
      <c r="DT10" s="255">
        <f>IF(INDEX('Raw Data'!$A10:$EA10,MATCH(DT$2,RawData[#Headers],))=""," ",INDEX('Raw Data'!$A10:$EA10,MATCH(DT$2,RawData[#Headers],)))</f>
        <v>1</v>
      </c>
      <c r="DU10" s="255">
        <f t="shared" si="62"/>
        <v>7</v>
      </c>
      <c r="DV10" s="255">
        <f>IF(INDEX('Raw Data'!$A10:$EA10,MATCH(DV$2,RawData[#Headers],))=""," ",INDEX('Raw Data'!$A10:$EA10,MATCH(DV$2,RawData[#Headers],)))</f>
        <v>6.67</v>
      </c>
      <c r="DW10" s="255">
        <f t="shared" si="63"/>
        <v>6</v>
      </c>
      <c r="DX10" s="255">
        <f>IF(INDEX('Raw Data'!$A10:$EA10,MATCH(DX$2,RawData[#Headers],))=""," ",INDEX('Raw Data'!$A10:$EA10,MATCH(DX$2,RawData[#Headers],)))</f>
        <v>240</v>
      </c>
      <c r="DY10" s="255">
        <f t="shared" si="64"/>
        <v>1</v>
      </c>
      <c r="DZ10" s="255">
        <f>IF(INDEX('Raw Data'!$A10:$EA10,MATCH(DZ$2,RawData[#Headers],))=""," ",INDEX('Raw Data'!$A10:$EA10,MATCH(DZ$2,RawData[#Headers],)))</f>
        <v>3</v>
      </c>
      <c r="EA10" s="255">
        <f t="shared" si="65"/>
        <v>8</v>
      </c>
      <c r="EB10" s="255">
        <f>IF(INDEX('Raw Data'!$A10:$EA10,MATCH(EB$2,RawData[#Headers],))=""," ",INDEX('Raw Data'!$A10:$EA10,MATCH(EB$2,RawData[#Headers],)))</f>
        <v>20</v>
      </c>
      <c r="EC10" s="255">
        <f t="shared" si="66"/>
        <v>6</v>
      </c>
      <c r="ED10" s="255">
        <f>IF(INDEX('Raw Data'!$A10:$EA10,MATCH(ED$2,RawData[#Headers],))=""," ",INDEX('Raw Data'!$A10:$EA10,MATCH(ED$2,RawData[#Headers],)))</f>
        <v>4500</v>
      </c>
      <c r="EE10" s="255">
        <f t="shared" si="67"/>
        <v>1</v>
      </c>
      <c r="EF10" s="255">
        <f>IF(INDEX('Raw Data'!$A10:$EA10,MATCH(EF$2,RawData[#Headers],))=""," ",INDEX('Raw Data'!$A10:$EA10,MATCH(EF$2,RawData[#Headers],)))</f>
        <v>10</v>
      </c>
      <c r="EG10" s="255">
        <f t="shared" si="68"/>
        <v>8</v>
      </c>
      <c r="EH10" s="255">
        <f>IF(INDEX('Raw Data'!$A10:$EA10,MATCH(EH$2,RawData[#Headers],))=""," ",INDEX('Raw Data'!$A10:$EA10,MATCH(EH$2,RawData[#Headers],)))</f>
        <v>1</v>
      </c>
      <c r="EI10" s="255">
        <f t="shared" si="69"/>
        <v>7</v>
      </c>
      <c r="EJ10" s="255">
        <f>IF(INDEX('Raw Data'!$A10:$EA10,MATCH(EJ$2,RawData[#Headers],))=""," ",INDEX('Raw Data'!$A10:$EA10,MATCH(EJ$2,RawData[#Headers],)))</f>
        <v>10</v>
      </c>
      <c r="EK10" s="255">
        <f t="shared" si="70"/>
        <v>5</v>
      </c>
      <c r="EL10" s="255">
        <f>IF(INDEX('Raw Data'!$A10:$EA10,MATCH(EL$2,RawData[#Headers],))=""," ",INDEX('Raw Data'!$A10:$EA10,MATCH(EL$2,RawData[#Headers],)))</f>
        <v>410</v>
      </c>
      <c r="EM10" s="255">
        <f t="shared" si="71"/>
        <v>1</v>
      </c>
      <c r="EN10" s="255">
        <f>IF(INDEX('Raw Data'!$A10:$EA10,MATCH(EN$2,RawData[#Headers],))=""," ",INDEX('Raw Data'!$A10:$EA10,MATCH(EN$2,RawData[#Headers],)))</f>
        <v>3</v>
      </c>
      <c r="EO10" s="255">
        <f t="shared" si="72"/>
        <v>8</v>
      </c>
      <c r="EP10" s="255">
        <f>IF(INDEX('Raw Data'!$A10:$EA10,MATCH(EP$2,RawData[#Headers],))=""," ",INDEX('Raw Data'!$A10:$EA10,MATCH(EP$2,RawData[#Headers],)))</f>
        <v>30</v>
      </c>
      <c r="EQ10" s="255">
        <f t="shared" si="73"/>
        <v>4</v>
      </c>
      <c r="ER10" s="255">
        <f>IF(INDEX('Raw Data'!$A10:$EA10,MATCH(ER$2,RawData[#Headers],))=""," ",INDEX('Raw Data'!$A10:$EA10,MATCH(ER$2,RawData[#Headers],)))</f>
        <v>9</v>
      </c>
      <c r="ES10" s="255">
        <f t="shared" si="2"/>
        <v>8</v>
      </c>
      <c r="ET10" s="255">
        <f>IF(INDEX('Raw Data'!$A10:$EA10,MATCH(ET$2,RawData[#Headers],))=""," ",INDEX('Raw Data'!$A10:$EA10,MATCH(ET$2,RawData[#Headers],)))</f>
        <v>9</v>
      </c>
      <c r="EU10" s="255">
        <f t="shared" si="3"/>
        <v>8</v>
      </c>
      <c r="EV10" s="255">
        <f>IF(INDEX('Raw Data'!$A10:$EA10,MATCH(EV$2,RawData[#Headers],))=""," ",INDEX('Raw Data'!$A10:$EA10,MATCH(EV$2,RawData[#Headers],)))</f>
        <v>180</v>
      </c>
      <c r="EW10" s="255">
        <f t="shared" si="4"/>
        <v>4</v>
      </c>
      <c r="EX10" s="255" t="str">
        <f>IF(INDEX('Raw Data'!$A10:$EA10,MATCH(EX$2,RawData[#Headers],))=""," ",INDEX('Raw Data'!$A10:$EA10,MATCH(EX$2,RawData[#Headers],)))</f>
        <v xml:space="preserve"> </v>
      </c>
      <c r="EY10" s="255" t="str">
        <f t="shared" si="74"/>
        <v xml:space="preserve"> </v>
      </c>
      <c r="EZ10" s="276">
        <f>IF(INDEX('Raw Data'!$A10:$EA10,MATCH(EZ$2,RawData[#Headers],))=""," ",INDEX('Raw Data'!$A10:$EA10,MATCH(EZ$2,RawData[#Headers],)))</f>
        <v>4356</v>
      </c>
      <c r="FA10" s="255">
        <f t="shared" si="75"/>
        <v>3</v>
      </c>
      <c r="FB10" s="255">
        <f>IF(INDEX('Raw Data'!$A10:$EA10,MATCH(FB$2,RawData[#Headers],))=""," ",INDEX('Raw Data'!$A10:$EA10,MATCH(FB$2,RawData[#Headers],)))</f>
        <v>8</v>
      </c>
    </row>
    <row r="11" spans="1:158" x14ac:dyDescent="0.3">
      <c r="A11" s="255">
        <f>RawData[[#This Row],[Num]]</f>
        <v>0</v>
      </c>
      <c r="B11" s="255" t="str">
        <f>IF(INDEX('Raw Data'!$A11:$EA11,MATCH(B$2,RawData[#Headers],))=""," ",INDEX('Raw Data'!$A11:$EA11,MATCH(B$2,RawData[#Headers],)))</f>
        <v xml:space="preserve"> </v>
      </c>
      <c r="C11" s="326" t="str">
        <f>IFERROR(STANDARDIZE(machina[[#This Row],[Career Strike Rate]],B$30,B$31)^2," ")</f>
        <v xml:space="preserve"> </v>
      </c>
      <c r="D11" s="255" t="str">
        <f>IF(INDEX('Raw Data'!$A11:$EA11,MATCH(D$2,RawData[#Headers],))=""," ",INDEX('Raw Data'!$A11:$EA11,MATCH(D$2,RawData[#Headers],)))</f>
        <v xml:space="preserve"> </v>
      </c>
      <c r="E11" s="326" t="str">
        <f>IFERROR(STANDARDIZE(machina[[#This Row],[Career ROI]],D$30,D$31)^2," ")</f>
        <v xml:space="preserve"> </v>
      </c>
      <c r="F11" s="255" t="str">
        <f>IF(INDEX('Raw Data'!$A11:$EA11,MATCH(F$2,RawData[#Headers],))=""," ",INDEX('Raw Data'!$A11:$EA11,MATCH(F$2,RawData[#Headers],)))</f>
        <v xml:space="preserve"> </v>
      </c>
      <c r="G11" s="255" t="str">
        <f t="shared" si="5"/>
        <v xml:space="preserve"> </v>
      </c>
      <c r="H11" s="255" t="str">
        <f>IF(INDEX('Raw Data'!$A11:$EA11,MATCH(H$2,RawData[#Headers],))=""," ",INDEX('Raw Data'!$A11:$EA11,MATCH(H$2,RawData[#Headers],)))</f>
        <v xml:space="preserve"> </v>
      </c>
      <c r="I11" s="255" t="str">
        <f t="shared" si="6"/>
        <v xml:space="preserve"> </v>
      </c>
      <c r="J11" s="255" t="str">
        <f>IF(INDEX('Raw Data'!$A11:$EA11,MATCH(J$2,RawData[#Headers],))=""," ",INDEX('Raw Data'!$A11:$EA11,MATCH(J$2,RawData[#Headers],)))</f>
        <v xml:space="preserve"> </v>
      </c>
      <c r="K11" s="255" t="str">
        <f t="shared" si="7"/>
        <v xml:space="preserve"> </v>
      </c>
      <c r="L11" s="255" t="str">
        <f>IF(INDEX('Raw Data'!$A11:$EA11,MATCH(L$2,RawData[#Headers],))=""," ",INDEX('Raw Data'!$A11:$EA11,MATCH(L$2,RawData[#Headers],)))</f>
        <v xml:space="preserve"> </v>
      </c>
      <c r="M11" s="255" t="str">
        <f t="shared" si="0"/>
        <v xml:space="preserve"> </v>
      </c>
      <c r="N11" s="255" t="str">
        <f>IF(INDEX('Raw Data'!$A11:$EA11,MATCH(N$2,RawData[#Headers],))=""," ",INDEX('Raw Data'!$A11:$EA11,MATCH(N$2,RawData[#Headers],)))</f>
        <v xml:space="preserve"> </v>
      </c>
      <c r="O11" s="255" t="str">
        <f t="shared" si="0"/>
        <v xml:space="preserve"> </v>
      </c>
      <c r="P11" s="255" t="str">
        <f>IF(INDEX('Raw Data'!$A11:$EA11,MATCH(P$2,RawData[#Headers],))=""," ",INDEX('Raw Data'!$A11:$EA11,MATCH(P$2,RawData[#Headers],)))</f>
        <v xml:space="preserve"> </v>
      </c>
      <c r="Q11" s="255" t="str">
        <f t="shared" ref="Q11" si="82">IF(ISERROR(IF(P11=""," ",RANK(P11,P$3:P$28,1)))," ",IF(P11=""," ",RANK(P11,P$3:P$28,1)))</f>
        <v xml:space="preserve"> </v>
      </c>
      <c r="R11" s="255" t="str">
        <f>IF(INDEX('Raw Data'!$A11:$EA11,MATCH(R$2,RawData[#Headers],))=""," ",INDEX('Raw Data'!$A11:$EA11,MATCH(R$2,RawData[#Headers],)))</f>
        <v xml:space="preserve"> </v>
      </c>
      <c r="S11" s="255" t="str">
        <f t="shared" si="9"/>
        <v xml:space="preserve"> </v>
      </c>
      <c r="T11" s="255" t="str">
        <f>IF(INDEX('Raw Data'!$A11:$EA11,MATCH(T$2,RawData[#Headers],))=""," ",INDEX('Raw Data'!$A11:$EA11,MATCH(T$2,RawData[#Headers],)))</f>
        <v xml:space="preserve"> </v>
      </c>
      <c r="U11" s="255" t="str">
        <f t="shared" si="10"/>
        <v xml:space="preserve"> </v>
      </c>
      <c r="V11" s="255" t="str">
        <f>IF(INDEX('Raw Data'!$A11:$EA11,MATCH(V$2,RawData[#Headers],))=""," ",INDEX('Raw Data'!$A11:$EA11,MATCH(V$2,RawData[#Headers],)))</f>
        <v xml:space="preserve"> </v>
      </c>
      <c r="W11" s="255" t="str">
        <f t="shared" si="11"/>
        <v xml:space="preserve"> </v>
      </c>
      <c r="X11" s="255" t="str">
        <f>IF(INDEX('Raw Data'!$A11:$EA11,MATCH(X$2,RawData[#Headers],))=""," ",INDEX('Raw Data'!$A11:$EA11,MATCH(X$2,RawData[#Headers],)))</f>
        <v xml:space="preserve"> </v>
      </c>
      <c r="Y11" s="255" t="str">
        <f t="shared" si="12"/>
        <v xml:space="preserve"> </v>
      </c>
      <c r="Z11" s="255" t="str">
        <f>IF(INDEX('Raw Data'!$A11:$EA11,MATCH(Z$2,RawData[#Headers],))=""," ",INDEX('Raw Data'!$A11:$EA11,MATCH(Z$2,RawData[#Headers],)))</f>
        <v xml:space="preserve"> </v>
      </c>
      <c r="AA11" s="255" t="str">
        <f t="shared" si="13"/>
        <v xml:space="preserve"> </v>
      </c>
      <c r="AB11" s="255" t="str">
        <f>IF(INDEX('Raw Data'!$A11:$EA11,MATCH(AB$2,RawData[#Headers],))=""," ",INDEX('Raw Data'!$A11:$EA11,MATCH(AB$2,RawData[#Headers],)))</f>
        <v xml:space="preserve"> </v>
      </c>
      <c r="AC11" s="255" t="str">
        <f t="shared" si="14"/>
        <v xml:space="preserve"> </v>
      </c>
      <c r="AD11" s="255" t="str">
        <f>IF(INDEX('Raw Data'!$A11:$EA11,MATCH(AD$2,RawData[#Headers],))=""," ",INDEX('Raw Data'!$A11:$EA11,MATCH(AD$2,RawData[#Headers],)))</f>
        <v xml:space="preserve"> </v>
      </c>
      <c r="AE11" s="255" t="str">
        <f t="shared" si="15"/>
        <v xml:space="preserve"> </v>
      </c>
      <c r="AF11" s="255" t="str">
        <f>IF(INDEX('Raw Data'!$A11:$EA11,MATCH(AF$2,RawData[#Headers],))=""," ",INDEX('Raw Data'!$A11:$EA11,MATCH(AF$2,RawData[#Headers],)))</f>
        <v xml:space="preserve"> </v>
      </c>
      <c r="AG11" s="255" t="str">
        <f t="shared" si="16"/>
        <v xml:space="preserve"> </v>
      </c>
      <c r="AH11" s="255" t="str">
        <f>IF(INDEX('Raw Data'!$A11:$EA11,MATCH(AH$2,RawData[#Headers],))=""," ",INDEX('Raw Data'!$A11:$EA11,MATCH(AH$2,RawData[#Headers],)))</f>
        <v xml:space="preserve"> </v>
      </c>
      <c r="AI11" s="255" t="str">
        <f t="shared" si="17"/>
        <v xml:space="preserve"> </v>
      </c>
      <c r="AJ11" s="255" t="str">
        <f>IF(INDEX('Raw Data'!$A11:$EA11,MATCH(AJ$2,RawData[#Headers],))=""," ",INDEX('Raw Data'!$A11:$EA11,MATCH(AJ$2,RawData[#Headers],)))</f>
        <v xml:space="preserve"> </v>
      </c>
      <c r="AK11" s="255" t="str">
        <f t="shared" si="18"/>
        <v xml:space="preserve"> </v>
      </c>
      <c r="AL11" s="255" t="str">
        <f>IF(INDEX('Raw Data'!$A11:$EA11,MATCH(AL$2,RawData[#Headers],))=""," ",INDEX('Raw Data'!$A11:$EA11,MATCH(AL$2,RawData[#Headers],)))</f>
        <v xml:space="preserve"> </v>
      </c>
      <c r="AM11" s="255" t="str">
        <f t="shared" si="19"/>
        <v xml:space="preserve"> </v>
      </c>
      <c r="AN11" s="255" t="str">
        <f>IF(INDEX('Raw Data'!$A11:$EA11,MATCH(AN$2,RawData[#Headers],))=""," ",INDEX('Raw Data'!$A11:$EA11,MATCH(AN$2,RawData[#Headers],)))</f>
        <v xml:space="preserve"> </v>
      </c>
      <c r="AO11" s="255" t="str">
        <f t="shared" si="20"/>
        <v xml:space="preserve"> </v>
      </c>
      <c r="AP11" s="255" t="str">
        <f>IF(INDEX('Raw Data'!$A11:$EA11,MATCH(AP$2,RawData[#Headers],))=""," ",INDEX('Raw Data'!$A11:$EA11,MATCH(AP$2,RawData[#Headers],)))</f>
        <v xml:space="preserve"> </v>
      </c>
      <c r="AQ11" s="255" t="str">
        <f t="shared" si="21"/>
        <v xml:space="preserve"> </v>
      </c>
      <c r="AR11" s="255" t="str">
        <f>IF(INDEX('Raw Data'!$A11:$EA11,MATCH(AR$2,RawData[#Headers],))=""," ",INDEX('Raw Data'!$A11:$EA11,MATCH(AR$2,RawData[#Headers],)))</f>
        <v xml:space="preserve"> </v>
      </c>
      <c r="AS11" s="255" t="str">
        <f t="shared" si="22"/>
        <v xml:space="preserve"> </v>
      </c>
      <c r="AT11" s="255" t="str">
        <f>IF(INDEX('Raw Data'!$A11:$EA11,MATCH(AT$2,RawData[#Headers],))=""," ",INDEX('Raw Data'!$A11:$EA11,MATCH(AT$2,RawData[#Headers],)))</f>
        <v xml:space="preserve"> </v>
      </c>
      <c r="AU11" s="255" t="str">
        <f t="shared" si="23"/>
        <v xml:space="preserve"> </v>
      </c>
      <c r="AV11" s="255" t="str">
        <f>IF(INDEX('Raw Data'!$A11:$EA11,MATCH(AV$2,RawData[#Headers],))=""," ",INDEX('Raw Data'!$A11:$EA11,MATCH(AV$2,RawData[#Headers],)))</f>
        <v xml:space="preserve"> </v>
      </c>
      <c r="AW11" s="255" t="str">
        <f t="shared" si="24"/>
        <v xml:space="preserve"> </v>
      </c>
      <c r="AX11" s="255" t="str">
        <f>IF(INDEX('Raw Data'!$A11:$EA11,MATCH(AX$2,RawData[#Headers],))=""," ",INDEX('Raw Data'!$A11:$EA11,MATCH(AX$2,RawData[#Headers],)))</f>
        <v xml:space="preserve"> </v>
      </c>
      <c r="AY11" s="255" t="str">
        <f t="shared" si="25"/>
        <v xml:space="preserve"> </v>
      </c>
      <c r="AZ11" s="255" t="str">
        <f>IF(INDEX('Raw Data'!$A11:$EA11,MATCH(AZ$2,RawData[#Headers],))=""," ",INDEX('Raw Data'!$A11:$EA11,MATCH(AZ$2,RawData[#Headers],)))</f>
        <v xml:space="preserve"> </v>
      </c>
      <c r="BA11" s="255" t="str">
        <f t="shared" si="26"/>
        <v xml:space="preserve"> </v>
      </c>
      <c r="BB11" s="255" t="str">
        <f>IF(INDEX('Raw Data'!$A11:$EA11,MATCH(BB$2,RawData[#Headers],))=""," ",INDEX('Raw Data'!$A11:$EA11,MATCH(BB$2,RawData[#Headers],)))</f>
        <v xml:space="preserve"> </v>
      </c>
      <c r="BC11" s="255" t="str">
        <f t="shared" si="27"/>
        <v xml:space="preserve"> </v>
      </c>
      <c r="BD11" s="255" t="str">
        <f>IF(INDEX('Raw Data'!$A11:$EA11,MATCH(BD$2,RawData[#Headers],))=""," ",INDEX('Raw Data'!$A11:$EA11,MATCH(BD$2,RawData[#Headers],)))</f>
        <v xml:space="preserve"> </v>
      </c>
      <c r="BE11" s="255" t="str">
        <f t="shared" si="28"/>
        <v xml:space="preserve"> </v>
      </c>
      <c r="BF11" s="255" t="str">
        <f>IF(INDEX('Raw Data'!$A11:$EA11,MATCH(BF$2,RawData[#Headers],))=""," ",INDEX('Raw Data'!$A11:$EA11,MATCH(BF$2,RawData[#Headers],)))</f>
        <v xml:space="preserve"> </v>
      </c>
      <c r="BG11" s="255" t="str">
        <f t="shared" si="29"/>
        <v xml:space="preserve"> </v>
      </c>
      <c r="BH11" s="255" t="str">
        <f>IF(INDEX('Raw Data'!$A11:$EA11,MATCH(BH$2,RawData[#Headers],))=""," ",INDEX('Raw Data'!$A11:$EA11,MATCH(BH$2,RawData[#Headers],)))</f>
        <v xml:space="preserve"> </v>
      </c>
      <c r="BI11" s="255" t="str">
        <f t="shared" si="30"/>
        <v xml:space="preserve"> </v>
      </c>
      <c r="BJ11" s="255" t="str">
        <f>IF(INDEX('Raw Data'!$A11:$EA11,MATCH(BJ$2,RawData[#Headers],))=""," ",INDEX('Raw Data'!$A11:$EA11,MATCH(BJ$2,RawData[#Headers],)))</f>
        <v xml:space="preserve"> </v>
      </c>
      <c r="BK11" s="255" t="str">
        <f t="shared" si="31"/>
        <v xml:space="preserve"> </v>
      </c>
      <c r="BL11" s="255" t="str">
        <f>IF(INDEX('Raw Data'!$A11:$EA11,MATCH(BL$2,RawData[#Headers],))=""," ",INDEX('Raw Data'!$A11:$EA11,MATCH(BL$2,RawData[#Headers],)))</f>
        <v xml:space="preserve"> </v>
      </c>
      <c r="BM11" s="255" t="str">
        <f t="shared" si="32"/>
        <v xml:space="preserve"> </v>
      </c>
      <c r="BN11" s="255" t="str">
        <f>IF(INDEX('Raw Data'!$A11:$EA11,MATCH(BN$2,RawData[#Headers],))=""," ",INDEX('Raw Data'!$A11:$EA11,MATCH(BN$2,RawData[#Headers],)))</f>
        <v xml:space="preserve"> </v>
      </c>
      <c r="BO11" s="255" t="str">
        <f t="shared" si="33"/>
        <v xml:space="preserve"> </v>
      </c>
      <c r="BP11" s="255" t="str">
        <f>IF(INDEX('Raw Data'!$A11:$EA11,MATCH(BP$2,RawData[#Headers],))=""," ",INDEX('Raw Data'!$A11:$EA11,MATCH(BP$2,RawData[#Headers],)))</f>
        <v xml:space="preserve"> </v>
      </c>
      <c r="BQ11" s="255" t="str">
        <f t="shared" si="34"/>
        <v xml:space="preserve"> </v>
      </c>
      <c r="BR11" s="255" t="str">
        <f>IF(INDEX('Raw Data'!$A11:$EA11,MATCH(BR$2,RawData[#Headers],))=""," ",INDEX('Raw Data'!$A11:$EA11,MATCH(BR$2,RawData[#Headers],)))</f>
        <v xml:space="preserve"> </v>
      </c>
      <c r="BS11" s="255" t="str">
        <f t="shared" si="35"/>
        <v xml:space="preserve"> </v>
      </c>
      <c r="BT11" s="255" t="str">
        <f>IF(INDEX('Raw Data'!$A11:$EA11,MATCH(BT$2,RawData[#Headers],))=""," ",INDEX('Raw Data'!$A11:$EA11,MATCH(BT$2,RawData[#Headers],)))</f>
        <v xml:space="preserve"> </v>
      </c>
      <c r="BU11" s="255" t="str">
        <f t="shared" si="36"/>
        <v xml:space="preserve"> </v>
      </c>
      <c r="BV11" s="255" t="str">
        <f>IF(INDEX('Raw Data'!$A11:$EA11,MATCH(BV$2,RawData[#Headers],))=""," ",INDEX('Raw Data'!$A11:$EA11,MATCH(BV$2,RawData[#Headers],)))</f>
        <v xml:space="preserve"> </v>
      </c>
      <c r="BW11" s="255" t="str">
        <f t="shared" si="37"/>
        <v xml:space="preserve"> </v>
      </c>
      <c r="BX11" s="255" t="str">
        <f>IF(INDEX('Raw Data'!$A11:$EA11,MATCH(BX$2,RawData[#Headers],))=""," ",INDEX('Raw Data'!$A11:$EA11,MATCH(BX$2,RawData[#Headers],)))</f>
        <v xml:space="preserve"> </v>
      </c>
      <c r="BY11" s="255" t="str">
        <f t="shared" si="38"/>
        <v xml:space="preserve"> </v>
      </c>
      <c r="BZ11" s="255" t="str">
        <f>IF(INDEX('Raw Data'!$A11:$EA11,MATCH(BZ$2,RawData[#Headers],))=""," ",INDEX('Raw Data'!$A11:$EA11,MATCH(BZ$2,RawData[#Headers],)))</f>
        <v xml:space="preserve"> </v>
      </c>
      <c r="CA11" s="255" t="str">
        <f t="shared" si="39"/>
        <v xml:space="preserve"> </v>
      </c>
      <c r="CB11" s="255" t="str">
        <f>IF(INDEX('Raw Data'!$A11:$EA11,MATCH(CB$2,RawData[#Headers],))=""," ",INDEX('Raw Data'!$A11:$EA11,MATCH(CB$2,RawData[#Headers],)))</f>
        <v xml:space="preserve"> </v>
      </c>
      <c r="CC11" s="255" t="str">
        <f t="shared" si="40"/>
        <v xml:space="preserve"> </v>
      </c>
      <c r="CD11" s="255" t="str">
        <f>IF(INDEX('Raw Data'!$A11:$EA11,MATCH(CD$2,RawData[#Headers],))=""," ",INDEX('Raw Data'!$A11:$EA11,MATCH(CD$2,RawData[#Headers],)))</f>
        <v xml:space="preserve"> </v>
      </c>
      <c r="CE11" s="255" t="str">
        <f t="shared" si="41"/>
        <v xml:space="preserve"> </v>
      </c>
      <c r="CF11" s="255" t="str">
        <f>IF(INDEX('Raw Data'!$A11:$EA11,MATCH(CF$2,RawData[#Headers],))=""," ",INDEX('Raw Data'!$A11:$EA11,MATCH(CF$2,RawData[#Headers],)))</f>
        <v xml:space="preserve"> </v>
      </c>
      <c r="CG11" s="255" t="str">
        <f t="shared" si="42"/>
        <v xml:space="preserve"> </v>
      </c>
      <c r="CH11" s="255" t="str">
        <f>IF(INDEX('Raw Data'!$A11:$EA11,MATCH(CH$2,RawData[#Headers],))=""," ",INDEX('Raw Data'!$A11:$EA11,MATCH(CH$2,RawData[#Headers],)))</f>
        <v xml:space="preserve"> </v>
      </c>
      <c r="CI11" s="255" t="str">
        <f t="shared" si="43"/>
        <v xml:space="preserve"> </v>
      </c>
      <c r="CJ11" s="255" t="str">
        <f>IF(INDEX('Raw Data'!$A11:$EA11,MATCH(CJ$2,RawData[#Headers],))=""," ",INDEX('Raw Data'!$A11:$EA11,MATCH(CJ$2,RawData[#Headers],)))</f>
        <v xml:space="preserve"> </v>
      </c>
      <c r="CK11" s="255" t="str">
        <f t="shared" si="44"/>
        <v xml:space="preserve"> </v>
      </c>
      <c r="CL11" s="255" t="str">
        <f>IF(INDEX('Raw Data'!$A11:$EA11,MATCH(CL$2,RawData[#Headers],))=""," ",INDEX('Raw Data'!$A11:$EA11,MATCH(CL$2,RawData[#Headers],)))</f>
        <v xml:space="preserve"> </v>
      </c>
      <c r="CM11" s="255" t="str">
        <f t="shared" si="45"/>
        <v xml:space="preserve"> </v>
      </c>
      <c r="CN11" s="255" t="str">
        <f>IF(INDEX('Raw Data'!$A11:$EA11,MATCH(CN$2,RawData[#Headers],))=""," ",INDEX('Raw Data'!$A11:$EA11,MATCH(CN$2,RawData[#Headers],)))</f>
        <v xml:space="preserve"> </v>
      </c>
      <c r="CO11" s="255" t="str">
        <f t="shared" si="46"/>
        <v xml:space="preserve"> </v>
      </c>
      <c r="CP11" s="255" t="str">
        <f>IF(INDEX('Raw Data'!$A11:$EA11,MATCH(CP$2,RawData[#Headers],))=""," ",INDEX('Raw Data'!$A11:$EA11,MATCH(CP$2,RawData[#Headers],)))</f>
        <v xml:space="preserve"> </v>
      </c>
      <c r="CQ11" s="255" t="str">
        <f t="shared" si="47"/>
        <v xml:space="preserve"> </v>
      </c>
      <c r="CR11" s="255" t="str">
        <f>IF(INDEX('Raw Data'!$A11:$EA11,MATCH(CR$2,RawData[#Headers],))=""," ",INDEX('Raw Data'!$A11:$EA11,MATCH(CR$2,RawData[#Headers],)))</f>
        <v xml:space="preserve"> </v>
      </c>
      <c r="CS11" s="255" t="str">
        <f t="shared" si="48"/>
        <v xml:space="preserve"> </v>
      </c>
      <c r="CT11" s="255" t="str">
        <f>IF(INDEX('Raw Data'!$A11:$EA11,MATCH(CT$2,RawData[#Headers],))=""," ",INDEX('Raw Data'!$A11:$EA11,MATCH(CT$2,RawData[#Headers],)))</f>
        <v xml:space="preserve"> </v>
      </c>
      <c r="CU11" s="255" t="str">
        <f t="shared" si="49"/>
        <v xml:space="preserve"> </v>
      </c>
      <c r="CV11" s="255" t="str">
        <f>IF(INDEX('Raw Data'!$A11:$EA11,MATCH(CV$2,RawData[#Headers],))=""," ",INDEX('Raw Data'!$A11:$EA11,MATCH(CV$2,RawData[#Headers],)))</f>
        <v xml:space="preserve"> </v>
      </c>
      <c r="CW11" s="255" t="str">
        <f t="shared" si="50"/>
        <v xml:space="preserve"> </v>
      </c>
      <c r="CX11" s="255" t="str">
        <f>IF(INDEX('Raw Data'!$A11:$EA11,MATCH(CX$2,RawData[#Headers],))=""," ",INDEX('Raw Data'!$A11:$EA11,MATCH(CX$2,RawData[#Headers],)))</f>
        <v xml:space="preserve"> </v>
      </c>
      <c r="CY11" s="255" t="str">
        <f t="shared" si="51"/>
        <v xml:space="preserve"> </v>
      </c>
      <c r="CZ11" s="255" t="str">
        <f>IF(INDEX('Raw Data'!$A11:$EA11,MATCH(CZ$2,RawData[#Headers],))=""," ",INDEX('Raw Data'!$A11:$EA11,MATCH(CZ$2,RawData[#Headers],)))</f>
        <v xml:space="preserve"> </v>
      </c>
      <c r="DA11" s="255" t="str">
        <f t="shared" si="52"/>
        <v xml:space="preserve"> </v>
      </c>
      <c r="DB11" s="255" t="str">
        <f>IF(INDEX('Raw Data'!$A11:$EA11,MATCH(DB$2,RawData[#Headers],))=""," ",INDEX('Raw Data'!$A11:$EA11,MATCH(DB$2,RawData[#Headers],)))</f>
        <v xml:space="preserve"> </v>
      </c>
      <c r="DC11" s="255" t="str">
        <f t="shared" si="53"/>
        <v xml:space="preserve"> </v>
      </c>
      <c r="DD11" s="255" t="str">
        <f>IF(INDEX('Raw Data'!$A11:$EA11,MATCH(DD$2,RawData[#Headers],))=""," ",INDEX('Raw Data'!$A11:$EA11,MATCH(DD$2,RawData[#Headers],)))</f>
        <v xml:space="preserve"> </v>
      </c>
      <c r="DE11" s="255" t="str">
        <f t="shared" si="54"/>
        <v xml:space="preserve"> </v>
      </c>
      <c r="DF11" s="255" t="str">
        <f>IF(INDEX('Raw Data'!$A11:$EA11,MATCH(DF$2,RawData[#Headers],))=""," ",INDEX('Raw Data'!$A11:$EA11,MATCH(DF$2,RawData[#Headers],)))</f>
        <v xml:space="preserve"> </v>
      </c>
      <c r="DG11" s="255" t="str">
        <f t="shared" si="55"/>
        <v xml:space="preserve"> </v>
      </c>
      <c r="DH11" s="255" t="str">
        <f>IF(INDEX('Raw Data'!$A11:$EA11,MATCH(DH$2,RawData[#Headers],))=""," ",INDEX('Raw Data'!$A11:$EA11,MATCH(DH$2,RawData[#Headers],)))</f>
        <v xml:space="preserve"> </v>
      </c>
      <c r="DI11" s="255" t="str">
        <f t="shared" si="56"/>
        <v xml:space="preserve"> </v>
      </c>
      <c r="DJ11" s="255" t="str">
        <f>IF(INDEX('Raw Data'!$A11:$EA11,MATCH(DJ$2,RawData[#Headers],))=""," ",INDEX('Raw Data'!$A11:$EA11,MATCH(DJ$2,RawData[#Headers],)))</f>
        <v xml:space="preserve"> </v>
      </c>
      <c r="DK11" s="255" t="str">
        <f t="shared" si="57"/>
        <v xml:space="preserve"> </v>
      </c>
      <c r="DL11" s="255" t="str">
        <f>IF(INDEX('Raw Data'!$A11:$EA11,MATCH(DL$2,RawData[#Headers],))=""," ",INDEX('Raw Data'!$A11:$EA11,MATCH(DL$2,RawData[#Headers],)))</f>
        <v xml:space="preserve"> </v>
      </c>
      <c r="DM11" s="255" t="str">
        <f t="shared" si="58"/>
        <v xml:space="preserve"> </v>
      </c>
      <c r="DN11" s="255" t="str">
        <f>IF(INDEX('Raw Data'!$A11:$EA11,MATCH(DN$2,RawData[#Headers],))=""," ",INDEX('Raw Data'!$A11:$EA11,MATCH(DN$2,RawData[#Headers],)))</f>
        <v xml:space="preserve"> </v>
      </c>
      <c r="DO11" s="255" t="str">
        <f t="shared" si="59"/>
        <v xml:space="preserve"> </v>
      </c>
      <c r="DP11" s="255" t="str">
        <f>IF(INDEX('Raw Data'!$A11:$EA11,MATCH(DP$2,RawData[#Headers],))=""," ",INDEX('Raw Data'!$A11:$EA11,MATCH(DP$2,RawData[#Headers],)))</f>
        <v xml:space="preserve"> </v>
      </c>
      <c r="DQ11" s="255" t="str">
        <f t="shared" si="60"/>
        <v xml:space="preserve"> </v>
      </c>
      <c r="DR11" s="255" t="str">
        <f>IF(INDEX('Raw Data'!$A11:$EA11,MATCH(DR$2,RawData[#Headers],))=""," ",INDEX('Raw Data'!$A11:$EA11,MATCH(DR$2,RawData[#Headers],)))</f>
        <v xml:space="preserve"> </v>
      </c>
      <c r="DS11" s="255" t="str">
        <f t="shared" si="61"/>
        <v xml:space="preserve"> </v>
      </c>
      <c r="DT11" s="255" t="str">
        <f>IF(INDEX('Raw Data'!$A11:$EA11,MATCH(DT$2,RawData[#Headers],))=""," ",INDEX('Raw Data'!$A11:$EA11,MATCH(DT$2,RawData[#Headers],)))</f>
        <v xml:space="preserve"> </v>
      </c>
      <c r="DU11" s="255" t="str">
        <f t="shared" si="62"/>
        <v xml:space="preserve"> </v>
      </c>
      <c r="DV11" s="255" t="str">
        <f>IF(INDEX('Raw Data'!$A11:$EA11,MATCH(DV$2,RawData[#Headers],))=""," ",INDEX('Raw Data'!$A11:$EA11,MATCH(DV$2,RawData[#Headers],)))</f>
        <v xml:space="preserve"> </v>
      </c>
      <c r="DW11" s="255" t="str">
        <f t="shared" si="63"/>
        <v xml:space="preserve"> </v>
      </c>
      <c r="DX11" s="255" t="str">
        <f>IF(INDEX('Raw Data'!$A11:$EA11,MATCH(DX$2,RawData[#Headers],))=""," ",INDEX('Raw Data'!$A11:$EA11,MATCH(DX$2,RawData[#Headers],)))</f>
        <v xml:space="preserve"> </v>
      </c>
      <c r="DY11" s="255" t="str">
        <f t="shared" si="64"/>
        <v xml:space="preserve"> </v>
      </c>
      <c r="DZ11" s="255" t="str">
        <f>IF(INDEX('Raw Data'!$A11:$EA11,MATCH(DZ$2,RawData[#Headers],))=""," ",INDEX('Raw Data'!$A11:$EA11,MATCH(DZ$2,RawData[#Headers],)))</f>
        <v xml:space="preserve"> </v>
      </c>
      <c r="EA11" s="255" t="str">
        <f t="shared" si="65"/>
        <v xml:space="preserve"> </v>
      </c>
      <c r="EB11" s="255" t="str">
        <f>IF(INDEX('Raw Data'!$A11:$EA11,MATCH(EB$2,RawData[#Headers],))=""," ",INDEX('Raw Data'!$A11:$EA11,MATCH(EB$2,RawData[#Headers],)))</f>
        <v xml:space="preserve"> </v>
      </c>
      <c r="EC11" s="255" t="str">
        <f t="shared" si="66"/>
        <v xml:space="preserve"> </v>
      </c>
      <c r="ED11" s="255" t="str">
        <f>IF(INDEX('Raw Data'!$A11:$EA11,MATCH(ED$2,RawData[#Headers],))=""," ",INDEX('Raw Data'!$A11:$EA11,MATCH(ED$2,RawData[#Headers],)))</f>
        <v xml:space="preserve"> </v>
      </c>
      <c r="EE11" s="255" t="str">
        <f t="shared" si="67"/>
        <v xml:space="preserve"> </v>
      </c>
      <c r="EF11" s="255" t="str">
        <f>IF(INDEX('Raw Data'!$A11:$EA11,MATCH(EF$2,RawData[#Headers],))=""," ",INDEX('Raw Data'!$A11:$EA11,MATCH(EF$2,RawData[#Headers],)))</f>
        <v xml:space="preserve"> </v>
      </c>
      <c r="EG11" s="255" t="str">
        <f t="shared" si="68"/>
        <v xml:space="preserve"> </v>
      </c>
      <c r="EH11" s="255" t="str">
        <f>IF(INDEX('Raw Data'!$A11:$EA11,MATCH(EH$2,RawData[#Headers],))=""," ",INDEX('Raw Data'!$A11:$EA11,MATCH(EH$2,RawData[#Headers],)))</f>
        <v xml:space="preserve"> </v>
      </c>
      <c r="EI11" s="255" t="str">
        <f t="shared" si="69"/>
        <v xml:space="preserve"> </v>
      </c>
      <c r="EJ11" s="255" t="str">
        <f>IF(INDEX('Raw Data'!$A11:$EA11,MATCH(EJ$2,RawData[#Headers],))=""," ",INDEX('Raw Data'!$A11:$EA11,MATCH(EJ$2,RawData[#Headers],)))</f>
        <v xml:space="preserve"> </v>
      </c>
      <c r="EK11" s="255" t="str">
        <f t="shared" si="70"/>
        <v xml:space="preserve"> </v>
      </c>
      <c r="EL11" s="255" t="str">
        <f>IF(INDEX('Raw Data'!$A11:$EA11,MATCH(EL$2,RawData[#Headers],))=""," ",INDEX('Raw Data'!$A11:$EA11,MATCH(EL$2,RawData[#Headers],)))</f>
        <v xml:space="preserve"> </v>
      </c>
      <c r="EM11" s="255" t="str">
        <f t="shared" si="71"/>
        <v xml:space="preserve"> </v>
      </c>
      <c r="EN11" s="255" t="str">
        <f>IF(INDEX('Raw Data'!$A11:$EA11,MATCH(EN$2,RawData[#Headers],))=""," ",INDEX('Raw Data'!$A11:$EA11,MATCH(EN$2,RawData[#Headers],)))</f>
        <v xml:space="preserve"> </v>
      </c>
      <c r="EO11" s="255" t="str">
        <f t="shared" si="72"/>
        <v xml:space="preserve"> </v>
      </c>
      <c r="EP11" s="255" t="str">
        <f>IF(INDEX('Raw Data'!$A11:$EA11,MATCH(EP$2,RawData[#Headers],))=""," ",INDEX('Raw Data'!$A11:$EA11,MATCH(EP$2,RawData[#Headers],)))</f>
        <v xml:space="preserve"> </v>
      </c>
      <c r="EQ11" s="255" t="str">
        <f t="shared" si="73"/>
        <v xml:space="preserve"> </v>
      </c>
      <c r="ER11" s="255" t="str">
        <f>IF(INDEX('Raw Data'!$A11:$EA11,MATCH(ER$2,RawData[#Headers],))=""," ",INDEX('Raw Data'!$A11:$EA11,MATCH(ER$2,RawData[#Headers],)))</f>
        <v xml:space="preserve"> </v>
      </c>
      <c r="ES11" s="255" t="str">
        <f t="shared" si="2"/>
        <v xml:space="preserve"> </v>
      </c>
      <c r="ET11" s="255" t="str">
        <f>IF(INDEX('Raw Data'!$A11:$EA11,MATCH(ET$2,RawData[#Headers],))=""," ",INDEX('Raw Data'!$A11:$EA11,MATCH(ET$2,RawData[#Headers],)))</f>
        <v xml:space="preserve"> </v>
      </c>
      <c r="EU11" s="255" t="str">
        <f t="shared" si="3"/>
        <v xml:space="preserve"> </v>
      </c>
      <c r="EV11" s="255" t="str">
        <f>IF(INDEX('Raw Data'!$A11:$EA11,MATCH(EV$2,RawData[#Headers],))=""," ",INDEX('Raw Data'!$A11:$EA11,MATCH(EV$2,RawData[#Headers],)))</f>
        <v xml:space="preserve"> </v>
      </c>
      <c r="EW11" s="255" t="str">
        <f t="shared" si="4"/>
        <v xml:space="preserve"> </v>
      </c>
      <c r="EX11" s="255" t="str">
        <f>IF(INDEX('Raw Data'!$A11:$EA11,MATCH(EX$2,RawData[#Headers],))=""," ",INDEX('Raw Data'!$A11:$EA11,MATCH(EX$2,RawData[#Headers],)))</f>
        <v xml:space="preserve"> </v>
      </c>
      <c r="EY11" s="255" t="str">
        <f t="shared" si="74"/>
        <v xml:space="preserve"> </v>
      </c>
      <c r="EZ11" s="276" t="str">
        <f>IF(INDEX('Raw Data'!$A11:$EA11,MATCH(EZ$2,RawData[#Headers],))=""," ",INDEX('Raw Data'!$A11:$EA11,MATCH(EZ$2,RawData[#Headers],)))</f>
        <v xml:space="preserve"> </v>
      </c>
      <c r="FA11" s="255" t="str">
        <f t="shared" si="75"/>
        <v xml:space="preserve"> </v>
      </c>
      <c r="FB11" s="255" t="str">
        <f>IF(INDEX('Raw Data'!$A11:$EA11,MATCH(FB$2,RawData[#Headers],))=""," ",INDEX('Raw Data'!$A11:$EA11,MATCH(FB$2,RawData[#Headers],)))</f>
        <v xml:space="preserve"> </v>
      </c>
    </row>
    <row r="12" spans="1:158" x14ac:dyDescent="0.3">
      <c r="A12" s="255">
        <f>RawData[[#This Row],[Num]]</f>
        <v>0</v>
      </c>
      <c r="B12" s="255" t="str">
        <f>IF(INDEX('Raw Data'!$A12:$EA12,MATCH(B$2,RawData[#Headers],))=""," ",INDEX('Raw Data'!$A12:$EA12,MATCH(B$2,RawData[#Headers],)))</f>
        <v xml:space="preserve"> </v>
      </c>
      <c r="C12" s="326" t="str">
        <f>IFERROR(STANDARDIZE(machina[[#This Row],[Career Strike Rate]],B$30,B$31)^2," ")</f>
        <v xml:space="preserve"> </v>
      </c>
      <c r="D12" s="255" t="str">
        <f>IF(INDEX('Raw Data'!$A12:$EA12,MATCH(D$2,RawData[#Headers],))=""," ",INDEX('Raw Data'!$A12:$EA12,MATCH(D$2,RawData[#Headers],)))</f>
        <v xml:space="preserve"> </v>
      </c>
      <c r="E12" s="326" t="str">
        <f>IFERROR(STANDARDIZE(machina[[#This Row],[Career ROI]],D$30,D$31)^2," ")</f>
        <v xml:space="preserve"> </v>
      </c>
      <c r="F12" s="255" t="str">
        <f>IF(INDEX('Raw Data'!$A12:$EA12,MATCH(F$2,RawData[#Headers],))=""," ",INDEX('Raw Data'!$A12:$EA12,MATCH(F$2,RawData[#Headers],)))</f>
        <v xml:space="preserve"> </v>
      </c>
      <c r="G12" s="255" t="str">
        <f t="shared" si="5"/>
        <v xml:space="preserve"> </v>
      </c>
      <c r="H12" s="255" t="str">
        <f>IF(INDEX('Raw Data'!$A12:$EA12,MATCH(H$2,RawData[#Headers],))=""," ",INDEX('Raw Data'!$A12:$EA12,MATCH(H$2,RawData[#Headers],)))</f>
        <v xml:space="preserve"> </v>
      </c>
      <c r="I12" s="255" t="str">
        <f t="shared" si="6"/>
        <v xml:space="preserve"> </v>
      </c>
      <c r="J12" s="255" t="str">
        <f>IF(INDEX('Raw Data'!$A12:$EA12,MATCH(J$2,RawData[#Headers],))=""," ",INDEX('Raw Data'!$A12:$EA12,MATCH(J$2,RawData[#Headers],)))</f>
        <v xml:space="preserve"> </v>
      </c>
      <c r="K12" s="255" t="str">
        <f t="shared" si="7"/>
        <v xml:space="preserve"> </v>
      </c>
      <c r="L12" s="255" t="str">
        <f>IF(INDEX('Raw Data'!$A12:$EA12,MATCH(L$2,RawData[#Headers],))=""," ",INDEX('Raw Data'!$A12:$EA12,MATCH(L$2,RawData[#Headers],)))</f>
        <v xml:space="preserve"> </v>
      </c>
      <c r="M12" s="255" t="str">
        <f t="shared" si="0"/>
        <v xml:space="preserve"> </v>
      </c>
      <c r="N12" s="255" t="str">
        <f>IF(INDEX('Raw Data'!$A12:$EA12,MATCH(N$2,RawData[#Headers],))=""," ",INDEX('Raw Data'!$A12:$EA12,MATCH(N$2,RawData[#Headers],)))</f>
        <v xml:space="preserve"> </v>
      </c>
      <c r="O12" s="255" t="str">
        <f t="shared" si="0"/>
        <v xml:space="preserve"> </v>
      </c>
      <c r="P12" s="255" t="str">
        <f>IF(INDEX('Raw Data'!$A12:$EA12,MATCH(P$2,RawData[#Headers],))=""," ",INDEX('Raw Data'!$A12:$EA12,MATCH(P$2,RawData[#Headers],)))</f>
        <v xml:space="preserve"> </v>
      </c>
      <c r="Q12" s="255" t="str">
        <f t="shared" ref="Q12" si="83">IF(ISERROR(IF(P12=""," ",RANK(P12,P$3:P$28,1)))," ",IF(P12=""," ",RANK(P12,P$3:P$28,1)))</f>
        <v xml:space="preserve"> </v>
      </c>
      <c r="R12" s="255" t="str">
        <f>IF(INDEX('Raw Data'!$A12:$EA12,MATCH(R$2,RawData[#Headers],))=""," ",INDEX('Raw Data'!$A12:$EA12,MATCH(R$2,RawData[#Headers],)))</f>
        <v xml:space="preserve"> </v>
      </c>
      <c r="S12" s="255" t="str">
        <f t="shared" si="9"/>
        <v xml:space="preserve"> </v>
      </c>
      <c r="T12" s="255" t="str">
        <f>IF(INDEX('Raw Data'!$A12:$EA12,MATCH(T$2,RawData[#Headers],))=""," ",INDEX('Raw Data'!$A12:$EA12,MATCH(T$2,RawData[#Headers],)))</f>
        <v xml:space="preserve"> </v>
      </c>
      <c r="U12" s="255" t="str">
        <f t="shared" si="10"/>
        <v xml:space="preserve"> </v>
      </c>
      <c r="V12" s="255" t="str">
        <f>IF(INDEX('Raw Data'!$A12:$EA12,MATCH(V$2,RawData[#Headers],))=""," ",INDEX('Raw Data'!$A12:$EA12,MATCH(V$2,RawData[#Headers],)))</f>
        <v xml:space="preserve"> </v>
      </c>
      <c r="W12" s="255" t="str">
        <f t="shared" si="11"/>
        <v xml:space="preserve"> </v>
      </c>
      <c r="X12" s="255" t="str">
        <f>IF(INDEX('Raw Data'!$A12:$EA12,MATCH(X$2,RawData[#Headers],))=""," ",INDEX('Raw Data'!$A12:$EA12,MATCH(X$2,RawData[#Headers],)))</f>
        <v xml:space="preserve"> </v>
      </c>
      <c r="Y12" s="255" t="str">
        <f t="shared" si="12"/>
        <v xml:space="preserve"> </v>
      </c>
      <c r="Z12" s="255" t="str">
        <f>IF(INDEX('Raw Data'!$A12:$EA12,MATCH(Z$2,RawData[#Headers],))=""," ",INDEX('Raw Data'!$A12:$EA12,MATCH(Z$2,RawData[#Headers],)))</f>
        <v xml:space="preserve"> </v>
      </c>
      <c r="AA12" s="255" t="str">
        <f t="shared" si="13"/>
        <v xml:space="preserve"> </v>
      </c>
      <c r="AB12" s="255" t="str">
        <f>IF(INDEX('Raw Data'!$A12:$EA12,MATCH(AB$2,RawData[#Headers],))=""," ",INDEX('Raw Data'!$A12:$EA12,MATCH(AB$2,RawData[#Headers],)))</f>
        <v xml:space="preserve"> </v>
      </c>
      <c r="AC12" s="255" t="str">
        <f t="shared" si="14"/>
        <v xml:space="preserve"> </v>
      </c>
      <c r="AD12" s="255" t="str">
        <f>IF(INDEX('Raw Data'!$A12:$EA12,MATCH(AD$2,RawData[#Headers],))=""," ",INDEX('Raw Data'!$A12:$EA12,MATCH(AD$2,RawData[#Headers],)))</f>
        <v xml:space="preserve"> </v>
      </c>
      <c r="AE12" s="255" t="str">
        <f t="shared" si="15"/>
        <v xml:space="preserve"> </v>
      </c>
      <c r="AF12" s="255" t="str">
        <f>IF(INDEX('Raw Data'!$A12:$EA12,MATCH(AF$2,RawData[#Headers],))=""," ",INDEX('Raw Data'!$A12:$EA12,MATCH(AF$2,RawData[#Headers],)))</f>
        <v xml:space="preserve"> </v>
      </c>
      <c r="AG12" s="255" t="str">
        <f t="shared" si="16"/>
        <v xml:space="preserve"> </v>
      </c>
      <c r="AH12" s="255" t="str">
        <f>IF(INDEX('Raw Data'!$A12:$EA12,MATCH(AH$2,RawData[#Headers],))=""," ",INDEX('Raw Data'!$A12:$EA12,MATCH(AH$2,RawData[#Headers],)))</f>
        <v xml:space="preserve"> </v>
      </c>
      <c r="AI12" s="255" t="str">
        <f t="shared" si="17"/>
        <v xml:space="preserve"> </v>
      </c>
      <c r="AJ12" s="255" t="str">
        <f>IF(INDEX('Raw Data'!$A12:$EA12,MATCH(AJ$2,RawData[#Headers],))=""," ",INDEX('Raw Data'!$A12:$EA12,MATCH(AJ$2,RawData[#Headers],)))</f>
        <v xml:space="preserve"> </v>
      </c>
      <c r="AK12" s="255" t="str">
        <f t="shared" si="18"/>
        <v xml:space="preserve"> </v>
      </c>
      <c r="AL12" s="255" t="str">
        <f>IF(INDEX('Raw Data'!$A12:$EA12,MATCH(AL$2,RawData[#Headers],))=""," ",INDEX('Raw Data'!$A12:$EA12,MATCH(AL$2,RawData[#Headers],)))</f>
        <v xml:space="preserve"> </v>
      </c>
      <c r="AM12" s="255" t="str">
        <f t="shared" si="19"/>
        <v xml:space="preserve"> </v>
      </c>
      <c r="AN12" s="255" t="str">
        <f>IF(INDEX('Raw Data'!$A12:$EA12,MATCH(AN$2,RawData[#Headers],))=""," ",INDEX('Raw Data'!$A12:$EA12,MATCH(AN$2,RawData[#Headers],)))</f>
        <v xml:space="preserve"> </v>
      </c>
      <c r="AO12" s="255" t="str">
        <f t="shared" si="20"/>
        <v xml:space="preserve"> </v>
      </c>
      <c r="AP12" s="255" t="str">
        <f>IF(INDEX('Raw Data'!$A12:$EA12,MATCH(AP$2,RawData[#Headers],))=""," ",INDEX('Raw Data'!$A12:$EA12,MATCH(AP$2,RawData[#Headers],)))</f>
        <v xml:space="preserve"> </v>
      </c>
      <c r="AQ12" s="255" t="str">
        <f t="shared" si="21"/>
        <v xml:space="preserve"> </v>
      </c>
      <c r="AR12" s="255" t="str">
        <f>IF(INDEX('Raw Data'!$A12:$EA12,MATCH(AR$2,RawData[#Headers],))=""," ",INDEX('Raw Data'!$A12:$EA12,MATCH(AR$2,RawData[#Headers],)))</f>
        <v xml:space="preserve"> </v>
      </c>
      <c r="AS12" s="255" t="str">
        <f t="shared" si="22"/>
        <v xml:space="preserve"> </v>
      </c>
      <c r="AT12" s="255" t="str">
        <f>IF(INDEX('Raw Data'!$A12:$EA12,MATCH(AT$2,RawData[#Headers],))=""," ",INDEX('Raw Data'!$A12:$EA12,MATCH(AT$2,RawData[#Headers],)))</f>
        <v xml:space="preserve"> </v>
      </c>
      <c r="AU12" s="255" t="str">
        <f t="shared" si="23"/>
        <v xml:space="preserve"> </v>
      </c>
      <c r="AV12" s="255" t="str">
        <f>IF(INDEX('Raw Data'!$A12:$EA12,MATCH(AV$2,RawData[#Headers],))=""," ",INDEX('Raw Data'!$A12:$EA12,MATCH(AV$2,RawData[#Headers],)))</f>
        <v xml:space="preserve"> </v>
      </c>
      <c r="AW12" s="255" t="str">
        <f t="shared" si="24"/>
        <v xml:space="preserve"> </v>
      </c>
      <c r="AX12" s="255" t="str">
        <f>IF(INDEX('Raw Data'!$A12:$EA12,MATCH(AX$2,RawData[#Headers],))=""," ",INDEX('Raw Data'!$A12:$EA12,MATCH(AX$2,RawData[#Headers],)))</f>
        <v xml:space="preserve"> </v>
      </c>
      <c r="AY12" s="255" t="str">
        <f t="shared" si="25"/>
        <v xml:space="preserve"> </v>
      </c>
      <c r="AZ12" s="255" t="str">
        <f>IF(INDEX('Raw Data'!$A12:$EA12,MATCH(AZ$2,RawData[#Headers],))=""," ",INDEX('Raw Data'!$A12:$EA12,MATCH(AZ$2,RawData[#Headers],)))</f>
        <v xml:space="preserve"> </v>
      </c>
      <c r="BA12" s="255" t="str">
        <f t="shared" si="26"/>
        <v xml:space="preserve"> </v>
      </c>
      <c r="BB12" s="255" t="str">
        <f>IF(INDEX('Raw Data'!$A12:$EA12,MATCH(BB$2,RawData[#Headers],))=""," ",INDEX('Raw Data'!$A12:$EA12,MATCH(BB$2,RawData[#Headers],)))</f>
        <v xml:space="preserve"> </v>
      </c>
      <c r="BC12" s="255" t="str">
        <f t="shared" si="27"/>
        <v xml:space="preserve"> </v>
      </c>
      <c r="BD12" s="255" t="str">
        <f>IF(INDEX('Raw Data'!$A12:$EA12,MATCH(BD$2,RawData[#Headers],))=""," ",INDEX('Raw Data'!$A12:$EA12,MATCH(BD$2,RawData[#Headers],)))</f>
        <v xml:space="preserve"> </v>
      </c>
      <c r="BE12" s="255" t="str">
        <f t="shared" si="28"/>
        <v xml:space="preserve"> </v>
      </c>
      <c r="BF12" s="255" t="str">
        <f>IF(INDEX('Raw Data'!$A12:$EA12,MATCH(BF$2,RawData[#Headers],))=""," ",INDEX('Raw Data'!$A12:$EA12,MATCH(BF$2,RawData[#Headers],)))</f>
        <v xml:space="preserve"> </v>
      </c>
      <c r="BG12" s="255" t="str">
        <f t="shared" si="29"/>
        <v xml:space="preserve"> </v>
      </c>
      <c r="BH12" s="255" t="str">
        <f>IF(INDEX('Raw Data'!$A12:$EA12,MATCH(BH$2,RawData[#Headers],))=""," ",INDEX('Raw Data'!$A12:$EA12,MATCH(BH$2,RawData[#Headers],)))</f>
        <v xml:space="preserve"> </v>
      </c>
      <c r="BI12" s="255" t="str">
        <f t="shared" si="30"/>
        <v xml:space="preserve"> </v>
      </c>
      <c r="BJ12" s="255" t="str">
        <f>IF(INDEX('Raw Data'!$A12:$EA12,MATCH(BJ$2,RawData[#Headers],))=""," ",INDEX('Raw Data'!$A12:$EA12,MATCH(BJ$2,RawData[#Headers],)))</f>
        <v xml:space="preserve"> </v>
      </c>
      <c r="BK12" s="255" t="str">
        <f t="shared" si="31"/>
        <v xml:space="preserve"> </v>
      </c>
      <c r="BL12" s="255" t="str">
        <f>IF(INDEX('Raw Data'!$A12:$EA12,MATCH(BL$2,RawData[#Headers],))=""," ",INDEX('Raw Data'!$A12:$EA12,MATCH(BL$2,RawData[#Headers],)))</f>
        <v xml:space="preserve"> </v>
      </c>
      <c r="BM12" s="255" t="str">
        <f t="shared" si="32"/>
        <v xml:space="preserve"> </v>
      </c>
      <c r="BN12" s="255" t="str">
        <f>IF(INDEX('Raw Data'!$A12:$EA12,MATCH(BN$2,RawData[#Headers],))=""," ",INDEX('Raw Data'!$A12:$EA12,MATCH(BN$2,RawData[#Headers],)))</f>
        <v xml:space="preserve"> </v>
      </c>
      <c r="BO12" s="255" t="str">
        <f t="shared" si="33"/>
        <v xml:space="preserve"> </v>
      </c>
      <c r="BP12" s="255" t="str">
        <f>IF(INDEX('Raw Data'!$A12:$EA12,MATCH(BP$2,RawData[#Headers],))=""," ",INDEX('Raw Data'!$A12:$EA12,MATCH(BP$2,RawData[#Headers],)))</f>
        <v xml:space="preserve"> </v>
      </c>
      <c r="BQ12" s="255" t="str">
        <f t="shared" si="34"/>
        <v xml:space="preserve"> </v>
      </c>
      <c r="BR12" s="255" t="str">
        <f>IF(INDEX('Raw Data'!$A12:$EA12,MATCH(BR$2,RawData[#Headers],))=""," ",INDEX('Raw Data'!$A12:$EA12,MATCH(BR$2,RawData[#Headers],)))</f>
        <v xml:space="preserve"> </v>
      </c>
      <c r="BS12" s="255" t="str">
        <f t="shared" si="35"/>
        <v xml:space="preserve"> </v>
      </c>
      <c r="BT12" s="255" t="str">
        <f>IF(INDEX('Raw Data'!$A12:$EA12,MATCH(BT$2,RawData[#Headers],))=""," ",INDEX('Raw Data'!$A12:$EA12,MATCH(BT$2,RawData[#Headers],)))</f>
        <v xml:space="preserve"> </v>
      </c>
      <c r="BU12" s="255" t="str">
        <f t="shared" si="36"/>
        <v xml:space="preserve"> </v>
      </c>
      <c r="BV12" s="255" t="str">
        <f>IF(INDEX('Raw Data'!$A12:$EA12,MATCH(BV$2,RawData[#Headers],))=""," ",INDEX('Raw Data'!$A12:$EA12,MATCH(BV$2,RawData[#Headers],)))</f>
        <v xml:space="preserve"> </v>
      </c>
      <c r="BW12" s="255" t="str">
        <f t="shared" si="37"/>
        <v xml:space="preserve"> </v>
      </c>
      <c r="BX12" s="255" t="str">
        <f>IF(INDEX('Raw Data'!$A12:$EA12,MATCH(BX$2,RawData[#Headers],))=""," ",INDEX('Raw Data'!$A12:$EA12,MATCH(BX$2,RawData[#Headers],)))</f>
        <v xml:space="preserve"> </v>
      </c>
      <c r="BY12" s="255" t="str">
        <f t="shared" si="38"/>
        <v xml:space="preserve"> </v>
      </c>
      <c r="BZ12" s="255" t="str">
        <f>IF(INDEX('Raw Data'!$A12:$EA12,MATCH(BZ$2,RawData[#Headers],))=""," ",INDEX('Raw Data'!$A12:$EA12,MATCH(BZ$2,RawData[#Headers],)))</f>
        <v xml:space="preserve"> </v>
      </c>
      <c r="CA12" s="255" t="str">
        <f t="shared" si="39"/>
        <v xml:space="preserve"> </v>
      </c>
      <c r="CB12" s="255" t="str">
        <f>IF(INDEX('Raw Data'!$A12:$EA12,MATCH(CB$2,RawData[#Headers],))=""," ",INDEX('Raw Data'!$A12:$EA12,MATCH(CB$2,RawData[#Headers],)))</f>
        <v xml:space="preserve"> </v>
      </c>
      <c r="CC12" s="255" t="str">
        <f t="shared" si="40"/>
        <v xml:space="preserve"> </v>
      </c>
      <c r="CD12" s="255" t="str">
        <f>IF(INDEX('Raw Data'!$A12:$EA12,MATCH(CD$2,RawData[#Headers],))=""," ",INDEX('Raw Data'!$A12:$EA12,MATCH(CD$2,RawData[#Headers],)))</f>
        <v xml:space="preserve"> </v>
      </c>
      <c r="CE12" s="255" t="str">
        <f t="shared" si="41"/>
        <v xml:space="preserve"> </v>
      </c>
      <c r="CF12" s="255" t="str">
        <f>IF(INDEX('Raw Data'!$A12:$EA12,MATCH(CF$2,RawData[#Headers],))=""," ",INDEX('Raw Data'!$A12:$EA12,MATCH(CF$2,RawData[#Headers],)))</f>
        <v xml:space="preserve"> </v>
      </c>
      <c r="CG12" s="255" t="str">
        <f t="shared" si="42"/>
        <v xml:space="preserve"> </v>
      </c>
      <c r="CH12" s="255" t="str">
        <f>IF(INDEX('Raw Data'!$A12:$EA12,MATCH(CH$2,RawData[#Headers],))=""," ",INDEX('Raw Data'!$A12:$EA12,MATCH(CH$2,RawData[#Headers],)))</f>
        <v xml:space="preserve"> </v>
      </c>
      <c r="CI12" s="255" t="str">
        <f t="shared" si="43"/>
        <v xml:space="preserve"> </v>
      </c>
      <c r="CJ12" s="255" t="str">
        <f>IF(INDEX('Raw Data'!$A12:$EA12,MATCH(CJ$2,RawData[#Headers],))=""," ",INDEX('Raw Data'!$A12:$EA12,MATCH(CJ$2,RawData[#Headers],)))</f>
        <v xml:space="preserve"> </v>
      </c>
      <c r="CK12" s="255" t="str">
        <f t="shared" si="44"/>
        <v xml:space="preserve"> </v>
      </c>
      <c r="CL12" s="255" t="str">
        <f>IF(INDEX('Raw Data'!$A12:$EA12,MATCH(CL$2,RawData[#Headers],))=""," ",INDEX('Raw Data'!$A12:$EA12,MATCH(CL$2,RawData[#Headers],)))</f>
        <v xml:space="preserve"> </v>
      </c>
      <c r="CM12" s="255" t="str">
        <f t="shared" si="45"/>
        <v xml:space="preserve"> </v>
      </c>
      <c r="CN12" s="255" t="str">
        <f>IF(INDEX('Raw Data'!$A12:$EA12,MATCH(CN$2,RawData[#Headers],))=""," ",INDEX('Raw Data'!$A12:$EA12,MATCH(CN$2,RawData[#Headers],)))</f>
        <v xml:space="preserve"> </v>
      </c>
      <c r="CO12" s="255" t="str">
        <f t="shared" si="46"/>
        <v xml:space="preserve"> </v>
      </c>
      <c r="CP12" s="255" t="str">
        <f>IF(INDEX('Raw Data'!$A12:$EA12,MATCH(CP$2,RawData[#Headers],))=""," ",INDEX('Raw Data'!$A12:$EA12,MATCH(CP$2,RawData[#Headers],)))</f>
        <v xml:space="preserve"> </v>
      </c>
      <c r="CQ12" s="255" t="str">
        <f t="shared" si="47"/>
        <v xml:space="preserve"> </v>
      </c>
      <c r="CR12" s="255" t="str">
        <f>IF(INDEX('Raw Data'!$A12:$EA12,MATCH(CR$2,RawData[#Headers],))=""," ",INDEX('Raw Data'!$A12:$EA12,MATCH(CR$2,RawData[#Headers],)))</f>
        <v xml:space="preserve"> </v>
      </c>
      <c r="CS12" s="255" t="str">
        <f t="shared" si="48"/>
        <v xml:space="preserve"> </v>
      </c>
      <c r="CT12" s="255" t="str">
        <f>IF(INDEX('Raw Data'!$A12:$EA12,MATCH(CT$2,RawData[#Headers],))=""," ",INDEX('Raw Data'!$A12:$EA12,MATCH(CT$2,RawData[#Headers],)))</f>
        <v xml:space="preserve"> </v>
      </c>
      <c r="CU12" s="255" t="str">
        <f t="shared" si="49"/>
        <v xml:space="preserve"> </v>
      </c>
      <c r="CV12" s="255" t="str">
        <f>IF(INDEX('Raw Data'!$A12:$EA12,MATCH(CV$2,RawData[#Headers],))=""," ",INDEX('Raw Data'!$A12:$EA12,MATCH(CV$2,RawData[#Headers],)))</f>
        <v xml:space="preserve"> </v>
      </c>
      <c r="CW12" s="255" t="str">
        <f t="shared" si="50"/>
        <v xml:space="preserve"> </v>
      </c>
      <c r="CX12" s="255" t="str">
        <f>IF(INDEX('Raw Data'!$A12:$EA12,MATCH(CX$2,RawData[#Headers],))=""," ",INDEX('Raw Data'!$A12:$EA12,MATCH(CX$2,RawData[#Headers],)))</f>
        <v xml:space="preserve"> </v>
      </c>
      <c r="CY12" s="255" t="str">
        <f t="shared" si="51"/>
        <v xml:space="preserve"> </v>
      </c>
      <c r="CZ12" s="255" t="str">
        <f>IF(INDEX('Raw Data'!$A12:$EA12,MATCH(CZ$2,RawData[#Headers],))=""," ",INDEX('Raw Data'!$A12:$EA12,MATCH(CZ$2,RawData[#Headers],)))</f>
        <v xml:space="preserve"> </v>
      </c>
      <c r="DA12" s="255" t="str">
        <f t="shared" si="52"/>
        <v xml:space="preserve"> </v>
      </c>
      <c r="DB12" s="255" t="str">
        <f>IF(INDEX('Raw Data'!$A12:$EA12,MATCH(DB$2,RawData[#Headers],))=""," ",INDEX('Raw Data'!$A12:$EA12,MATCH(DB$2,RawData[#Headers],)))</f>
        <v xml:space="preserve"> </v>
      </c>
      <c r="DC12" s="255" t="str">
        <f t="shared" si="53"/>
        <v xml:space="preserve"> </v>
      </c>
      <c r="DD12" s="255" t="str">
        <f>IF(INDEX('Raw Data'!$A12:$EA12,MATCH(DD$2,RawData[#Headers],))=""," ",INDEX('Raw Data'!$A12:$EA12,MATCH(DD$2,RawData[#Headers],)))</f>
        <v xml:space="preserve"> </v>
      </c>
      <c r="DE12" s="255" t="str">
        <f t="shared" si="54"/>
        <v xml:space="preserve"> </v>
      </c>
      <c r="DF12" s="255" t="str">
        <f>IF(INDEX('Raw Data'!$A12:$EA12,MATCH(DF$2,RawData[#Headers],))=""," ",INDEX('Raw Data'!$A12:$EA12,MATCH(DF$2,RawData[#Headers],)))</f>
        <v xml:space="preserve"> </v>
      </c>
      <c r="DG12" s="255" t="str">
        <f t="shared" si="55"/>
        <v xml:space="preserve"> </v>
      </c>
      <c r="DH12" s="255" t="str">
        <f>IF(INDEX('Raw Data'!$A12:$EA12,MATCH(DH$2,RawData[#Headers],))=""," ",INDEX('Raw Data'!$A12:$EA12,MATCH(DH$2,RawData[#Headers],)))</f>
        <v xml:space="preserve"> </v>
      </c>
      <c r="DI12" s="255" t="str">
        <f t="shared" si="56"/>
        <v xml:space="preserve"> </v>
      </c>
      <c r="DJ12" s="255" t="str">
        <f>IF(INDEX('Raw Data'!$A12:$EA12,MATCH(DJ$2,RawData[#Headers],))=""," ",INDEX('Raw Data'!$A12:$EA12,MATCH(DJ$2,RawData[#Headers],)))</f>
        <v xml:space="preserve"> </v>
      </c>
      <c r="DK12" s="255" t="str">
        <f t="shared" si="57"/>
        <v xml:space="preserve"> </v>
      </c>
      <c r="DL12" s="255" t="str">
        <f>IF(INDEX('Raw Data'!$A12:$EA12,MATCH(DL$2,RawData[#Headers],))=""," ",INDEX('Raw Data'!$A12:$EA12,MATCH(DL$2,RawData[#Headers],)))</f>
        <v xml:space="preserve"> </v>
      </c>
      <c r="DM12" s="255" t="str">
        <f t="shared" si="58"/>
        <v xml:space="preserve"> </v>
      </c>
      <c r="DN12" s="255" t="str">
        <f>IF(INDEX('Raw Data'!$A12:$EA12,MATCH(DN$2,RawData[#Headers],))=""," ",INDEX('Raw Data'!$A12:$EA12,MATCH(DN$2,RawData[#Headers],)))</f>
        <v xml:space="preserve"> </v>
      </c>
      <c r="DO12" s="255" t="str">
        <f t="shared" si="59"/>
        <v xml:space="preserve"> </v>
      </c>
      <c r="DP12" s="255" t="str">
        <f>IF(INDEX('Raw Data'!$A12:$EA12,MATCH(DP$2,RawData[#Headers],))=""," ",INDEX('Raw Data'!$A12:$EA12,MATCH(DP$2,RawData[#Headers],)))</f>
        <v xml:space="preserve"> </v>
      </c>
      <c r="DQ12" s="255" t="str">
        <f t="shared" si="60"/>
        <v xml:space="preserve"> </v>
      </c>
      <c r="DR12" s="255" t="str">
        <f>IF(INDEX('Raw Data'!$A12:$EA12,MATCH(DR$2,RawData[#Headers],))=""," ",INDEX('Raw Data'!$A12:$EA12,MATCH(DR$2,RawData[#Headers],)))</f>
        <v xml:space="preserve"> </v>
      </c>
      <c r="DS12" s="255" t="str">
        <f t="shared" si="61"/>
        <v xml:space="preserve"> </v>
      </c>
      <c r="DT12" s="255" t="str">
        <f>IF(INDEX('Raw Data'!$A12:$EA12,MATCH(DT$2,RawData[#Headers],))=""," ",INDEX('Raw Data'!$A12:$EA12,MATCH(DT$2,RawData[#Headers],)))</f>
        <v xml:space="preserve"> </v>
      </c>
      <c r="DU12" s="255" t="str">
        <f t="shared" si="62"/>
        <v xml:space="preserve"> </v>
      </c>
      <c r="DV12" s="255" t="str">
        <f>IF(INDEX('Raw Data'!$A12:$EA12,MATCH(DV$2,RawData[#Headers],))=""," ",INDEX('Raw Data'!$A12:$EA12,MATCH(DV$2,RawData[#Headers],)))</f>
        <v xml:space="preserve"> </v>
      </c>
      <c r="DW12" s="255" t="str">
        <f t="shared" si="63"/>
        <v xml:space="preserve"> </v>
      </c>
      <c r="DX12" s="255" t="str">
        <f>IF(INDEX('Raw Data'!$A12:$EA12,MATCH(DX$2,RawData[#Headers],))=""," ",INDEX('Raw Data'!$A12:$EA12,MATCH(DX$2,RawData[#Headers],)))</f>
        <v xml:space="preserve"> </v>
      </c>
      <c r="DY12" s="255" t="str">
        <f t="shared" si="64"/>
        <v xml:space="preserve"> </v>
      </c>
      <c r="DZ12" s="255" t="str">
        <f>IF(INDEX('Raw Data'!$A12:$EA12,MATCH(DZ$2,RawData[#Headers],))=""," ",INDEX('Raw Data'!$A12:$EA12,MATCH(DZ$2,RawData[#Headers],)))</f>
        <v xml:space="preserve"> </v>
      </c>
      <c r="EA12" s="255" t="str">
        <f t="shared" si="65"/>
        <v xml:space="preserve"> </v>
      </c>
      <c r="EB12" s="255" t="str">
        <f>IF(INDEX('Raw Data'!$A12:$EA12,MATCH(EB$2,RawData[#Headers],))=""," ",INDEX('Raw Data'!$A12:$EA12,MATCH(EB$2,RawData[#Headers],)))</f>
        <v xml:space="preserve"> </v>
      </c>
      <c r="EC12" s="255" t="str">
        <f t="shared" si="66"/>
        <v xml:space="preserve"> </v>
      </c>
      <c r="ED12" s="255" t="str">
        <f>IF(INDEX('Raw Data'!$A12:$EA12,MATCH(ED$2,RawData[#Headers],))=""," ",INDEX('Raw Data'!$A12:$EA12,MATCH(ED$2,RawData[#Headers],)))</f>
        <v xml:space="preserve"> </v>
      </c>
      <c r="EE12" s="255" t="str">
        <f t="shared" si="67"/>
        <v xml:space="preserve"> </v>
      </c>
      <c r="EF12" s="255" t="str">
        <f>IF(INDEX('Raw Data'!$A12:$EA12,MATCH(EF$2,RawData[#Headers],))=""," ",INDEX('Raw Data'!$A12:$EA12,MATCH(EF$2,RawData[#Headers],)))</f>
        <v xml:space="preserve"> </v>
      </c>
      <c r="EG12" s="255" t="str">
        <f t="shared" si="68"/>
        <v xml:space="preserve"> </v>
      </c>
      <c r="EH12" s="255" t="str">
        <f>IF(INDEX('Raw Data'!$A12:$EA12,MATCH(EH$2,RawData[#Headers],))=""," ",INDEX('Raw Data'!$A12:$EA12,MATCH(EH$2,RawData[#Headers],)))</f>
        <v xml:space="preserve"> </v>
      </c>
      <c r="EI12" s="255" t="str">
        <f t="shared" si="69"/>
        <v xml:space="preserve"> </v>
      </c>
      <c r="EJ12" s="255" t="str">
        <f>IF(INDEX('Raw Data'!$A12:$EA12,MATCH(EJ$2,RawData[#Headers],))=""," ",INDEX('Raw Data'!$A12:$EA12,MATCH(EJ$2,RawData[#Headers],)))</f>
        <v xml:space="preserve"> </v>
      </c>
      <c r="EK12" s="255" t="str">
        <f t="shared" si="70"/>
        <v xml:space="preserve"> </v>
      </c>
      <c r="EL12" s="255" t="str">
        <f>IF(INDEX('Raw Data'!$A12:$EA12,MATCH(EL$2,RawData[#Headers],))=""," ",INDEX('Raw Data'!$A12:$EA12,MATCH(EL$2,RawData[#Headers],)))</f>
        <v xml:space="preserve"> </v>
      </c>
      <c r="EM12" s="255" t="str">
        <f t="shared" si="71"/>
        <v xml:space="preserve"> </v>
      </c>
      <c r="EN12" s="255" t="str">
        <f>IF(INDEX('Raw Data'!$A12:$EA12,MATCH(EN$2,RawData[#Headers],))=""," ",INDEX('Raw Data'!$A12:$EA12,MATCH(EN$2,RawData[#Headers],)))</f>
        <v xml:space="preserve"> </v>
      </c>
      <c r="EO12" s="255" t="str">
        <f t="shared" si="72"/>
        <v xml:space="preserve"> </v>
      </c>
      <c r="EP12" s="255" t="str">
        <f>IF(INDEX('Raw Data'!$A12:$EA12,MATCH(EP$2,RawData[#Headers],))=""," ",INDEX('Raw Data'!$A12:$EA12,MATCH(EP$2,RawData[#Headers],)))</f>
        <v xml:space="preserve"> </v>
      </c>
      <c r="EQ12" s="255" t="str">
        <f t="shared" si="73"/>
        <v xml:space="preserve"> </v>
      </c>
      <c r="ER12" s="255" t="str">
        <f>IF(INDEX('Raw Data'!$A12:$EA12,MATCH(ER$2,RawData[#Headers],))=""," ",INDEX('Raw Data'!$A12:$EA12,MATCH(ER$2,RawData[#Headers],)))</f>
        <v xml:space="preserve"> </v>
      </c>
      <c r="ES12" s="255" t="str">
        <f t="shared" si="2"/>
        <v xml:space="preserve"> </v>
      </c>
      <c r="ET12" s="255" t="str">
        <f>IF(INDEX('Raw Data'!$A12:$EA12,MATCH(ET$2,RawData[#Headers],))=""," ",INDEX('Raw Data'!$A12:$EA12,MATCH(ET$2,RawData[#Headers],)))</f>
        <v xml:space="preserve"> </v>
      </c>
      <c r="EU12" s="255" t="str">
        <f t="shared" si="3"/>
        <v xml:space="preserve"> </v>
      </c>
      <c r="EV12" s="255" t="str">
        <f>IF(INDEX('Raw Data'!$A12:$EA12,MATCH(EV$2,RawData[#Headers],))=""," ",INDEX('Raw Data'!$A12:$EA12,MATCH(EV$2,RawData[#Headers],)))</f>
        <v xml:space="preserve"> </v>
      </c>
      <c r="EW12" s="255" t="str">
        <f t="shared" si="4"/>
        <v xml:space="preserve"> </v>
      </c>
      <c r="EX12" s="255" t="str">
        <f>IF(INDEX('Raw Data'!$A12:$EA12,MATCH(EX$2,RawData[#Headers],))=""," ",INDEX('Raw Data'!$A12:$EA12,MATCH(EX$2,RawData[#Headers],)))</f>
        <v xml:space="preserve"> </v>
      </c>
      <c r="EY12" s="255" t="str">
        <f t="shared" si="74"/>
        <v xml:space="preserve"> </v>
      </c>
      <c r="EZ12" s="276" t="str">
        <f>IF(INDEX('Raw Data'!$A12:$EA12,MATCH(EZ$2,RawData[#Headers],))=""," ",INDEX('Raw Data'!$A12:$EA12,MATCH(EZ$2,RawData[#Headers],)))</f>
        <v xml:space="preserve"> </v>
      </c>
      <c r="FA12" s="255" t="str">
        <f t="shared" si="75"/>
        <v xml:space="preserve"> </v>
      </c>
      <c r="FB12" s="255" t="str">
        <f>IF(INDEX('Raw Data'!$A12:$EA12,MATCH(FB$2,RawData[#Headers],))=""," ",INDEX('Raw Data'!$A12:$EA12,MATCH(FB$2,RawData[#Headers],)))</f>
        <v xml:space="preserve"> </v>
      </c>
    </row>
    <row r="13" spans="1:158" x14ac:dyDescent="0.3">
      <c r="A13" s="255">
        <f>RawData[[#This Row],[Num]]</f>
        <v>0</v>
      </c>
      <c r="B13" s="255" t="str">
        <f>IF(INDEX('Raw Data'!$A13:$EA13,MATCH(B$2,RawData[#Headers],))=""," ",INDEX('Raw Data'!$A13:$EA13,MATCH(B$2,RawData[#Headers],)))</f>
        <v xml:space="preserve"> </v>
      </c>
      <c r="C13" s="326" t="str">
        <f>IFERROR(STANDARDIZE(machina[[#This Row],[Career Strike Rate]],B$30,B$31)^2," ")</f>
        <v xml:space="preserve"> </v>
      </c>
      <c r="D13" s="255" t="str">
        <f>IF(INDEX('Raw Data'!$A13:$EA13,MATCH(D$2,RawData[#Headers],))=""," ",INDEX('Raw Data'!$A13:$EA13,MATCH(D$2,RawData[#Headers],)))</f>
        <v xml:space="preserve"> </v>
      </c>
      <c r="E13" s="326" t="str">
        <f>IFERROR(STANDARDIZE(machina[[#This Row],[Career ROI]],D$30,D$31)^2," ")</f>
        <v xml:space="preserve"> </v>
      </c>
      <c r="F13" s="255" t="str">
        <f>IF(INDEX('Raw Data'!$A13:$EA13,MATCH(F$2,RawData[#Headers],))=""," ",INDEX('Raw Data'!$A13:$EA13,MATCH(F$2,RawData[#Headers],)))</f>
        <v xml:space="preserve"> </v>
      </c>
      <c r="G13" s="255" t="str">
        <f t="shared" si="5"/>
        <v xml:space="preserve"> </v>
      </c>
      <c r="H13" s="255" t="str">
        <f>IF(INDEX('Raw Data'!$A13:$EA13,MATCH(H$2,RawData[#Headers],))=""," ",INDEX('Raw Data'!$A13:$EA13,MATCH(H$2,RawData[#Headers],)))</f>
        <v xml:space="preserve"> </v>
      </c>
      <c r="I13" s="255" t="str">
        <f t="shared" si="6"/>
        <v xml:space="preserve"> </v>
      </c>
      <c r="J13" s="255" t="str">
        <f>IF(INDEX('Raw Data'!$A13:$EA13,MATCH(J$2,RawData[#Headers],))=""," ",INDEX('Raw Data'!$A13:$EA13,MATCH(J$2,RawData[#Headers],)))</f>
        <v xml:space="preserve"> </v>
      </c>
      <c r="K13" s="255" t="str">
        <f t="shared" si="7"/>
        <v xml:space="preserve"> </v>
      </c>
      <c r="L13" s="255" t="str">
        <f>IF(INDEX('Raw Data'!$A13:$EA13,MATCH(L$2,RawData[#Headers],))=""," ",INDEX('Raw Data'!$A13:$EA13,MATCH(L$2,RawData[#Headers],)))</f>
        <v xml:space="preserve"> </v>
      </c>
      <c r="M13" s="255" t="str">
        <f t="shared" si="0"/>
        <v xml:space="preserve"> </v>
      </c>
      <c r="N13" s="255" t="str">
        <f>IF(INDEX('Raw Data'!$A13:$EA13,MATCH(N$2,RawData[#Headers],))=""," ",INDEX('Raw Data'!$A13:$EA13,MATCH(N$2,RawData[#Headers],)))</f>
        <v xml:space="preserve"> </v>
      </c>
      <c r="O13" s="255" t="str">
        <f t="shared" si="0"/>
        <v xml:space="preserve"> </v>
      </c>
      <c r="P13" s="255" t="str">
        <f>IF(INDEX('Raw Data'!$A13:$EA13,MATCH(P$2,RawData[#Headers],))=""," ",INDEX('Raw Data'!$A13:$EA13,MATCH(P$2,RawData[#Headers],)))</f>
        <v xml:space="preserve"> </v>
      </c>
      <c r="Q13" s="255" t="str">
        <f t="shared" ref="Q13" si="84">IF(ISERROR(IF(P13=""," ",RANK(P13,P$3:P$28,1)))," ",IF(P13=""," ",RANK(P13,P$3:P$28,1)))</f>
        <v xml:space="preserve"> </v>
      </c>
      <c r="R13" s="255" t="str">
        <f>IF(INDEX('Raw Data'!$A13:$EA13,MATCH(R$2,RawData[#Headers],))=""," ",INDEX('Raw Data'!$A13:$EA13,MATCH(R$2,RawData[#Headers],)))</f>
        <v xml:space="preserve"> </v>
      </c>
      <c r="S13" s="255" t="str">
        <f t="shared" si="9"/>
        <v xml:space="preserve"> </v>
      </c>
      <c r="T13" s="255" t="str">
        <f>IF(INDEX('Raw Data'!$A13:$EA13,MATCH(T$2,RawData[#Headers],))=""," ",INDEX('Raw Data'!$A13:$EA13,MATCH(T$2,RawData[#Headers],)))</f>
        <v xml:space="preserve"> </v>
      </c>
      <c r="U13" s="255" t="str">
        <f t="shared" si="10"/>
        <v xml:space="preserve"> </v>
      </c>
      <c r="V13" s="255" t="str">
        <f>IF(INDEX('Raw Data'!$A13:$EA13,MATCH(V$2,RawData[#Headers],))=""," ",INDEX('Raw Data'!$A13:$EA13,MATCH(V$2,RawData[#Headers],)))</f>
        <v xml:space="preserve"> </v>
      </c>
      <c r="W13" s="255" t="str">
        <f t="shared" si="11"/>
        <v xml:space="preserve"> </v>
      </c>
      <c r="X13" s="255" t="str">
        <f>IF(INDEX('Raw Data'!$A13:$EA13,MATCH(X$2,RawData[#Headers],))=""," ",INDEX('Raw Data'!$A13:$EA13,MATCH(X$2,RawData[#Headers],)))</f>
        <v xml:space="preserve"> </v>
      </c>
      <c r="Y13" s="255" t="str">
        <f t="shared" si="12"/>
        <v xml:space="preserve"> </v>
      </c>
      <c r="Z13" s="255" t="str">
        <f>IF(INDEX('Raw Data'!$A13:$EA13,MATCH(Z$2,RawData[#Headers],))=""," ",INDEX('Raw Data'!$A13:$EA13,MATCH(Z$2,RawData[#Headers],)))</f>
        <v xml:space="preserve"> </v>
      </c>
      <c r="AA13" s="255" t="str">
        <f t="shared" si="13"/>
        <v xml:space="preserve"> </v>
      </c>
      <c r="AB13" s="255" t="str">
        <f>IF(INDEX('Raw Data'!$A13:$EA13,MATCH(AB$2,RawData[#Headers],))=""," ",INDEX('Raw Data'!$A13:$EA13,MATCH(AB$2,RawData[#Headers],)))</f>
        <v xml:space="preserve"> </v>
      </c>
      <c r="AC13" s="255" t="str">
        <f t="shared" si="14"/>
        <v xml:space="preserve"> </v>
      </c>
      <c r="AD13" s="255" t="str">
        <f>IF(INDEX('Raw Data'!$A13:$EA13,MATCH(AD$2,RawData[#Headers],))=""," ",INDEX('Raw Data'!$A13:$EA13,MATCH(AD$2,RawData[#Headers],)))</f>
        <v xml:space="preserve"> </v>
      </c>
      <c r="AE13" s="255" t="str">
        <f t="shared" si="15"/>
        <v xml:space="preserve"> </v>
      </c>
      <c r="AF13" s="255" t="str">
        <f>IF(INDEX('Raw Data'!$A13:$EA13,MATCH(AF$2,RawData[#Headers],))=""," ",INDEX('Raw Data'!$A13:$EA13,MATCH(AF$2,RawData[#Headers],)))</f>
        <v xml:space="preserve"> </v>
      </c>
      <c r="AG13" s="255" t="str">
        <f t="shared" si="16"/>
        <v xml:space="preserve"> </v>
      </c>
      <c r="AH13" s="255" t="str">
        <f>IF(INDEX('Raw Data'!$A13:$EA13,MATCH(AH$2,RawData[#Headers],))=""," ",INDEX('Raw Data'!$A13:$EA13,MATCH(AH$2,RawData[#Headers],)))</f>
        <v xml:space="preserve"> </v>
      </c>
      <c r="AI13" s="255" t="str">
        <f t="shared" si="17"/>
        <v xml:space="preserve"> </v>
      </c>
      <c r="AJ13" s="255" t="str">
        <f>IF(INDEX('Raw Data'!$A13:$EA13,MATCH(AJ$2,RawData[#Headers],))=""," ",INDEX('Raw Data'!$A13:$EA13,MATCH(AJ$2,RawData[#Headers],)))</f>
        <v xml:space="preserve"> </v>
      </c>
      <c r="AK13" s="255" t="str">
        <f t="shared" si="18"/>
        <v xml:space="preserve"> </v>
      </c>
      <c r="AL13" s="255" t="str">
        <f>IF(INDEX('Raw Data'!$A13:$EA13,MATCH(AL$2,RawData[#Headers],))=""," ",INDEX('Raw Data'!$A13:$EA13,MATCH(AL$2,RawData[#Headers],)))</f>
        <v xml:space="preserve"> </v>
      </c>
      <c r="AM13" s="255" t="str">
        <f t="shared" si="19"/>
        <v xml:space="preserve"> </v>
      </c>
      <c r="AN13" s="255" t="str">
        <f>IF(INDEX('Raw Data'!$A13:$EA13,MATCH(AN$2,RawData[#Headers],))=""," ",INDEX('Raw Data'!$A13:$EA13,MATCH(AN$2,RawData[#Headers],)))</f>
        <v xml:space="preserve"> </v>
      </c>
      <c r="AO13" s="255" t="str">
        <f t="shared" si="20"/>
        <v xml:space="preserve"> </v>
      </c>
      <c r="AP13" s="255" t="str">
        <f>IF(INDEX('Raw Data'!$A13:$EA13,MATCH(AP$2,RawData[#Headers],))=""," ",INDEX('Raw Data'!$A13:$EA13,MATCH(AP$2,RawData[#Headers],)))</f>
        <v xml:space="preserve"> </v>
      </c>
      <c r="AQ13" s="255" t="str">
        <f t="shared" si="21"/>
        <v xml:space="preserve"> </v>
      </c>
      <c r="AR13" s="255" t="str">
        <f>IF(INDEX('Raw Data'!$A13:$EA13,MATCH(AR$2,RawData[#Headers],))=""," ",INDEX('Raw Data'!$A13:$EA13,MATCH(AR$2,RawData[#Headers],)))</f>
        <v xml:space="preserve"> </v>
      </c>
      <c r="AS13" s="255" t="str">
        <f t="shared" si="22"/>
        <v xml:space="preserve"> </v>
      </c>
      <c r="AT13" s="255" t="str">
        <f>IF(INDEX('Raw Data'!$A13:$EA13,MATCH(AT$2,RawData[#Headers],))=""," ",INDEX('Raw Data'!$A13:$EA13,MATCH(AT$2,RawData[#Headers],)))</f>
        <v xml:space="preserve"> </v>
      </c>
      <c r="AU13" s="255" t="str">
        <f t="shared" si="23"/>
        <v xml:space="preserve"> </v>
      </c>
      <c r="AV13" s="255" t="str">
        <f>IF(INDEX('Raw Data'!$A13:$EA13,MATCH(AV$2,RawData[#Headers],))=""," ",INDEX('Raw Data'!$A13:$EA13,MATCH(AV$2,RawData[#Headers],)))</f>
        <v xml:space="preserve"> </v>
      </c>
      <c r="AW13" s="255" t="str">
        <f t="shared" si="24"/>
        <v xml:space="preserve"> </v>
      </c>
      <c r="AX13" s="255" t="str">
        <f>IF(INDEX('Raw Data'!$A13:$EA13,MATCH(AX$2,RawData[#Headers],))=""," ",INDEX('Raw Data'!$A13:$EA13,MATCH(AX$2,RawData[#Headers],)))</f>
        <v xml:space="preserve"> </v>
      </c>
      <c r="AY13" s="255" t="str">
        <f t="shared" si="25"/>
        <v xml:space="preserve"> </v>
      </c>
      <c r="AZ13" s="255" t="str">
        <f>IF(INDEX('Raw Data'!$A13:$EA13,MATCH(AZ$2,RawData[#Headers],))=""," ",INDEX('Raw Data'!$A13:$EA13,MATCH(AZ$2,RawData[#Headers],)))</f>
        <v xml:space="preserve"> </v>
      </c>
      <c r="BA13" s="255" t="str">
        <f t="shared" si="26"/>
        <v xml:space="preserve"> </v>
      </c>
      <c r="BB13" s="255" t="str">
        <f>IF(INDEX('Raw Data'!$A13:$EA13,MATCH(BB$2,RawData[#Headers],))=""," ",INDEX('Raw Data'!$A13:$EA13,MATCH(BB$2,RawData[#Headers],)))</f>
        <v xml:space="preserve"> </v>
      </c>
      <c r="BC13" s="255" t="str">
        <f t="shared" si="27"/>
        <v xml:space="preserve"> </v>
      </c>
      <c r="BD13" s="255" t="str">
        <f>IF(INDEX('Raw Data'!$A13:$EA13,MATCH(BD$2,RawData[#Headers],))=""," ",INDEX('Raw Data'!$A13:$EA13,MATCH(BD$2,RawData[#Headers],)))</f>
        <v xml:space="preserve"> </v>
      </c>
      <c r="BE13" s="255" t="str">
        <f t="shared" si="28"/>
        <v xml:space="preserve"> </v>
      </c>
      <c r="BF13" s="255" t="str">
        <f>IF(INDEX('Raw Data'!$A13:$EA13,MATCH(BF$2,RawData[#Headers],))=""," ",INDEX('Raw Data'!$A13:$EA13,MATCH(BF$2,RawData[#Headers],)))</f>
        <v xml:space="preserve"> </v>
      </c>
      <c r="BG13" s="255" t="str">
        <f t="shared" si="29"/>
        <v xml:space="preserve"> </v>
      </c>
      <c r="BH13" s="255" t="str">
        <f>IF(INDEX('Raw Data'!$A13:$EA13,MATCH(BH$2,RawData[#Headers],))=""," ",INDEX('Raw Data'!$A13:$EA13,MATCH(BH$2,RawData[#Headers],)))</f>
        <v xml:space="preserve"> </v>
      </c>
      <c r="BI13" s="255" t="str">
        <f t="shared" si="30"/>
        <v xml:space="preserve"> </v>
      </c>
      <c r="BJ13" s="255" t="str">
        <f>IF(INDEX('Raw Data'!$A13:$EA13,MATCH(BJ$2,RawData[#Headers],))=""," ",INDEX('Raw Data'!$A13:$EA13,MATCH(BJ$2,RawData[#Headers],)))</f>
        <v xml:space="preserve"> </v>
      </c>
      <c r="BK13" s="255" t="str">
        <f t="shared" si="31"/>
        <v xml:space="preserve"> </v>
      </c>
      <c r="BL13" s="255" t="str">
        <f>IF(INDEX('Raw Data'!$A13:$EA13,MATCH(BL$2,RawData[#Headers],))=""," ",INDEX('Raw Data'!$A13:$EA13,MATCH(BL$2,RawData[#Headers],)))</f>
        <v xml:space="preserve"> </v>
      </c>
      <c r="BM13" s="255" t="str">
        <f t="shared" si="32"/>
        <v xml:space="preserve"> </v>
      </c>
      <c r="BN13" s="255" t="str">
        <f>IF(INDEX('Raw Data'!$A13:$EA13,MATCH(BN$2,RawData[#Headers],))=""," ",INDEX('Raw Data'!$A13:$EA13,MATCH(BN$2,RawData[#Headers],)))</f>
        <v xml:space="preserve"> </v>
      </c>
      <c r="BO13" s="255" t="str">
        <f t="shared" si="33"/>
        <v xml:space="preserve"> </v>
      </c>
      <c r="BP13" s="255" t="str">
        <f>IF(INDEX('Raw Data'!$A13:$EA13,MATCH(BP$2,RawData[#Headers],))=""," ",INDEX('Raw Data'!$A13:$EA13,MATCH(BP$2,RawData[#Headers],)))</f>
        <v xml:space="preserve"> </v>
      </c>
      <c r="BQ13" s="255" t="str">
        <f t="shared" si="34"/>
        <v xml:space="preserve"> </v>
      </c>
      <c r="BR13" s="255" t="str">
        <f>IF(INDEX('Raw Data'!$A13:$EA13,MATCH(BR$2,RawData[#Headers],))=""," ",INDEX('Raw Data'!$A13:$EA13,MATCH(BR$2,RawData[#Headers],)))</f>
        <v xml:space="preserve"> </v>
      </c>
      <c r="BS13" s="255" t="str">
        <f t="shared" si="35"/>
        <v xml:space="preserve"> </v>
      </c>
      <c r="BT13" s="255" t="str">
        <f>IF(INDEX('Raw Data'!$A13:$EA13,MATCH(BT$2,RawData[#Headers],))=""," ",INDEX('Raw Data'!$A13:$EA13,MATCH(BT$2,RawData[#Headers],)))</f>
        <v xml:space="preserve"> </v>
      </c>
      <c r="BU13" s="255" t="str">
        <f t="shared" si="36"/>
        <v xml:space="preserve"> </v>
      </c>
      <c r="BV13" s="255" t="str">
        <f>IF(INDEX('Raw Data'!$A13:$EA13,MATCH(BV$2,RawData[#Headers],))=""," ",INDEX('Raw Data'!$A13:$EA13,MATCH(BV$2,RawData[#Headers],)))</f>
        <v xml:space="preserve"> </v>
      </c>
      <c r="BW13" s="255" t="str">
        <f t="shared" si="37"/>
        <v xml:space="preserve"> </v>
      </c>
      <c r="BX13" s="255" t="str">
        <f>IF(INDEX('Raw Data'!$A13:$EA13,MATCH(BX$2,RawData[#Headers],))=""," ",INDEX('Raw Data'!$A13:$EA13,MATCH(BX$2,RawData[#Headers],)))</f>
        <v xml:space="preserve"> </v>
      </c>
      <c r="BY13" s="255" t="str">
        <f t="shared" si="38"/>
        <v xml:space="preserve"> </v>
      </c>
      <c r="BZ13" s="255" t="str">
        <f>IF(INDEX('Raw Data'!$A13:$EA13,MATCH(BZ$2,RawData[#Headers],))=""," ",INDEX('Raw Data'!$A13:$EA13,MATCH(BZ$2,RawData[#Headers],)))</f>
        <v xml:space="preserve"> </v>
      </c>
      <c r="CA13" s="255" t="str">
        <f t="shared" si="39"/>
        <v xml:space="preserve"> </v>
      </c>
      <c r="CB13" s="255" t="str">
        <f>IF(INDEX('Raw Data'!$A13:$EA13,MATCH(CB$2,RawData[#Headers],))=""," ",INDEX('Raw Data'!$A13:$EA13,MATCH(CB$2,RawData[#Headers],)))</f>
        <v xml:space="preserve"> </v>
      </c>
      <c r="CC13" s="255" t="str">
        <f t="shared" si="40"/>
        <v xml:space="preserve"> </v>
      </c>
      <c r="CD13" s="255" t="str">
        <f>IF(INDEX('Raw Data'!$A13:$EA13,MATCH(CD$2,RawData[#Headers],))=""," ",INDEX('Raw Data'!$A13:$EA13,MATCH(CD$2,RawData[#Headers],)))</f>
        <v xml:space="preserve"> </v>
      </c>
      <c r="CE13" s="255" t="str">
        <f t="shared" si="41"/>
        <v xml:space="preserve"> </v>
      </c>
      <c r="CF13" s="255" t="str">
        <f>IF(INDEX('Raw Data'!$A13:$EA13,MATCH(CF$2,RawData[#Headers],))=""," ",INDEX('Raw Data'!$A13:$EA13,MATCH(CF$2,RawData[#Headers],)))</f>
        <v xml:space="preserve"> </v>
      </c>
      <c r="CG13" s="255" t="str">
        <f t="shared" si="42"/>
        <v xml:space="preserve"> </v>
      </c>
      <c r="CH13" s="255" t="str">
        <f>IF(INDEX('Raw Data'!$A13:$EA13,MATCH(CH$2,RawData[#Headers],))=""," ",INDEX('Raw Data'!$A13:$EA13,MATCH(CH$2,RawData[#Headers],)))</f>
        <v xml:space="preserve"> </v>
      </c>
      <c r="CI13" s="255" t="str">
        <f t="shared" si="43"/>
        <v xml:space="preserve"> </v>
      </c>
      <c r="CJ13" s="255" t="str">
        <f>IF(INDEX('Raw Data'!$A13:$EA13,MATCH(CJ$2,RawData[#Headers],))=""," ",INDEX('Raw Data'!$A13:$EA13,MATCH(CJ$2,RawData[#Headers],)))</f>
        <v xml:space="preserve"> </v>
      </c>
      <c r="CK13" s="255" t="str">
        <f t="shared" si="44"/>
        <v xml:space="preserve"> </v>
      </c>
      <c r="CL13" s="255" t="str">
        <f>IF(INDEX('Raw Data'!$A13:$EA13,MATCH(CL$2,RawData[#Headers],))=""," ",INDEX('Raw Data'!$A13:$EA13,MATCH(CL$2,RawData[#Headers],)))</f>
        <v xml:space="preserve"> </v>
      </c>
      <c r="CM13" s="255" t="str">
        <f t="shared" si="45"/>
        <v xml:space="preserve"> </v>
      </c>
      <c r="CN13" s="255" t="str">
        <f>IF(INDEX('Raw Data'!$A13:$EA13,MATCH(CN$2,RawData[#Headers],))=""," ",INDEX('Raw Data'!$A13:$EA13,MATCH(CN$2,RawData[#Headers],)))</f>
        <v xml:space="preserve"> </v>
      </c>
      <c r="CO13" s="255" t="str">
        <f t="shared" si="46"/>
        <v xml:space="preserve"> </v>
      </c>
      <c r="CP13" s="255" t="str">
        <f>IF(INDEX('Raw Data'!$A13:$EA13,MATCH(CP$2,RawData[#Headers],))=""," ",INDEX('Raw Data'!$A13:$EA13,MATCH(CP$2,RawData[#Headers],)))</f>
        <v xml:space="preserve"> </v>
      </c>
      <c r="CQ13" s="255" t="str">
        <f t="shared" si="47"/>
        <v xml:space="preserve"> </v>
      </c>
      <c r="CR13" s="255" t="str">
        <f>IF(INDEX('Raw Data'!$A13:$EA13,MATCH(CR$2,RawData[#Headers],))=""," ",INDEX('Raw Data'!$A13:$EA13,MATCH(CR$2,RawData[#Headers],)))</f>
        <v xml:space="preserve"> </v>
      </c>
      <c r="CS13" s="255" t="str">
        <f t="shared" si="48"/>
        <v xml:space="preserve"> </v>
      </c>
      <c r="CT13" s="255" t="str">
        <f>IF(INDEX('Raw Data'!$A13:$EA13,MATCH(CT$2,RawData[#Headers],))=""," ",INDEX('Raw Data'!$A13:$EA13,MATCH(CT$2,RawData[#Headers],)))</f>
        <v xml:space="preserve"> </v>
      </c>
      <c r="CU13" s="255" t="str">
        <f t="shared" si="49"/>
        <v xml:space="preserve"> </v>
      </c>
      <c r="CV13" s="255" t="str">
        <f>IF(INDEX('Raw Data'!$A13:$EA13,MATCH(CV$2,RawData[#Headers],))=""," ",INDEX('Raw Data'!$A13:$EA13,MATCH(CV$2,RawData[#Headers],)))</f>
        <v xml:space="preserve"> </v>
      </c>
      <c r="CW13" s="255" t="str">
        <f t="shared" si="50"/>
        <v xml:space="preserve"> </v>
      </c>
      <c r="CX13" s="255" t="str">
        <f>IF(INDEX('Raw Data'!$A13:$EA13,MATCH(CX$2,RawData[#Headers],))=""," ",INDEX('Raw Data'!$A13:$EA13,MATCH(CX$2,RawData[#Headers],)))</f>
        <v xml:space="preserve"> </v>
      </c>
      <c r="CY13" s="255" t="str">
        <f t="shared" si="51"/>
        <v xml:space="preserve"> </v>
      </c>
      <c r="CZ13" s="255" t="str">
        <f>IF(INDEX('Raw Data'!$A13:$EA13,MATCH(CZ$2,RawData[#Headers],))=""," ",INDEX('Raw Data'!$A13:$EA13,MATCH(CZ$2,RawData[#Headers],)))</f>
        <v xml:space="preserve"> </v>
      </c>
      <c r="DA13" s="255" t="str">
        <f t="shared" si="52"/>
        <v xml:space="preserve"> </v>
      </c>
      <c r="DB13" s="255" t="str">
        <f>IF(INDEX('Raw Data'!$A13:$EA13,MATCH(DB$2,RawData[#Headers],))=""," ",INDEX('Raw Data'!$A13:$EA13,MATCH(DB$2,RawData[#Headers],)))</f>
        <v xml:space="preserve"> </v>
      </c>
      <c r="DC13" s="255" t="str">
        <f t="shared" si="53"/>
        <v xml:space="preserve"> </v>
      </c>
      <c r="DD13" s="255" t="str">
        <f>IF(INDEX('Raw Data'!$A13:$EA13,MATCH(DD$2,RawData[#Headers],))=""," ",INDEX('Raw Data'!$A13:$EA13,MATCH(DD$2,RawData[#Headers],)))</f>
        <v xml:space="preserve"> </v>
      </c>
      <c r="DE13" s="255" t="str">
        <f t="shared" si="54"/>
        <v xml:space="preserve"> </v>
      </c>
      <c r="DF13" s="255" t="str">
        <f>IF(INDEX('Raw Data'!$A13:$EA13,MATCH(DF$2,RawData[#Headers],))=""," ",INDEX('Raw Data'!$A13:$EA13,MATCH(DF$2,RawData[#Headers],)))</f>
        <v xml:space="preserve"> </v>
      </c>
      <c r="DG13" s="255" t="str">
        <f t="shared" si="55"/>
        <v xml:space="preserve"> </v>
      </c>
      <c r="DH13" s="255" t="str">
        <f>IF(INDEX('Raw Data'!$A13:$EA13,MATCH(DH$2,RawData[#Headers],))=""," ",INDEX('Raw Data'!$A13:$EA13,MATCH(DH$2,RawData[#Headers],)))</f>
        <v xml:space="preserve"> </v>
      </c>
      <c r="DI13" s="255" t="str">
        <f t="shared" si="56"/>
        <v xml:space="preserve"> </v>
      </c>
      <c r="DJ13" s="255" t="str">
        <f>IF(INDEX('Raw Data'!$A13:$EA13,MATCH(DJ$2,RawData[#Headers],))=""," ",INDEX('Raw Data'!$A13:$EA13,MATCH(DJ$2,RawData[#Headers],)))</f>
        <v xml:space="preserve"> </v>
      </c>
      <c r="DK13" s="255" t="str">
        <f t="shared" si="57"/>
        <v xml:space="preserve"> </v>
      </c>
      <c r="DL13" s="255" t="str">
        <f>IF(INDEX('Raw Data'!$A13:$EA13,MATCH(DL$2,RawData[#Headers],))=""," ",INDEX('Raw Data'!$A13:$EA13,MATCH(DL$2,RawData[#Headers],)))</f>
        <v xml:space="preserve"> </v>
      </c>
      <c r="DM13" s="255" t="str">
        <f t="shared" si="58"/>
        <v xml:space="preserve"> </v>
      </c>
      <c r="DN13" s="255" t="str">
        <f>IF(INDEX('Raw Data'!$A13:$EA13,MATCH(DN$2,RawData[#Headers],))=""," ",INDEX('Raw Data'!$A13:$EA13,MATCH(DN$2,RawData[#Headers],)))</f>
        <v xml:space="preserve"> </v>
      </c>
      <c r="DO13" s="255" t="str">
        <f t="shared" si="59"/>
        <v xml:space="preserve"> </v>
      </c>
      <c r="DP13" s="255" t="str">
        <f>IF(INDEX('Raw Data'!$A13:$EA13,MATCH(DP$2,RawData[#Headers],))=""," ",INDEX('Raw Data'!$A13:$EA13,MATCH(DP$2,RawData[#Headers],)))</f>
        <v xml:space="preserve"> </v>
      </c>
      <c r="DQ13" s="255" t="str">
        <f t="shared" si="60"/>
        <v xml:space="preserve"> </v>
      </c>
      <c r="DR13" s="255" t="str">
        <f>IF(INDEX('Raw Data'!$A13:$EA13,MATCH(DR$2,RawData[#Headers],))=""," ",INDEX('Raw Data'!$A13:$EA13,MATCH(DR$2,RawData[#Headers],)))</f>
        <v xml:space="preserve"> </v>
      </c>
      <c r="DS13" s="255" t="str">
        <f t="shared" si="61"/>
        <v xml:space="preserve"> </v>
      </c>
      <c r="DT13" s="255" t="str">
        <f>IF(INDEX('Raw Data'!$A13:$EA13,MATCH(DT$2,RawData[#Headers],))=""," ",INDEX('Raw Data'!$A13:$EA13,MATCH(DT$2,RawData[#Headers],)))</f>
        <v xml:space="preserve"> </v>
      </c>
      <c r="DU13" s="255" t="str">
        <f t="shared" si="62"/>
        <v xml:space="preserve"> </v>
      </c>
      <c r="DV13" s="255" t="str">
        <f>IF(INDEX('Raw Data'!$A13:$EA13,MATCH(DV$2,RawData[#Headers],))=""," ",INDEX('Raw Data'!$A13:$EA13,MATCH(DV$2,RawData[#Headers],)))</f>
        <v xml:space="preserve"> </v>
      </c>
      <c r="DW13" s="255" t="str">
        <f t="shared" si="63"/>
        <v xml:space="preserve"> </v>
      </c>
      <c r="DX13" s="255" t="str">
        <f>IF(INDEX('Raw Data'!$A13:$EA13,MATCH(DX$2,RawData[#Headers],))=""," ",INDEX('Raw Data'!$A13:$EA13,MATCH(DX$2,RawData[#Headers],)))</f>
        <v xml:space="preserve"> </v>
      </c>
      <c r="DY13" s="255" t="str">
        <f t="shared" si="64"/>
        <v xml:space="preserve"> </v>
      </c>
      <c r="DZ13" s="255" t="str">
        <f>IF(INDEX('Raw Data'!$A13:$EA13,MATCH(DZ$2,RawData[#Headers],))=""," ",INDEX('Raw Data'!$A13:$EA13,MATCH(DZ$2,RawData[#Headers],)))</f>
        <v xml:space="preserve"> </v>
      </c>
      <c r="EA13" s="255" t="str">
        <f t="shared" si="65"/>
        <v xml:space="preserve"> </v>
      </c>
      <c r="EB13" s="255" t="str">
        <f>IF(INDEX('Raw Data'!$A13:$EA13,MATCH(EB$2,RawData[#Headers],))=""," ",INDEX('Raw Data'!$A13:$EA13,MATCH(EB$2,RawData[#Headers],)))</f>
        <v xml:space="preserve"> </v>
      </c>
      <c r="EC13" s="255" t="str">
        <f t="shared" si="66"/>
        <v xml:space="preserve"> </v>
      </c>
      <c r="ED13" s="255" t="str">
        <f>IF(INDEX('Raw Data'!$A13:$EA13,MATCH(ED$2,RawData[#Headers],))=""," ",INDEX('Raw Data'!$A13:$EA13,MATCH(ED$2,RawData[#Headers],)))</f>
        <v xml:space="preserve"> </v>
      </c>
      <c r="EE13" s="255" t="str">
        <f t="shared" si="67"/>
        <v xml:space="preserve"> </v>
      </c>
      <c r="EF13" s="255" t="str">
        <f>IF(INDEX('Raw Data'!$A13:$EA13,MATCH(EF$2,RawData[#Headers],))=""," ",INDEX('Raw Data'!$A13:$EA13,MATCH(EF$2,RawData[#Headers],)))</f>
        <v xml:space="preserve"> </v>
      </c>
      <c r="EG13" s="255" t="str">
        <f t="shared" si="68"/>
        <v xml:space="preserve"> </v>
      </c>
      <c r="EH13" s="255" t="str">
        <f>IF(INDEX('Raw Data'!$A13:$EA13,MATCH(EH$2,RawData[#Headers],))=""," ",INDEX('Raw Data'!$A13:$EA13,MATCH(EH$2,RawData[#Headers],)))</f>
        <v xml:space="preserve"> </v>
      </c>
      <c r="EI13" s="255" t="str">
        <f t="shared" si="69"/>
        <v xml:space="preserve"> </v>
      </c>
      <c r="EJ13" s="255" t="str">
        <f>IF(INDEX('Raw Data'!$A13:$EA13,MATCH(EJ$2,RawData[#Headers],))=""," ",INDEX('Raw Data'!$A13:$EA13,MATCH(EJ$2,RawData[#Headers],)))</f>
        <v xml:space="preserve"> </v>
      </c>
      <c r="EK13" s="255" t="str">
        <f t="shared" si="70"/>
        <v xml:space="preserve"> </v>
      </c>
      <c r="EL13" s="255" t="str">
        <f>IF(INDEX('Raw Data'!$A13:$EA13,MATCH(EL$2,RawData[#Headers],))=""," ",INDEX('Raw Data'!$A13:$EA13,MATCH(EL$2,RawData[#Headers],)))</f>
        <v xml:space="preserve"> </v>
      </c>
      <c r="EM13" s="255" t="str">
        <f t="shared" si="71"/>
        <v xml:space="preserve"> </v>
      </c>
      <c r="EN13" s="255" t="str">
        <f>IF(INDEX('Raw Data'!$A13:$EA13,MATCH(EN$2,RawData[#Headers],))=""," ",INDEX('Raw Data'!$A13:$EA13,MATCH(EN$2,RawData[#Headers],)))</f>
        <v xml:space="preserve"> </v>
      </c>
      <c r="EO13" s="255" t="str">
        <f t="shared" si="72"/>
        <v xml:space="preserve"> </v>
      </c>
      <c r="EP13" s="255" t="str">
        <f>IF(INDEX('Raw Data'!$A13:$EA13,MATCH(EP$2,RawData[#Headers],))=""," ",INDEX('Raw Data'!$A13:$EA13,MATCH(EP$2,RawData[#Headers],)))</f>
        <v xml:space="preserve"> </v>
      </c>
      <c r="EQ13" s="255" t="str">
        <f t="shared" si="73"/>
        <v xml:space="preserve"> </v>
      </c>
      <c r="ER13" s="255" t="str">
        <f>IF(INDEX('Raw Data'!$A13:$EA13,MATCH(ER$2,RawData[#Headers],))=""," ",INDEX('Raw Data'!$A13:$EA13,MATCH(ER$2,RawData[#Headers],)))</f>
        <v xml:space="preserve"> </v>
      </c>
      <c r="ES13" s="255" t="str">
        <f t="shared" si="2"/>
        <v xml:space="preserve"> </v>
      </c>
      <c r="ET13" s="255" t="str">
        <f>IF(INDEX('Raw Data'!$A13:$EA13,MATCH(ET$2,RawData[#Headers],))=""," ",INDEX('Raw Data'!$A13:$EA13,MATCH(ET$2,RawData[#Headers],)))</f>
        <v xml:space="preserve"> </v>
      </c>
      <c r="EU13" s="255" t="str">
        <f t="shared" si="3"/>
        <v xml:space="preserve"> </v>
      </c>
      <c r="EV13" s="255" t="str">
        <f>IF(INDEX('Raw Data'!$A13:$EA13,MATCH(EV$2,RawData[#Headers],))=""," ",INDEX('Raw Data'!$A13:$EA13,MATCH(EV$2,RawData[#Headers],)))</f>
        <v xml:space="preserve"> </v>
      </c>
      <c r="EW13" s="255" t="str">
        <f t="shared" si="4"/>
        <v xml:space="preserve"> </v>
      </c>
      <c r="EX13" s="255" t="str">
        <f>IF(INDEX('Raw Data'!$A13:$EA13,MATCH(EX$2,RawData[#Headers],))=""," ",INDEX('Raw Data'!$A13:$EA13,MATCH(EX$2,RawData[#Headers],)))</f>
        <v xml:space="preserve"> </v>
      </c>
      <c r="EY13" s="255" t="str">
        <f t="shared" si="74"/>
        <v xml:space="preserve"> </v>
      </c>
      <c r="EZ13" s="276" t="str">
        <f>IF(INDEX('Raw Data'!$A13:$EA13,MATCH(EZ$2,RawData[#Headers],))=""," ",INDEX('Raw Data'!$A13:$EA13,MATCH(EZ$2,RawData[#Headers],)))</f>
        <v xml:space="preserve"> </v>
      </c>
      <c r="FA13" s="255" t="str">
        <f t="shared" si="75"/>
        <v xml:space="preserve"> </v>
      </c>
      <c r="FB13" s="255" t="str">
        <f>IF(INDEX('Raw Data'!$A13:$EA13,MATCH(FB$2,RawData[#Headers],))=""," ",INDEX('Raw Data'!$A13:$EA13,MATCH(FB$2,RawData[#Headers],)))</f>
        <v xml:space="preserve"> </v>
      </c>
    </row>
    <row r="14" spans="1:158" x14ac:dyDescent="0.3">
      <c r="A14" s="255">
        <f>RawData[[#This Row],[Num]]</f>
        <v>0</v>
      </c>
      <c r="B14" s="255" t="str">
        <f>IF(INDEX('Raw Data'!$A14:$EA14,MATCH(B$2,RawData[#Headers],))=""," ",INDEX('Raw Data'!$A14:$EA14,MATCH(B$2,RawData[#Headers],)))</f>
        <v xml:space="preserve"> </v>
      </c>
      <c r="C14" s="326" t="str">
        <f>IFERROR(STANDARDIZE(machina[[#This Row],[Career Strike Rate]],B$30,B$31)^2," ")</f>
        <v xml:space="preserve"> </v>
      </c>
      <c r="D14" s="255" t="str">
        <f>IF(INDEX('Raw Data'!$A14:$EA14,MATCH(D$2,RawData[#Headers],))=""," ",INDEX('Raw Data'!$A14:$EA14,MATCH(D$2,RawData[#Headers],)))</f>
        <v xml:space="preserve"> </v>
      </c>
      <c r="E14" s="326" t="str">
        <f>IFERROR(STANDARDIZE(machina[[#This Row],[Career ROI]],D$30,D$31)^2," ")</f>
        <v xml:space="preserve"> </v>
      </c>
      <c r="F14" s="255" t="str">
        <f>IF(INDEX('Raw Data'!$A14:$EA14,MATCH(F$2,RawData[#Headers],))=""," ",INDEX('Raw Data'!$A14:$EA14,MATCH(F$2,RawData[#Headers],)))</f>
        <v xml:space="preserve"> </v>
      </c>
      <c r="G14" s="255" t="str">
        <f t="shared" si="5"/>
        <v xml:space="preserve"> </v>
      </c>
      <c r="H14" s="255" t="str">
        <f>IF(INDEX('Raw Data'!$A14:$EA14,MATCH(H$2,RawData[#Headers],))=""," ",INDEX('Raw Data'!$A14:$EA14,MATCH(H$2,RawData[#Headers],)))</f>
        <v xml:space="preserve"> </v>
      </c>
      <c r="I14" s="255" t="str">
        <f t="shared" si="6"/>
        <v xml:space="preserve"> </v>
      </c>
      <c r="J14" s="255" t="str">
        <f>IF(INDEX('Raw Data'!$A14:$EA14,MATCH(J$2,RawData[#Headers],))=""," ",INDEX('Raw Data'!$A14:$EA14,MATCH(J$2,RawData[#Headers],)))</f>
        <v xml:space="preserve"> </v>
      </c>
      <c r="K14" s="255" t="str">
        <f t="shared" si="7"/>
        <v xml:space="preserve"> </v>
      </c>
      <c r="L14" s="255" t="str">
        <f>IF(INDEX('Raw Data'!$A14:$EA14,MATCH(L$2,RawData[#Headers],))=""," ",INDEX('Raw Data'!$A14:$EA14,MATCH(L$2,RawData[#Headers],)))</f>
        <v xml:space="preserve"> </v>
      </c>
      <c r="M14" s="255" t="str">
        <f t="shared" si="0"/>
        <v xml:space="preserve"> </v>
      </c>
      <c r="N14" s="255" t="str">
        <f>IF(INDEX('Raw Data'!$A14:$EA14,MATCH(N$2,RawData[#Headers],))=""," ",INDEX('Raw Data'!$A14:$EA14,MATCH(N$2,RawData[#Headers],)))</f>
        <v xml:space="preserve"> </v>
      </c>
      <c r="O14" s="255" t="str">
        <f t="shared" si="0"/>
        <v xml:space="preserve"> </v>
      </c>
      <c r="P14" s="255" t="str">
        <f>IF(INDEX('Raw Data'!$A14:$EA14,MATCH(P$2,RawData[#Headers],))=""," ",INDEX('Raw Data'!$A14:$EA14,MATCH(P$2,RawData[#Headers],)))</f>
        <v xml:space="preserve"> </v>
      </c>
      <c r="Q14" s="255" t="str">
        <f t="shared" ref="Q14" si="85">IF(ISERROR(IF(P14=""," ",RANK(P14,P$3:P$28,1)))," ",IF(P14=""," ",RANK(P14,P$3:P$28,1)))</f>
        <v xml:space="preserve"> </v>
      </c>
      <c r="R14" s="255" t="str">
        <f>IF(INDEX('Raw Data'!$A14:$EA14,MATCH(R$2,RawData[#Headers],))=""," ",INDEX('Raw Data'!$A14:$EA14,MATCH(R$2,RawData[#Headers],)))</f>
        <v xml:space="preserve"> </v>
      </c>
      <c r="S14" s="255" t="str">
        <f t="shared" si="9"/>
        <v xml:space="preserve"> </v>
      </c>
      <c r="T14" s="255" t="str">
        <f>IF(INDEX('Raw Data'!$A14:$EA14,MATCH(T$2,RawData[#Headers],))=""," ",INDEX('Raw Data'!$A14:$EA14,MATCH(T$2,RawData[#Headers],)))</f>
        <v xml:space="preserve"> </v>
      </c>
      <c r="U14" s="255" t="str">
        <f t="shared" si="10"/>
        <v xml:space="preserve"> </v>
      </c>
      <c r="V14" s="255" t="str">
        <f>IF(INDEX('Raw Data'!$A14:$EA14,MATCH(V$2,RawData[#Headers],))=""," ",INDEX('Raw Data'!$A14:$EA14,MATCH(V$2,RawData[#Headers],)))</f>
        <v xml:space="preserve"> </v>
      </c>
      <c r="W14" s="255" t="str">
        <f t="shared" si="11"/>
        <v xml:space="preserve"> </v>
      </c>
      <c r="X14" s="255" t="str">
        <f>IF(INDEX('Raw Data'!$A14:$EA14,MATCH(X$2,RawData[#Headers],))=""," ",INDEX('Raw Data'!$A14:$EA14,MATCH(X$2,RawData[#Headers],)))</f>
        <v xml:space="preserve"> </v>
      </c>
      <c r="Y14" s="255" t="str">
        <f t="shared" si="12"/>
        <v xml:space="preserve"> </v>
      </c>
      <c r="Z14" s="255" t="str">
        <f>IF(INDEX('Raw Data'!$A14:$EA14,MATCH(Z$2,RawData[#Headers],))=""," ",INDEX('Raw Data'!$A14:$EA14,MATCH(Z$2,RawData[#Headers],)))</f>
        <v xml:space="preserve"> </v>
      </c>
      <c r="AA14" s="255" t="str">
        <f t="shared" si="13"/>
        <v xml:space="preserve"> </v>
      </c>
      <c r="AB14" s="255" t="str">
        <f>IF(INDEX('Raw Data'!$A14:$EA14,MATCH(AB$2,RawData[#Headers],))=""," ",INDEX('Raw Data'!$A14:$EA14,MATCH(AB$2,RawData[#Headers],)))</f>
        <v xml:space="preserve"> </v>
      </c>
      <c r="AC14" s="255" t="str">
        <f t="shared" si="14"/>
        <v xml:space="preserve"> </v>
      </c>
      <c r="AD14" s="255" t="str">
        <f>IF(INDEX('Raw Data'!$A14:$EA14,MATCH(AD$2,RawData[#Headers],))=""," ",INDEX('Raw Data'!$A14:$EA14,MATCH(AD$2,RawData[#Headers],)))</f>
        <v xml:space="preserve"> </v>
      </c>
      <c r="AE14" s="255" t="str">
        <f t="shared" si="15"/>
        <v xml:space="preserve"> </v>
      </c>
      <c r="AF14" s="255" t="str">
        <f>IF(INDEX('Raw Data'!$A14:$EA14,MATCH(AF$2,RawData[#Headers],))=""," ",INDEX('Raw Data'!$A14:$EA14,MATCH(AF$2,RawData[#Headers],)))</f>
        <v xml:space="preserve"> </v>
      </c>
      <c r="AG14" s="255" t="str">
        <f t="shared" si="16"/>
        <v xml:space="preserve"> </v>
      </c>
      <c r="AH14" s="255" t="str">
        <f>IF(INDEX('Raw Data'!$A14:$EA14,MATCH(AH$2,RawData[#Headers],))=""," ",INDEX('Raw Data'!$A14:$EA14,MATCH(AH$2,RawData[#Headers],)))</f>
        <v xml:space="preserve"> </v>
      </c>
      <c r="AI14" s="255" t="str">
        <f t="shared" si="17"/>
        <v xml:space="preserve"> </v>
      </c>
      <c r="AJ14" s="255" t="str">
        <f>IF(INDEX('Raw Data'!$A14:$EA14,MATCH(AJ$2,RawData[#Headers],))=""," ",INDEX('Raw Data'!$A14:$EA14,MATCH(AJ$2,RawData[#Headers],)))</f>
        <v xml:space="preserve"> </v>
      </c>
      <c r="AK14" s="255" t="str">
        <f t="shared" si="18"/>
        <v xml:space="preserve"> </v>
      </c>
      <c r="AL14" s="255" t="str">
        <f>IF(INDEX('Raw Data'!$A14:$EA14,MATCH(AL$2,RawData[#Headers],))=""," ",INDEX('Raw Data'!$A14:$EA14,MATCH(AL$2,RawData[#Headers],)))</f>
        <v xml:space="preserve"> </v>
      </c>
      <c r="AM14" s="255" t="str">
        <f t="shared" si="19"/>
        <v xml:space="preserve"> </v>
      </c>
      <c r="AN14" s="255" t="str">
        <f>IF(INDEX('Raw Data'!$A14:$EA14,MATCH(AN$2,RawData[#Headers],))=""," ",INDEX('Raw Data'!$A14:$EA14,MATCH(AN$2,RawData[#Headers],)))</f>
        <v xml:space="preserve"> </v>
      </c>
      <c r="AO14" s="255" t="str">
        <f t="shared" si="20"/>
        <v xml:space="preserve"> </v>
      </c>
      <c r="AP14" s="255" t="str">
        <f>IF(INDEX('Raw Data'!$A14:$EA14,MATCH(AP$2,RawData[#Headers],))=""," ",INDEX('Raw Data'!$A14:$EA14,MATCH(AP$2,RawData[#Headers],)))</f>
        <v xml:space="preserve"> </v>
      </c>
      <c r="AQ14" s="255" t="str">
        <f t="shared" si="21"/>
        <v xml:space="preserve"> </v>
      </c>
      <c r="AR14" s="255" t="str">
        <f>IF(INDEX('Raw Data'!$A14:$EA14,MATCH(AR$2,RawData[#Headers],))=""," ",INDEX('Raw Data'!$A14:$EA14,MATCH(AR$2,RawData[#Headers],)))</f>
        <v xml:space="preserve"> </v>
      </c>
      <c r="AS14" s="255" t="str">
        <f t="shared" si="22"/>
        <v xml:space="preserve"> </v>
      </c>
      <c r="AT14" s="255" t="str">
        <f>IF(INDEX('Raw Data'!$A14:$EA14,MATCH(AT$2,RawData[#Headers],))=""," ",INDEX('Raw Data'!$A14:$EA14,MATCH(AT$2,RawData[#Headers],)))</f>
        <v xml:space="preserve"> </v>
      </c>
      <c r="AU14" s="255" t="str">
        <f t="shared" si="23"/>
        <v xml:space="preserve"> </v>
      </c>
      <c r="AV14" s="255" t="str">
        <f>IF(INDEX('Raw Data'!$A14:$EA14,MATCH(AV$2,RawData[#Headers],))=""," ",INDEX('Raw Data'!$A14:$EA14,MATCH(AV$2,RawData[#Headers],)))</f>
        <v xml:space="preserve"> </v>
      </c>
      <c r="AW14" s="255" t="str">
        <f t="shared" si="24"/>
        <v xml:space="preserve"> </v>
      </c>
      <c r="AX14" s="255" t="str">
        <f>IF(INDEX('Raw Data'!$A14:$EA14,MATCH(AX$2,RawData[#Headers],))=""," ",INDEX('Raw Data'!$A14:$EA14,MATCH(AX$2,RawData[#Headers],)))</f>
        <v xml:space="preserve"> </v>
      </c>
      <c r="AY14" s="255" t="str">
        <f t="shared" si="25"/>
        <v xml:space="preserve"> </v>
      </c>
      <c r="AZ14" s="255" t="str">
        <f>IF(INDEX('Raw Data'!$A14:$EA14,MATCH(AZ$2,RawData[#Headers],))=""," ",INDEX('Raw Data'!$A14:$EA14,MATCH(AZ$2,RawData[#Headers],)))</f>
        <v xml:space="preserve"> </v>
      </c>
      <c r="BA14" s="255" t="str">
        <f t="shared" si="26"/>
        <v xml:space="preserve"> </v>
      </c>
      <c r="BB14" s="255" t="str">
        <f>IF(INDEX('Raw Data'!$A14:$EA14,MATCH(BB$2,RawData[#Headers],))=""," ",INDEX('Raw Data'!$A14:$EA14,MATCH(BB$2,RawData[#Headers],)))</f>
        <v xml:space="preserve"> </v>
      </c>
      <c r="BC14" s="255" t="str">
        <f t="shared" si="27"/>
        <v xml:space="preserve"> </v>
      </c>
      <c r="BD14" s="255" t="str">
        <f>IF(INDEX('Raw Data'!$A14:$EA14,MATCH(BD$2,RawData[#Headers],))=""," ",INDEX('Raw Data'!$A14:$EA14,MATCH(BD$2,RawData[#Headers],)))</f>
        <v xml:space="preserve"> </v>
      </c>
      <c r="BE14" s="255" t="str">
        <f t="shared" si="28"/>
        <v xml:space="preserve"> </v>
      </c>
      <c r="BF14" s="255" t="str">
        <f>IF(INDEX('Raw Data'!$A14:$EA14,MATCH(BF$2,RawData[#Headers],))=""," ",INDEX('Raw Data'!$A14:$EA14,MATCH(BF$2,RawData[#Headers],)))</f>
        <v xml:space="preserve"> </v>
      </c>
      <c r="BG14" s="255" t="str">
        <f t="shared" si="29"/>
        <v xml:space="preserve"> </v>
      </c>
      <c r="BH14" s="255" t="str">
        <f>IF(INDEX('Raw Data'!$A14:$EA14,MATCH(BH$2,RawData[#Headers],))=""," ",INDEX('Raw Data'!$A14:$EA14,MATCH(BH$2,RawData[#Headers],)))</f>
        <v xml:space="preserve"> </v>
      </c>
      <c r="BI14" s="255" t="str">
        <f t="shared" si="30"/>
        <v xml:space="preserve"> </v>
      </c>
      <c r="BJ14" s="255" t="str">
        <f>IF(INDEX('Raw Data'!$A14:$EA14,MATCH(BJ$2,RawData[#Headers],))=""," ",INDEX('Raw Data'!$A14:$EA14,MATCH(BJ$2,RawData[#Headers],)))</f>
        <v xml:space="preserve"> </v>
      </c>
      <c r="BK14" s="255" t="str">
        <f t="shared" si="31"/>
        <v xml:space="preserve"> </v>
      </c>
      <c r="BL14" s="255" t="str">
        <f>IF(INDEX('Raw Data'!$A14:$EA14,MATCH(BL$2,RawData[#Headers],))=""," ",INDEX('Raw Data'!$A14:$EA14,MATCH(BL$2,RawData[#Headers],)))</f>
        <v xml:space="preserve"> </v>
      </c>
      <c r="BM14" s="255" t="str">
        <f t="shared" si="32"/>
        <v xml:space="preserve"> </v>
      </c>
      <c r="BN14" s="255" t="str">
        <f>IF(INDEX('Raw Data'!$A14:$EA14,MATCH(BN$2,RawData[#Headers],))=""," ",INDEX('Raw Data'!$A14:$EA14,MATCH(BN$2,RawData[#Headers],)))</f>
        <v xml:space="preserve"> </v>
      </c>
      <c r="BO14" s="255" t="str">
        <f t="shared" si="33"/>
        <v xml:space="preserve"> </v>
      </c>
      <c r="BP14" s="255" t="str">
        <f>IF(INDEX('Raw Data'!$A14:$EA14,MATCH(BP$2,RawData[#Headers],))=""," ",INDEX('Raw Data'!$A14:$EA14,MATCH(BP$2,RawData[#Headers],)))</f>
        <v xml:space="preserve"> </v>
      </c>
      <c r="BQ14" s="255" t="str">
        <f t="shared" si="34"/>
        <v xml:space="preserve"> </v>
      </c>
      <c r="BR14" s="255" t="str">
        <f>IF(INDEX('Raw Data'!$A14:$EA14,MATCH(BR$2,RawData[#Headers],))=""," ",INDEX('Raw Data'!$A14:$EA14,MATCH(BR$2,RawData[#Headers],)))</f>
        <v xml:space="preserve"> </v>
      </c>
      <c r="BS14" s="255" t="str">
        <f t="shared" si="35"/>
        <v xml:space="preserve"> </v>
      </c>
      <c r="BT14" s="255" t="str">
        <f>IF(INDEX('Raw Data'!$A14:$EA14,MATCH(BT$2,RawData[#Headers],))=""," ",INDEX('Raw Data'!$A14:$EA14,MATCH(BT$2,RawData[#Headers],)))</f>
        <v xml:space="preserve"> </v>
      </c>
      <c r="BU14" s="255" t="str">
        <f t="shared" si="36"/>
        <v xml:space="preserve"> </v>
      </c>
      <c r="BV14" s="255" t="str">
        <f>IF(INDEX('Raw Data'!$A14:$EA14,MATCH(BV$2,RawData[#Headers],))=""," ",INDEX('Raw Data'!$A14:$EA14,MATCH(BV$2,RawData[#Headers],)))</f>
        <v xml:space="preserve"> </v>
      </c>
      <c r="BW14" s="255" t="str">
        <f t="shared" si="37"/>
        <v xml:space="preserve"> </v>
      </c>
      <c r="BX14" s="255" t="str">
        <f>IF(INDEX('Raw Data'!$A14:$EA14,MATCH(BX$2,RawData[#Headers],))=""," ",INDEX('Raw Data'!$A14:$EA14,MATCH(BX$2,RawData[#Headers],)))</f>
        <v xml:space="preserve"> </v>
      </c>
      <c r="BY14" s="255" t="str">
        <f t="shared" si="38"/>
        <v xml:space="preserve"> </v>
      </c>
      <c r="BZ14" s="255" t="str">
        <f>IF(INDEX('Raw Data'!$A14:$EA14,MATCH(BZ$2,RawData[#Headers],))=""," ",INDEX('Raw Data'!$A14:$EA14,MATCH(BZ$2,RawData[#Headers],)))</f>
        <v xml:space="preserve"> </v>
      </c>
      <c r="CA14" s="255" t="str">
        <f t="shared" si="39"/>
        <v xml:space="preserve"> </v>
      </c>
      <c r="CB14" s="255" t="str">
        <f>IF(INDEX('Raw Data'!$A14:$EA14,MATCH(CB$2,RawData[#Headers],))=""," ",INDEX('Raw Data'!$A14:$EA14,MATCH(CB$2,RawData[#Headers],)))</f>
        <v xml:space="preserve"> </v>
      </c>
      <c r="CC14" s="255" t="str">
        <f t="shared" si="40"/>
        <v xml:space="preserve"> </v>
      </c>
      <c r="CD14" s="255" t="str">
        <f>IF(INDEX('Raw Data'!$A14:$EA14,MATCH(CD$2,RawData[#Headers],))=""," ",INDEX('Raw Data'!$A14:$EA14,MATCH(CD$2,RawData[#Headers],)))</f>
        <v xml:space="preserve"> </v>
      </c>
      <c r="CE14" s="255" t="str">
        <f t="shared" si="41"/>
        <v xml:space="preserve"> </v>
      </c>
      <c r="CF14" s="255" t="str">
        <f>IF(INDEX('Raw Data'!$A14:$EA14,MATCH(CF$2,RawData[#Headers],))=""," ",INDEX('Raw Data'!$A14:$EA14,MATCH(CF$2,RawData[#Headers],)))</f>
        <v xml:space="preserve"> </v>
      </c>
      <c r="CG14" s="255" t="str">
        <f t="shared" si="42"/>
        <v xml:space="preserve"> </v>
      </c>
      <c r="CH14" s="255" t="str">
        <f>IF(INDEX('Raw Data'!$A14:$EA14,MATCH(CH$2,RawData[#Headers],))=""," ",INDEX('Raw Data'!$A14:$EA14,MATCH(CH$2,RawData[#Headers],)))</f>
        <v xml:space="preserve"> </v>
      </c>
      <c r="CI14" s="255" t="str">
        <f t="shared" si="43"/>
        <v xml:space="preserve"> </v>
      </c>
      <c r="CJ14" s="255" t="str">
        <f>IF(INDEX('Raw Data'!$A14:$EA14,MATCH(CJ$2,RawData[#Headers],))=""," ",INDEX('Raw Data'!$A14:$EA14,MATCH(CJ$2,RawData[#Headers],)))</f>
        <v xml:space="preserve"> </v>
      </c>
      <c r="CK14" s="255" t="str">
        <f t="shared" si="44"/>
        <v xml:space="preserve"> </v>
      </c>
      <c r="CL14" s="255" t="str">
        <f>IF(INDEX('Raw Data'!$A14:$EA14,MATCH(CL$2,RawData[#Headers],))=""," ",INDEX('Raw Data'!$A14:$EA14,MATCH(CL$2,RawData[#Headers],)))</f>
        <v xml:space="preserve"> </v>
      </c>
      <c r="CM14" s="255" t="str">
        <f t="shared" si="45"/>
        <v xml:space="preserve"> </v>
      </c>
      <c r="CN14" s="255" t="str">
        <f>IF(INDEX('Raw Data'!$A14:$EA14,MATCH(CN$2,RawData[#Headers],))=""," ",INDEX('Raw Data'!$A14:$EA14,MATCH(CN$2,RawData[#Headers],)))</f>
        <v xml:space="preserve"> </v>
      </c>
      <c r="CO14" s="255" t="str">
        <f t="shared" si="46"/>
        <v xml:space="preserve"> </v>
      </c>
      <c r="CP14" s="255" t="str">
        <f>IF(INDEX('Raw Data'!$A14:$EA14,MATCH(CP$2,RawData[#Headers],))=""," ",INDEX('Raw Data'!$A14:$EA14,MATCH(CP$2,RawData[#Headers],)))</f>
        <v xml:space="preserve"> </v>
      </c>
      <c r="CQ14" s="255" t="str">
        <f t="shared" si="47"/>
        <v xml:space="preserve"> </v>
      </c>
      <c r="CR14" s="255" t="str">
        <f>IF(INDEX('Raw Data'!$A14:$EA14,MATCH(CR$2,RawData[#Headers],))=""," ",INDEX('Raw Data'!$A14:$EA14,MATCH(CR$2,RawData[#Headers],)))</f>
        <v xml:space="preserve"> </v>
      </c>
      <c r="CS14" s="255" t="str">
        <f t="shared" si="48"/>
        <v xml:space="preserve"> </v>
      </c>
      <c r="CT14" s="255" t="str">
        <f>IF(INDEX('Raw Data'!$A14:$EA14,MATCH(CT$2,RawData[#Headers],))=""," ",INDEX('Raw Data'!$A14:$EA14,MATCH(CT$2,RawData[#Headers],)))</f>
        <v xml:space="preserve"> </v>
      </c>
      <c r="CU14" s="255" t="str">
        <f t="shared" si="49"/>
        <v xml:space="preserve"> </v>
      </c>
      <c r="CV14" s="255" t="str">
        <f>IF(INDEX('Raw Data'!$A14:$EA14,MATCH(CV$2,RawData[#Headers],))=""," ",INDEX('Raw Data'!$A14:$EA14,MATCH(CV$2,RawData[#Headers],)))</f>
        <v xml:space="preserve"> </v>
      </c>
      <c r="CW14" s="255" t="str">
        <f t="shared" si="50"/>
        <v xml:space="preserve"> </v>
      </c>
      <c r="CX14" s="255" t="str">
        <f>IF(INDEX('Raw Data'!$A14:$EA14,MATCH(CX$2,RawData[#Headers],))=""," ",INDEX('Raw Data'!$A14:$EA14,MATCH(CX$2,RawData[#Headers],)))</f>
        <v xml:space="preserve"> </v>
      </c>
      <c r="CY14" s="255" t="str">
        <f t="shared" si="51"/>
        <v xml:space="preserve"> </v>
      </c>
      <c r="CZ14" s="255" t="str">
        <f>IF(INDEX('Raw Data'!$A14:$EA14,MATCH(CZ$2,RawData[#Headers],))=""," ",INDEX('Raw Data'!$A14:$EA14,MATCH(CZ$2,RawData[#Headers],)))</f>
        <v xml:space="preserve"> </v>
      </c>
      <c r="DA14" s="255" t="str">
        <f t="shared" si="52"/>
        <v xml:space="preserve"> </v>
      </c>
      <c r="DB14" s="255" t="str">
        <f>IF(INDEX('Raw Data'!$A14:$EA14,MATCH(DB$2,RawData[#Headers],))=""," ",INDEX('Raw Data'!$A14:$EA14,MATCH(DB$2,RawData[#Headers],)))</f>
        <v xml:space="preserve"> </v>
      </c>
      <c r="DC14" s="255" t="str">
        <f t="shared" si="53"/>
        <v xml:space="preserve"> </v>
      </c>
      <c r="DD14" s="255" t="str">
        <f>IF(INDEX('Raw Data'!$A14:$EA14,MATCH(DD$2,RawData[#Headers],))=""," ",INDEX('Raw Data'!$A14:$EA14,MATCH(DD$2,RawData[#Headers],)))</f>
        <v xml:space="preserve"> </v>
      </c>
      <c r="DE14" s="255" t="str">
        <f t="shared" si="54"/>
        <v xml:space="preserve"> </v>
      </c>
      <c r="DF14" s="255" t="str">
        <f>IF(INDEX('Raw Data'!$A14:$EA14,MATCH(DF$2,RawData[#Headers],))=""," ",INDEX('Raw Data'!$A14:$EA14,MATCH(DF$2,RawData[#Headers],)))</f>
        <v xml:space="preserve"> </v>
      </c>
      <c r="DG14" s="255" t="str">
        <f t="shared" si="55"/>
        <v xml:space="preserve"> </v>
      </c>
      <c r="DH14" s="255" t="str">
        <f>IF(INDEX('Raw Data'!$A14:$EA14,MATCH(DH$2,RawData[#Headers],))=""," ",INDEX('Raw Data'!$A14:$EA14,MATCH(DH$2,RawData[#Headers],)))</f>
        <v xml:space="preserve"> </v>
      </c>
      <c r="DI14" s="255" t="str">
        <f t="shared" si="56"/>
        <v xml:space="preserve"> </v>
      </c>
      <c r="DJ14" s="255" t="str">
        <f>IF(INDEX('Raw Data'!$A14:$EA14,MATCH(DJ$2,RawData[#Headers],))=""," ",INDEX('Raw Data'!$A14:$EA14,MATCH(DJ$2,RawData[#Headers],)))</f>
        <v xml:space="preserve"> </v>
      </c>
      <c r="DK14" s="255" t="str">
        <f t="shared" si="57"/>
        <v xml:space="preserve"> </v>
      </c>
      <c r="DL14" s="255" t="str">
        <f>IF(INDEX('Raw Data'!$A14:$EA14,MATCH(DL$2,RawData[#Headers],))=""," ",INDEX('Raw Data'!$A14:$EA14,MATCH(DL$2,RawData[#Headers],)))</f>
        <v xml:space="preserve"> </v>
      </c>
      <c r="DM14" s="255" t="str">
        <f t="shared" si="58"/>
        <v xml:space="preserve"> </v>
      </c>
      <c r="DN14" s="255" t="str">
        <f>IF(INDEX('Raw Data'!$A14:$EA14,MATCH(DN$2,RawData[#Headers],))=""," ",INDEX('Raw Data'!$A14:$EA14,MATCH(DN$2,RawData[#Headers],)))</f>
        <v xml:space="preserve"> </v>
      </c>
      <c r="DO14" s="255" t="str">
        <f t="shared" si="59"/>
        <v xml:space="preserve"> </v>
      </c>
      <c r="DP14" s="255" t="str">
        <f>IF(INDEX('Raw Data'!$A14:$EA14,MATCH(DP$2,RawData[#Headers],))=""," ",INDEX('Raw Data'!$A14:$EA14,MATCH(DP$2,RawData[#Headers],)))</f>
        <v xml:space="preserve"> </v>
      </c>
      <c r="DQ14" s="255" t="str">
        <f t="shared" si="60"/>
        <v xml:space="preserve"> </v>
      </c>
      <c r="DR14" s="255" t="str">
        <f>IF(INDEX('Raw Data'!$A14:$EA14,MATCH(DR$2,RawData[#Headers],))=""," ",INDEX('Raw Data'!$A14:$EA14,MATCH(DR$2,RawData[#Headers],)))</f>
        <v xml:space="preserve"> </v>
      </c>
      <c r="DS14" s="255" t="str">
        <f t="shared" si="61"/>
        <v xml:space="preserve"> </v>
      </c>
      <c r="DT14" s="255" t="str">
        <f>IF(INDEX('Raw Data'!$A14:$EA14,MATCH(DT$2,RawData[#Headers],))=""," ",INDEX('Raw Data'!$A14:$EA14,MATCH(DT$2,RawData[#Headers],)))</f>
        <v xml:space="preserve"> </v>
      </c>
      <c r="DU14" s="255" t="str">
        <f t="shared" si="62"/>
        <v xml:space="preserve"> </v>
      </c>
      <c r="DV14" s="255" t="str">
        <f>IF(INDEX('Raw Data'!$A14:$EA14,MATCH(DV$2,RawData[#Headers],))=""," ",INDEX('Raw Data'!$A14:$EA14,MATCH(DV$2,RawData[#Headers],)))</f>
        <v xml:space="preserve"> </v>
      </c>
      <c r="DW14" s="255" t="str">
        <f t="shared" si="63"/>
        <v xml:space="preserve"> </v>
      </c>
      <c r="DX14" s="255" t="str">
        <f>IF(INDEX('Raw Data'!$A14:$EA14,MATCH(DX$2,RawData[#Headers],))=""," ",INDEX('Raw Data'!$A14:$EA14,MATCH(DX$2,RawData[#Headers],)))</f>
        <v xml:space="preserve"> </v>
      </c>
      <c r="DY14" s="255" t="str">
        <f t="shared" si="64"/>
        <v xml:space="preserve"> </v>
      </c>
      <c r="DZ14" s="255" t="str">
        <f>IF(INDEX('Raw Data'!$A14:$EA14,MATCH(DZ$2,RawData[#Headers],))=""," ",INDEX('Raw Data'!$A14:$EA14,MATCH(DZ$2,RawData[#Headers],)))</f>
        <v xml:space="preserve"> </v>
      </c>
      <c r="EA14" s="255" t="str">
        <f t="shared" si="65"/>
        <v xml:space="preserve"> </v>
      </c>
      <c r="EB14" s="255" t="str">
        <f>IF(INDEX('Raw Data'!$A14:$EA14,MATCH(EB$2,RawData[#Headers],))=""," ",INDEX('Raw Data'!$A14:$EA14,MATCH(EB$2,RawData[#Headers],)))</f>
        <v xml:space="preserve"> </v>
      </c>
      <c r="EC14" s="255" t="str">
        <f t="shared" si="66"/>
        <v xml:space="preserve"> </v>
      </c>
      <c r="ED14" s="255" t="str">
        <f>IF(INDEX('Raw Data'!$A14:$EA14,MATCH(ED$2,RawData[#Headers],))=""," ",INDEX('Raw Data'!$A14:$EA14,MATCH(ED$2,RawData[#Headers],)))</f>
        <v xml:space="preserve"> </v>
      </c>
      <c r="EE14" s="255" t="str">
        <f t="shared" si="67"/>
        <v xml:space="preserve"> </v>
      </c>
      <c r="EF14" s="255" t="str">
        <f>IF(INDEX('Raw Data'!$A14:$EA14,MATCH(EF$2,RawData[#Headers],))=""," ",INDEX('Raw Data'!$A14:$EA14,MATCH(EF$2,RawData[#Headers],)))</f>
        <v xml:space="preserve"> </v>
      </c>
      <c r="EG14" s="255" t="str">
        <f t="shared" si="68"/>
        <v xml:space="preserve"> </v>
      </c>
      <c r="EH14" s="255" t="str">
        <f>IF(INDEX('Raw Data'!$A14:$EA14,MATCH(EH$2,RawData[#Headers],))=""," ",INDEX('Raw Data'!$A14:$EA14,MATCH(EH$2,RawData[#Headers],)))</f>
        <v xml:space="preserve"> </v>
      </c>
      <c r="EI14" s="255" t="str">
        <f t="shared" si="69"/>
        <v xml:space="preserve"> </v>
      </c>
      <c r="EJ14" s="255" t="str">
        <f>IF(INDEX('Raw Data'!$A14:$EA14,MATCH(EJ$2,RawData[#Headers],))=""," ",INDEX('Raw Data'!$A14:$EA14,MATCH(EJ$2,RawData[#Headers],)))</f>
        <v xml:space="preserve"> </v>
      </c>
      <c r="EK14" s="255" t="str">
        <f t="shared" si="70"/>
        <v xml:space="preserve"> </v>
      </c>
      <c r="EL14" s="255" t="str">
        <f>IF(INDEX('Raw Data'!$A14:$EA14,MATCH(EL$2,RawData[#Headers],))=""," ",INDEX('Raw Data'!$A14:$EA14,MATCH(EL$2,RawData[#Headers],)))</f>
        <v xml:space="preserve"> </v>
      </c>
      <c r="EM14" s="255" t="str">
        <f t="shared" si="71"/>
        <v xml:space="preserve"> </v>
      </c>
      <c r="EN14" s="255" t="str">
        <f>IF(INDEX('Raw Data'!$A14:$EA14,MATCH(EN$2,RawData[#Headers],))=""," ",INDEX('Raw Data'!$A14:$EA14,MATCH(EN$2,RawData[#Headers],)))</f>
        <v xml:space="preserve"> </v>
      </c>
      <c r="EO14" s="255" t="str">
        <f t="shared" si="72"/>
        <v xml:space="preserve"> </v>
      </c>
      <c r="EP14" s="255" t="str">
        <f>IF(INDEX('Raw Data'!$A14:$EA14,MATCH(EP$2,RawData[#Headers],))=""," ",INDEX('Raw Data'!$A14:$EA14,MATCH(EP$2,RawData[#Headers],)))</f>
        <v xml:space="preserve"> </v>
      </c>
      <c r="EQ14" s="255" t="str">
        <f t="shared" si="73"/>
        <v xml:space="preserve"> </v>
      </c>
      <c r="ER14" s="255" t="str">
        <f>IF(INDEX('Raw Data'!$A14:$EA14,MATCH(ER$2,RawData[#Headers],))=""," ",INDEX('Raw Data'!$A14:$EA14,MATCH(ER$2,RawData[#Headers],)))</f>
        <v xml:space="preserve"> </v>
      </c>
      <c r="ES14" s="255" t="str">
        <f t="shared" si="2"/>
        <v xml:space="preserve"> </v>
      </c>
      <c r="ET14" s="255" t="str">
        <f>IF(INDEX('Raw Data'!$A14:$EA14,MATCH(ET$2,RawData[#Headers],))=""," ",INDEX('Raw Data'!$A14:$EA14,MATCH(ET$2,RawData[#Headers],)))</f>
        <v xml:space="preserve"> </v>
      </c>
      <c r="EU14" s="255" t="str">
        <f t="shared" si="3"/>
        <v xml:space="preserve"> </v>
      </c>
      <c r="EV14" s="255" t="str">
        <f>IF(INDEX('Raw Data'!$A14:$EA14,MATCH(EV$2,RawData[#Headers],))=""," ",INDEX('Raw Data'!$A14:$EA14,MATCH(EV$2,RawData[#Headers],)))</f>
        <v xml:space="preserve"> </v>
      </c>
      <c r="EW14" s="255" t="str">
        <f t="shared" si="4"/>
        <v xml:space="preserve"> </v>
      </c>
      <c r="EX14" s="255" t="str">
        <f>IF(INDEX('Raw Data'!$A14:$EA14,MATCH(EX$2,RawData[#Headers],))=""," ",INDEX('Raw Data'!$A14:$EA14,MATCH(EX$2,RawData[#Headers],)))</f>
        <v xml:space="preserve"> </v>
      </c>
      <c r="EY14" s="255" t="str">
        <f t="shared" si="74"/>
        <v xml:space="preserve"> </v>
      </c>
      <c r="EZ14" s="276" t="str">
        <f>IF(INDEX('Raw Data'!$A14:$EA14,MATCH(EZ$2,RawData[#Headers],))=""," ",INDEX('Raw Data'!$A14:$EA14,MATCH(EZ$2,RawData[#Headers],)))</f>
        <v xml:space="preserve"> </v>
      </c>
      <c r="FA14" s="255" t="str">
        <f t="shared" si="75"/>
        <v xml:space="preserve"> </v>
      </c>
      <c r="FB14" s="255" t="str">
        <f>IF(INDEX('Raw Data'!$A14:$EA14,MATCH(FB$2,RawData[#Headers],))=""," ",INDEX('Raw Data'!$A14:$EA14,MATCH(FB$2,RawData[#Headers],)))</f>
        <v xml:space="preserve"> </v>
      </c>
    </row>
    <row r="15" spans="1:158" x14ac:dyDescent="0.3">
      <c r="A15" s="255">
        <f>RawData[[#This Row],[Num]]</f>
        <v>0</v>
      </c>
      <c r="B15" s="255" t="str">
        <f>IF(INDEX('Raw Data'!$A15:$EA15,MATCH(B$2,RawData[#Headers],))=""," ",INDEX('Raw Data'!$A15:$EA15,MATCH(B$2,RawData[#Headers],)))</f>
        <v xml:space="preserve"> </v>
      </c>
      <c r="C15" s="326" t="str">
        <f>IFERROR(STANDARDIZE(machina[[#This Row],[Career Strike Rate]],B$30,B$31)^2," ")</f>
        <v xml:space="preserve"> </v>
      </c>
      <c r="D15" s="255" t="str">
        <f>IF(INDEX('Raw Data'!$A15:$EA15,MATCH(D$2,RawData[#Headers],))=""," ",INDEX('Raw Data'!$A15:$EA15,MATCH(D$2,RawData[#Headers],)))</f>
        <v xml:space="preserve"> </v>
      </c>
      <c r="E15" s="326" t="str">
        <f>IFERROR(STANDARDIZE(machina[[#This Row],[Career ROI]],D$30,D$31)^2," ")</f>
        <v xml:space="preserve"> </v>
      </c>
      <c r="F15" s="255" t="str">
        <f>IF(INDEX('Raw Data'!$A15:$EA15,MATCH(F$2,RawData[#Headers],))=""," ",INDEX('Raw Data'!$A15:$EA15,MATCH(F$2,RawData[#Headers],)))</f>
        <v xml:space="preserve"> </v>
      </c>
      <c r="G15" s="255" t="str">
        <f t="shared" si="5"/>
        <v xml:space="preserve"> </v>
      </c>
      <c r="H15" s="255" t="str">
        <f>IF(INDEX('Raw Data'!$A15:$EA15,MATCH(H$2,RawData[#Headers],))=""," ",INDEX('Raw Data'!$A15:$EA15,MATCH(H$2,RawData[#Headers],)))</f>
        <v xml:space="preserve"> </v>
      </c>
      <c r="I15" s="255" t="str">
        <f t="shared" si="6"/>
        <v xml:space="preserve"> </v>
      </c>
      <c r="J15" s="255" t="str">
        <f>IF(INDEX('Raw Data'!$A15:$EA15,MATCH(J$2,RawData[#Headers],))=""," ",INDEX('Raw Data'!$A15:$EA15,MATCH(J$2,RawData[#Headers],)))</f>
        <v xml:space="preserve"> </v>
      </c>
      <c r="K15" s="255" t="str">
        <f t="shared" si="7"/>
        <v xml:space="preserve"> </v>
      </c>
      <c r="L15" s="255" t="str">
        <f>IF(INDEX('Raw Data'!$A15:$EA15,MATCH(L$2,RawData[#Headers],))=""," ",INDEX('Raw Data'!$A15:$EA15,MATCH(L$2,RawData[#Headers],)))</f>
        <v xml:space="preserve"> </v>
      </c>
      <c r="M15" s="255" t="str">
        <f t="shared" si="0"/>
        <v xml:space="preserve"> </v>
      </c>
      <c r="N15" s="255" t="str">
        <f>IF(INDEX('Raw Data'!$A15:$EA15,MATCH(N$2,RawData[#Headers],))=""," ",INDEX('Raw Data'!$A15:$EA15,MATCH(N$2,RawData[#Headers],)))</f>
        <v xml:space="preserve"> </v>
      </c>
      <c r="O15" s="255" t="str">
        <f t="shared" si="0"/>
        <v xml:space="preserve"> </v>
      </c>
      <c r="P15" s="255" t="str">
        <f>IF(INDEX('Raw Data'!$A15:$EA15,MATCH(P$2,RawData[#Headers],))=""," ",INDEX('Raw Data'!$A15:$EA15,MATCH(P$2,RawData[#Headers],)))</f>
        <v xml:space="preserve"> </v>
      </c>
      <c r="Q15" s="255" t="str">
        <f t="shared" ref="Q15" si="86">IF(ISERROR(IF(P15=""," ",RANK(P15,P$3:P$28,1)))," ",IF(P15=""," ",RANK(P15,P$3:P$28,1)))</f>
        <v xml:space="preserve"> </v>
      </c>
      <c r="R15" s="255" t="str">
        <f>IF(INDEX('Raw Data'!$A15:$EA15,MATCH(R$2,RawData[#Headers],))=""," ",INDEX('Raw Data'!$A15:$EA15,MATCH(R$2,RawData[#Headers],)))</f>
        <v xml:space="preserve"> </v>
      </c>
      <c r="S15" s="255" t="str">
        <f t="shared" si="9"/>
        <v xml:space="preserve"> </v>
      </c>
      <c r="T15" s="255" t="str">
        <f>IF(INDEX('Raw Data'!$A15:$EA15,MATCH(T$2,RawData[#Headers],))=""," ",INDEX('Raw Data'!$A15:$EA15,MATCH(T$2,RawData[#Headers],)))</f>
        <v xml:space="preserve"> </v>
      </c>
      <c r="U15" s="255" t="str">
        <f t="shared" si="10"/>
        <v xml:space="preserve"> </v>
      </c>
      <c r="V15" s="255" t="str">
        <f>IF(INDEX('Raw Data'!$A15:$EA15,MATCH(V$2,RawData[#Headers],))=""," ",INDEX('Raw Data'!$A15:$EA15,MATCH(V$2,RawData[#Headers],)))</f>
        <v xml:space="preserve"> </v>
      </c>
      <c r="W15" s="255" t="str">
        <f t="shared" si="11"/>
        <v xml:space="preserve"> </v>
      </c>
      <c r="X15" s="255" t="str">
        <f>IF(INDEX('Raw Data'!$A15:$EA15,MATCH(X$2,RawData[#Headers],))=""," ",INDEX('Raw Data'!$A15:$EA15,MATCH(X$2,RawData[#Headers],)))</f>
        <v xml:space="preserve"> </v>
      </c>
      <c r="Y15" s="255" t="str">
        <f t="shared" si="12"/>
        <v xml:space="preserve"> </v>
      </c>
      <c r="Z15" s="255" t="str">
        <f>IF(INDEX('Raw Data'!$A15:$EA15,MATCH(Z$2,RawData[#Headers],))=""," ",INDEX('Raw Data'!$A15:$EA15,MATCH(Z$2,RawData[#Headers],)))</f>
        <v xml:space="preserve"> </v>
      </c>
      <c r="AA15" s="255" t="str">
        <f t="shared" si="13"/>
        <v xml:space="preserve"> </v>
      </c>
      <c r="AB15" s="255" t="str">
        <f>IF(INDEX('Raw Data'!$A15:$EA15,MATCH(AB$2,RawData[#Headers],))=""," ",INDEX('Raw Data'!$A15:$EA15,MATCH(AB$2,RawData[#Headers],)))</f>
        <v xml:space="preserve"> </v>
      </c>
      <c r="AC15" s="255" t="str">
        <f t="shared" si="14"/>
        <v xml:space="preserve"> </v>
      </c>
      <c r="AD15" s="255" t="str">
        <f>IF(INDEX('Raw Data'!$A15:$EA15,MATCH(AD$2,RawData[#Headers],))=""," ",INDEX('Raw Data'!$A15:$EA15,MATCH(AD$2,RawData[#Headers],)))</f>
        <v xml:space="preserve"> </v>
      </c>
      <c r="AE15" s="255" t="str">
        <f t="shared" si="15"/>
        <v xml:space="preserve"> </v>
      </c>
      <c r="AF15" s="255" t="str">
        <f>IF(INDEX('Raw Data'!$A15:$EA15,MATCH(AF$2,RawData[#Headers],))=""," ",INDEX('Raw Data'!$A15:$EA15,MATCH(AF$2,RawData[#Headers],)))</f>
        <v xml:space="preserve"> </v>
      </c>
      <c r="AG15" s="255" t="str">
        <f t="shared" si="16"/>
        <v xml:space="preserve"> </v>
      </c>
      <c r="AH15" s="255" t="str">
        <f>IF(INDEX('Raw Data'!$A15:$EA15,MATCH(AH$2,RawData[#Headers],))=""," ",INDEX('Raw Data'!$A15:$EA15,MATCH(AH$2,RawData[#Headers],)))</f>
        <v xml:space="preserve"> </v>
      </c>
      <c r="AI15" s="255" t="str">
        <f t="shared" si="17"/>
        <v xml:space="preserve"> </v>
      </c>
      <c r="AJ15" s="255" t="str">
        <f>IF(INDEX('Raw Data'!$A15:$EA15,MATCH(AJ$2,RawData[#Headers],))=""," ",INDEX('Raw Data'!$A15:$EA15,MATCH(AJ$2,RawData[#Headers],)))</f>
        <v xml:space="preserve"> </v>
      </c>
      <c r="AK15" s="255" t="str">
        <f t="shared" si="18"/>
        <v xml:space="preserve"> </v>
      </c>
      <c r="AL15" s="255" t="str">
        <f>IF(INDEX('Raw Data'!$A15:$EA15,MATCH(AL$2,RawData[#Headers],))=""," ",INDEX('Raw Data'!$A15:$EA15,MATCH(AL$2,RawData[#Headers],)))</f>
        <v xml:space="preserve"> </v>
      </c>
      <c r="AM15" s="255" t="str">
        <f t="shared" si="19"/>
        <v xml:space="preserve"> </v>
      </c>
      <c r="AN15" s="255" t="str">
        <f>IF(INDEX('Raw Data'!$A15:$EA15,MATCH(AN$2,RawData[#Headers],))=""," ",INDEX('Raw Data'!$A15:$EA15,MATCH(AN$2,RawData[#Headers],)))</f>
        <v xml:space="preserve"> </v>
      </c>
      <c r="AO15" s="255" t="str">
        <f t="shared" si="20"/>
        <v xml:space="preserve"> </v>
      </c>
      <c r="AP15" s="255" t="str">
        <f>IF(INDEX('Raw Data'!$A15:$EA15,MATCH(AP$2,RawData[#Headers],))=""," ",INDEX('Raw Data'!$A15:$EA15,MATCH(AP$2,RawData[#Headers],)))</f>
        <v xml:space="preserve"> </v>
      </c>
      <c r="AQ15" s="255" t="str">
        <f t="shared" si="21"/>
        <v xml:space="preserve"> </v>
      </c>
      <c r="AR15" s="255" t="str">
        <f>IF(INDEX('Raw Data'!$A15:$EA15,MATCH(AR$2,RawData[#Headers],))=""," ",INDEX('Raw Data'!$A15:$EA15,MATCH(AR$2,RawData[#Headers],)))</f>
        <v xml:space="preserve"> </v>
      </c>
      <c r="AS15" s="255" t="str">
        <f t="shared" si="22"/>
        <v xml:space="preserve"> </v>
      </c>
      <c r="AT15" s="255" t="str">
        <f>IF(INDEX('Raw Data'!$A15:$EA15,MATCH(AT$2,RawData[#Headers],))=""," ",INDEX('Raw Data'!$A15:$EA15,MATCH(AT$2,RawData[#Headers],)))</f>
        <v xml:space="preserve"> </v>
      </c>
      <c r="AU15" s="255" t="str">
        <f t="shared" si="23"/>
        <v xml:space="preserve"> </v>
      </c>
      <c r="AV15" s="255" t="str">
        <f>IF(INDEX('Raw Data'!$A15:$EA15,MATCH(AV$2,RawData[#Headers],))=""," ",INDEX('Raw Data'!$A15:$EA15,MATCH(AV$2,RawData[#Headers],)))</f>
        <v xml:space="preserve"> </v>
      </c>
      <c r="AW15" s="255" t="str">
        <f t="shared" si="24"/>
        <v xml:space="preserve"> </v>
      </c>
      <c r="AX15" s="255" t="str">
        <f>IF(INDEX('Raw Data'!$A15:$EA15,MATCH(AX$2,RawData[#Headers],))=""," ",INDEX('Raw Data'!$A15:$EA15,MATCH(AX$2,RawData[#Headers],)))</f>
        <v xml:space="preserve"> </v>
      </c>
      <c r="AY15" s="255" t="str">
        <f t="shared" si="25"/>
        <v xml:space="preserve"> </v>
      </c>
      <c r="AZ15" s="255" t="str">
        <f>IF(INDEX('Raw Data'!$A15:$EA15,MATCH(AZ$2,RawData[#Headers],))=""," ",INDEX('Raw Data'!$A15:$EA15,MATCH(AZ$2,RawData[#Headers],)))</f>
        <v xml:space="preserve"> </v>
      </c>
      <c r="BA15" s="255" t="str">
        <f t="shared" si="26"/>
        <v xml:space="preserve"> </v>
      </c>
      <c r="BB15" s="255" t="str">
        <f>IF(INDEX('Raw Data'!$A15:$EA15,MATCH(BB$2,RawData[#Headers],))=""," ",INDEX('Raw Data'!$A15:$EA15,MATCH(BB$2,RawData[#Headers],)))</f>
        <v xml:space="preserve"> </v>
      </c>
      <c r="BC15" s="255" t="str">
        <f t="shared" si="27"/>
        <v xml:space="preserve"> </v>
      </c>
      <c r="BD15" s="255" t="str">
        <f>IF(INDEX('Raw Data'!$A15:$EA15,MATCH(BD$2,RawData[#Headers],))=""," ",INDEX('Raw Data'!$A15:$EA15,MATCH(BD$2,RawData[#Headers],)))</f>
        <v xml:space="preserve"> </v>
      </c>
      <c r="BE15" s="255" t="str">
        <f t="shared" si="28"/>
        <v xml:space="preserve"> </v>
      </c>
      <c r="BF15" s="255" t="str">
        <f>IF(INDEX('Raw Data'!$A15:$EA15,MATCH(BF$2,RawData[#Headers],))=""," ",INDEX('Raw Data'!$A15:$EA15,MATCH(BF$2,RawData[#Headers],)))</f>
        <v xml:space="preserve"> </v>
      </c>
      <c r="BG15" s="255" t="str">
        <f t="shared" si="29"/>
        <v xml:space="preserve"> </v>
      </c>
      <c r="BH15" s="255" t="str">
        <f>IF(INDEX('Raw Data'!$A15:$EA15,MATCH(BH$2,RawData[#Headers],))=""," ",INDEX('Raw Data'!$A15:$EA15,MATCH(BH$2,RawData[#Headers],)))</f>
        <v xml:space="preserve"> </v>
      </c>
      <c r="BI15" s="255" t="str">
        <f t="shared" si="30"/>
        <v xml:space="preserve"> </v>
      </c>
      <c r="BJ15" s="255" t="str">
        <f>IF(INDEX('Raw Data'!$A15:$EA15,MATCH(BJ$2,RawData[#Headers],))=""," ",INDEX('Raw Data'!$A15:$EA15,MATCH(BJ$2,RawData[#Headers],)))</f>
        <v xml:space="preserve"> </v>
      </c>
      <c r="BK15" s="255" t="str">
        <f t="shared" si="31"/>
        <v xml:space="preserve"> </v>
      </c>
      <c r="BL15" s="255" t="str">
        <f>IF(INDEX('Raw Data'!$A15:$EA15,MATCH(BL$2,RawData[#Headers],))=""," ",INDEX('Raw Data'!$A15:$EA15,MATCH(BL$2,RawData[#Headers],)))</f>
        <v xml:space="preserve"> </v>
      </c>
      <c r="BM15" s="255" t="str">
        <f t="shared" si="32"/>
        <v xml:space="preserve"> </v>
      </c>
      <c r="BN15" s="255" t="str">
        <f>IF(INDEX('Raw Data'!$A15:$EA15,MATCH(BN$2,RawData[#Headers],))=""," ",INDEX('Raw Data'!$A15:$EA15,MATCH(BN$2,RawData[#Headers],)))</f>
        <v xml:space="preserve"> </v>
      </c>
      <c r="BO15" s="255" t="str">
        <f t="shared" si="33"/>
        <v xml:space="preserve"> </v>
      </c>
      <c r="BP15" s="255" t="str">
        <f>IF(INDEX('Raw Data'!$A15:$EA15,MATCH(BP$2,RawData[#Headers],))=""," ",INDEX('Raw Data'!$A15:$EA15,MATCH(BP$2,RawData[#Headers],)))</f>
        <v xml:space="preserve"> </v>
      </c>
      <c r="BQ15" s="255" t="str">
        <f t="shared" si="34"/>
        <v xml:space="preserve"> </v>
      </c>
      <c r="BR15" s="255" t="str">
        <f>IF(INDEX('Raw Data'!$A15:$EA15,MATCH(BR$2,RawData[#Headers],))=""," ",INDEX('Raw Data'!$A15:$EA15,MATCH(BR$2,RawData[#Headers],)))</f>
        <v xml:space="preserve"> </v>
      </c>
      <c r="BS15" s="255" t="str">
        <f t="shared" si="35"/>
        <v xml:space="preserve"> </v>
      </c>
      <c r="BT15" s="255" t="str">
        <f>IF(INDEX('Raw Data'!$A15:$EA15,MATCH(BT$2,RawData[#Headers],))=""," ",INDEX('Raw Data'!$A15:$EA15,MATCH(BT$2,RawData[#Headers],)))</f>
        <v xml:space="preserve"> </v>
      </c>
      <c r="BU15" s="255" t="str">
        <f t="shared" si="36"/>
        <v xml:space="preserve"> </v>
      </c>
      <c r="BV15" s="255" t="str">
        <f>IF(INDEX('Raw Data'!$A15:$EA15,MATCH(BV$2,RawData[#Headers],))=""," ",INDEX('Raw Data'!$A15:$EA15,MATCH(BV$2,RawData[#Headers],)))</f>
        <v xml:space="preserve"> </v>
      </c>
      <c r="BW15" s="255" t="str">
        <f t="shared" si="37"/>
        <v xml:space="preserve"> </v>
      </c>
      <c r="BX15" s="255" t="str">
        <f>IF(INDEX('Raw Data'!$A15:$EA15,MATCH(BX$2,RawData[#Headers],))=""," ",INDEX('Raw Data'!$A15:$EA15,MATCH(BX$2,RawData[#Headers],)))</f>
        <v xml:space="preserve"> </v>
      </c>
      <c r="BY15" s="255" t="str">
        <f t="shared" si="38"/>
        <v xml:space="preserve"> </v>
      </c>
      <c r="BZ15" s="255" t="str">
        <f>IF(INDEX('Raw Data'!$A15:$EA15,MATCH(BZ$2,RawData[#Headers],))=""," ",INDEX('Raw Data'!$A15:$EA15,MATCH(BZ$2,RawData[#Headers],)))</f>
        <v xml:space="preserve"> </v>
      </c>
      <c r="CA15" s="255" t="str">
        <f t="shared" si="39"/>
        <v xml:space="preserve"> </v>
      </c>
      <c r="CB15" s="255" t="str">
        <f>IF(INDEX('Raw Data'!$A15:$EA15,MATCH(CB$2,RawData[#Headers],))=""," ",INDEX('Raw Data'!$A15:$EA15,MATCH(CB$2,RawData[#Headers],)))</f>
        <v xml:space="preserve"> </v>
      </c>
      <c r="CC15" s="255" t="str">
        <f t="shared" si="40"/>
        <v xml:space="preserve"> </v>
      </c>
      <c r="CD15" s="255" t="str">
        <f>IF(INDEX('Raw Data'!$A15:$EA15,MATCH(CD$2,RawData[#Headers],))=""," ",INDEX('Raw Data'!$A15:$EA15,MATCH(CD$2,RawData[#Headers],)))</f>
        <v xml:space="preserve"> </v>
      </c>
      <c r="CE15" s="255" t="str">
        <f t="shared" si="41"/>
        <v xml:space="preserve"> </v>
      </c>
      <c r="CF15" s="255" t="str">
        <f>IF(INDEX('Raw Data'!$A15:$EA15,MATCH(CF$2,RawData[#Headers],))=""," ",INDEX('Raw Data'!$A15:$EA15,MATCH(CF$2,RawData[#Headers],)))</f>
        <v xml:space="preserve"> </v>
      </c>
      <c r="CG15" s="255" t="str">
        <f t="shared" si="42"/>
        <v xml:space="preserve"> </v>
      </c>
      <c r="CH15" s="255" t="str">
        <f>IF(INDEX('Raw Data'!$A15:$EA15,MATCH(CH$2,RawData[#Headers],))=""," ",INDEX('Raw Data'!$A15:$EA15,MATCH(CH$2,RawData[#Headers],)))</f>
        <v xml:space="preserve"> </v>
      </c>
      <c r="CI15" s="255" t="str">
        <f t="shared" si="43"/>
        <v xml:space="preserve"> </v>
      </c>
      <c r="CJ15" s="255" t="str">
        <f>IF(INDEX('Raw Data'!$A15:$EA15,MATCH(CJ$2,RawData[#Headers],))=""," ",INDEX('Raw Data'!$A15:$EA15,MATCH(CJ$2,RawData[#Headers],)))</f>
        <v xml:space="preserve"> </v>
      </c>
      <c r="CK15" s="255" t="str">
        <f t="shared" si="44"/>
        <v xml:space="preserve"> </v>
      </c>
      <c r="CL15" s="255" t="str">
        <f>IF(INDEX('Raw Data'!$A15:$EA15,MATCH(CL$2,RawData[#Headers],))=""," ",INDEX('Raw Data'!$A15:$EA15,MATCH(CL$2,RawData[#Headers],)))</f>
        <v xml:space="preserve"> </v>
      </c>
      <c r="CM15" s="255" t="str">
        <f t="shared" si="45"/>
        <v xml:space="preserve"> </v>
      </c>
      <c r="CN15" s="255" t="str">
        <f>IF(INDEX('Raw Data'!$A15:$EA15,MATCH(CN$2,RawData[#Headers],))=""," ",INDEX('Raw Data'!$A15:$EA15,MATCH(CN$2,RawData[#Headers],)))</f>
        <v xml:space="preserve"> </v>
      </c>
      <c r="CO15" s="255" t="str">
        <f t="shared" si="46"/>
        <v xml:space="preserve"> </v>
      </c>
      <c r="CP15" s="255" t="str">
        <f>IF(INDEX('Raw Data'!$A15:$EA15,MATCH(CP$2,RawData[#Headers],))=""," ",INDEX('Raw Data'!$A15:$EA15,MATCH(CP$2,RawData[#Headers],)))</f>
        <v xml:space="preserve"> </v>
      </c>
      <c r="CQ15" s="255" t="str">
        <f t="shared" si="47"/>
        <v xml:space="preserve"> </v>
      </c>
      <c r="CR15" s="255" t="str">
        <f>IF(INDEX('Raw Data'!$A15:$EA15,MATCH(CR$2,RawData[#Headers],))=""," ",INDEX('Raw Data'!$A15:$EA15,MATCH(CR$2,RawData[#Headers],)))</f>
        <v xml:space="preserve"> </v>
      </c>
      <c r="CS15" s="255" t="str">
        <f t="shared" si="48"/>
        <v xml:space="preserve"> </v>
      </c>
      <c r="CT15" s="255" t="str">
        <f>IF(INDEX('Raw Data'!$A15:$EA15,MATCH(CT$2,RawData[#Headers],))=""," ",INDEX('Raw Data'!$A15:$EA15,MATCH(CT$2,RawData[#Headers],)))</f>
        <v xml:space="preserve"> </v>
      </c>
      <c r="CU15" s="255" t="str">
        <f t="shared" si="49"/>
        <v xml:space="preserve"> </v>
      </c>
      <c r="CV15" s="255" t="str">
        <f>IF(INDEX('Raw Data'!$A15:$EA15,MATCH(CV$2,RawData[#Headers],))=""," ",INDEX('Raw Data'!$A15:$EA15,MATCH(CV$2,RawData[#Headers],)))</f>
        <v xml:space="preserve"> </v>
      </c>
      <c r="CW15" s="255" t="str">
        <f t="shared" si="50"/>
        <v xml:space="preserve"> </v>
      </c>
      <c r="CX15" s="255" t="str">
        <f>IF(INDEX('Raw Data'!$A15:$EA15,MATCH(CX$2,RawData[#Headers],))=""," ",INDEX('Raw Data'!$A15:$EA15,MATCH(CX$2,RawData[#Headers],)))</f>
        <v xml:space="preserve"> </v>
      </c>
      <c r="CY15" s="255" t="str">
        <f t="shared" si="51"/>
        <v xml:space="preserve"> </v>
      </c>
      <c r="CZ15" s="255" t="str">
        <f>IF(INDEX('Raw Data'!$A15:$EA15,MATCH(CZ$2,RawData[#Headers],))=""," ",INDEX('Raw Data'!$A15:$EA15,MATCH(CZ$2,RawData[#Headers],)))</f>
        <v xml:space="preserve"> </v>
      </c>
      <c r="DA15" s="255" t="str">
        <f t="shared" si="52"/>
        <v xml:space="preserve"> </v>
      </c>
      <c r="DB15" s="255" t="str">
        <f>IF(INDEX('Raw Data'!$A15:$EA15,MATCH(DB$2,RawData[#Headers],))=""," ",INDEX('Raw Data'!$A15:$EA15,MATCH(DB$2,RawData[#Headers],)))</f>
        <v xml:space="preserve"> </v>
      </c>
      <c r="DC15" s="255" t="str">
        <f t="shared" si="53"/>
        <v xml:space="preserve"> </v>
      </c>
      <c r="DD15" s="255" t="str">
        <f>IF(INDEX('Raw Data'!$A15:$EA15,MATCH(DD$2,RawData[#Headers],))=""," ",INDEX('Raw Data'!$A15:$EA15,MATCH(DD$2,RawData[#Headers],)))</f>
        <v xml:space="preserve"> </v>
      </c>
      <c r="DE15" s="255" t="str">
        <f t="shared" si="54"/>
        <v xml:space="preserve"> </v>
      </c>
      <c r="DF15" s="255" t="str">
        <f>IF(INDEX('Raw Data'!$A15:$EA15,MATCH(DF$2,RawData[#Headers],))=""," ",INDEX('Raw Data'!$A15:$EA15,MATCH(DF$2,RawData[#Headers],)))</f>
        <v xml:space="preserve"> </v>
      </c>
      <c r="DG15" s="255" t="str">
        <f t="shared" si="55"/>
        <v xml:space="preserve"> </v>
      </c>
      <c r="DH15" s="255" t="str">
        <f>IF(INDEX('Raw Data'!$A15:$EA15,MATCH(DH$2,RawData[#Headers],))=""," ",INDEX('Raw Data'!$A15:$EA15,MATCH(DH$2,RawData[#Headers],)))</f>
        <v xml:space="preserve"> </v>
      </c>
      <c r="DI15" s="255" t="str">
        <f t="shared" si="56"/>
        <v xml:space="preserve"> </v>
      </c>
      <c r="DJ15" s="255" t="str">
        <f>IF(INDEX('Raw Data'!$A15:$EA15,MATCH(DJ$2,RawData[#Headers],))=""," ",INDEX('Raw Data'!$A15:$EA15,MATCH(DJ$2,RawData[#Headers],)))</f>
        <v xml:space="preserve"> </v>
      </c>
      <c r="DK15" s="255" t="str">
        <f t="shared" si="57"/>
        <v xml:space="preserve"> </v>
      </c>
      <c r="DL15" s="255" t="str">
        <f>IF(INDEX('Raw Data'!$A15:$EA15,MATCH(DL$2,RawData[#Headers],))=""," ",INDEX('Raw Data'!$A15:$EA15,MATCH(DL$2,RawData[#Headers],)))</f>
        <v xml:space="preserve"> </v>
      </c>
      <c r="DM15" s="255" t="str">
        <f t="shared" si="58"/>
        <v xml:space="preserve"> </v>
      </c>
      <c r="DN15" s="255" t="str">
        <f>IF(INDEX('Raw Data'!$A15:$EA15,MATCH(DN$2,RawData[#Headers],))=""," ",INDEX('Raw Data'!$A15:$EA15,MATCH(DN$2,RawData[#Headers],)))</f>
        <v xml:space="preserve"> </v>
      </c>
      <c r="DO15" s="255" t="str">
        <f t="shared" si="59"/>
        <v xml:space="preserve"> </v>
      </c>
      <c r="DP15" s="255" t="str">
        <f>IF(INDEX('Raw Data'!$A15:$EA15,MATCH(DP$2,RawData[#Headers],))=""," ",INDEX('Raw Data'!$A15:$EA15,MATCH(DP$2,RawData[#Headers],)))</f>
        <v xml:space="preserve"> </v>
      </c>
      <c r="DQ15" s="255" t="str">
        <f t="shared" si="60"/>
        <v xml:space="preserve"> </v>
      </c>
      <c r="DR15" s="255" t="str">
        <f>IF(INDEX('Raw Data'!$A15:$EA15,MATCH(DR$2,RawData[#Headers],))=""," ",INDEX('Raw Data'!$A15:$EA15,MATCH(DR$2,RawData[#Headers],)))</f>
        <v xml:space="preserve"> </v>
      </c>
      <c r="DS15" s="255" t="str">
        <f t="shared" si="61"/>
        <v xml:space="preserve"> </v>
      </c>
      <c r="DT15" s="255" t="str">
        <f>IF(INDEX('Raw Data'!$A15:$EA15,MATCH(DT$2,RawData[#Headers],))=""," ",INDEX('Raw Data'!$A15:$EA15,MATCH(DT$2,RawData[#Headers],)))</f>
        <v xml:space="preserve"> </v>
      </c>
      <c r="DU15" s="255" t="str">
        <f t="shared" si="62"/>
        <v xml:space="preserve"> </v>
      </c>
      <c r="DV15" s="255" t="str">
        <f>IF(INDEX('Raw Data'!$A15:$EA15,MATCH(DV$2,RawData[#Headers],))=""," ",INDEX('Raw Data'!$A15:$EA15,MATCH(DV$2,RawData[#Headers],)))</f>
        <v xml:space="preserve"> </v>
      </c>
      <c r="DW15" s="255" t="str">
        <f t="shared" si="63"/>
        <v xml:space="preserve"> </v>
      </c>
      <c r="DX15" s="255" t="str">
        <f>IF(INDEX('Raw Data'!$A15:$EA15,MATCH(DX$2,RawData[#Headers],))=""," ",INDEX('Raw Data'!$A15:$EA15,MATCH(DX$2,RawData[#Headers],)))</f>
        <v xml:space="preserve"> </v>
      </c>
      <c r="DY15" s="255" t="str">
        <f t="shared" si="64"/>
        <v xml:space="preserve"> </v>
      </c>
      <c r="DZ15" s="255" t="str">
        <f>IF(INDEX('Raw Data'!$A15:$EA15,MATCH(DZ$2,RawData[#Headers],))=""," ",INDEX('Raw Data'!$A15:$EA15,MATCH(DZ$2,RawData[#Headers],)))</f>
        <v xml:space="preserve"> </v>
      </c>
      <c r="EA15" s="255" t="str">
        <f t="shared" si="65"/>
        <v xml:space="preserve"> </v>
      </c>
      <c r="EB15" s="255" t="str">
        <f>IF(INDEX('Raw Data'!$A15:$EA15,MATCH(EB$2,RawData[#Headers],))=""," ",INDEX('Raw Data'!$A15:$EA15,MATCH(EB$2,RawData[#Headers],)))</f>
        <v xml:space="preserve"> </v>
      </c>
      <c r="EC15" s="255" t="str">
        <f t="shared" si="66"/>
        <v xml:space="preserve"> </v>
      </c>
      <c r="ED15" s="255" t="str">
        <f>IF(INDEX('Raw Data'!$A15:$EA15,MATCH(ED$2,RawData[#Headers],))=""," ",INDEX('Raw Data'!$A15:$EA15,MATCH(ED$2,RawData[#Headers],)))</f>
        <v xml:space="preserve"> </v>
      </c>
      <c r="EE15" s="255" t="str">
        <f t="shared" si="67"/>
        <v xml:space="preserve"> </v>
      </c>
      <c r="EF15" s="255" t="str">
        <f>IF(INDEX('Raw Data'!$A15:$EA15,MATCH(EF$2,RawData[#Headers],))=""," ",INDEX('Raw Data'!$A15:$EA15,MATCH(EF$2,RawData[#Headers],)))</f>
        <v xml:space="preserve"> </v>
      </c>
      <c r="EG15" s="255" t="str">
        <f t="shared" si="68"/>
        <v xml:space="preserve"> </v>
      </c>
      <c r="EH15" s="255" t="str">
        <f>IF(INDEX('Raw Data'!$A15:$EA15,MATCH(EH$2,RawData[#Headers],))=""," ",INDEX('Raw Data'!$A15:$EA15,MATCH(EH$2,RawData[#Headers],)))</f>
        <v xml:space="preserve"> </v>
      </c>
      <c r="EI15" s="255" t="str">
        <f t="shared" si="69"/>
        <v xml:space="preserve"> </v>
      </c>
      <c r="EJ15" s="255" t="str">
        <f>IF(INDEX('Raw Data'!$A15:$EA15,MATCH(EJ$2,RawData[#Headers],))=""," ",INDEX('Raw Data'!$A15:$EA15,MATCH(EJ$2,RawData[#Headers],)))</f>
        <v xml:space="preserve"> </v>
      </c>
      <c r="EK15" s="255" t="str">
        <f t="shared" si="70"/>
        <v xml:space="preserve"> </v>
      </c>
      <c r="EL15" s="255" t="str">
        <f>IF(INDEX('Raw Data'!$A15:$EA15,MATCH(EL$2,RawData[#Headers],))=""," ",INDEX('Raw Data'!$A15:$EA15,MATCH(EL$2,RawData[#Headers],)))</f>
        <v xml:space="preserve"> </v>
      </c>
      <c r="EM15" s="255" t="str">
        <f t="shared" si="71"/>
        <v xml:space="preserve"> </v>
      </c>
      <c r="EN15" s="255" t="str">
        <f>IF(INDEX('Raw Data'!$A15:$EA15,MATCH(EN$2,RawData[#Headers],))=""," ",INDEX('Raw Data'!$A15:$EA15,MATCH(EN$2,RawData[#Headers],)))</f>
        <v xml:space="preserve"> </v>
      </c>
      <c r="EO15" s="255" t="str">
        <f t="shared" si="72"/>
        <v xml:space="preserve"> </v>
      </c>
      <c r="EP15" s="255" t="str">
        <f>IF(INDEX('Raw Data'!$A15:$EA15,MATCH(EP$2,RawData[#Headers],))=""," ",INDEX('Raw Data'!$A15:$EA15,MATCH(EP$2,RawData[#Headers],)))</f>
        <v xml:space="preserve"> </v>
      </c>
      <c r="EQ15" s="255" t="str">
        <f t="shared" si="73"/>
        <v xml:space="preserve"> </v>
      </c>
      <c r="ER15" s="255" t="str">
        <f>IF(INDEX('Raw Data'!$A15:$EA15,MATCH(ER$2,RawData[#Headers],))=""," ",INDEX('Raw Data'!$A15:$EA15,MATCH(ER$2,RawData[#Headers],)))</f>
        <v xml:space="preserve"> </v>
      </c>
      <c r="ES15" s="255" t="str">
        <f t="shared" si="2"/>
        <v xml:space="preserve"> </v>
      </c>
      <c r="ET15" s="255" t="str">
        <f>IF(INDEX('Raw Data'!$A15:$EA15,MATCH(ET$2,RawData[#Headers],))=""," ",INDEX('Raw Data'!$A15:$EA15,MATCH(ET$2,RawData[#Headers],)))</f>
        <v xml:space="preserve"> </v>
      </c>
      <c r="EU15" s="255" t="str">
        <f t="shared" si="3"/>
        <v xml:space="preserve"> </v>
      </c>
      <c r="EV15" s="255" t="str">
        <f>IF(INDEX('Raw Data'!$A15:$EA15,MATCH(EV$2,RawData[#Headers],))=""," ",INDEX('Raw Data'!$A15:$EA15,MATCH(EV$2,RawData[#Headers],)))</f>
        <v xml:space="preserve"> </v>
      </c>
      <c r="EW15" s="255" t="str">
        <f t="shared" si="4"/>
        <v xml:space="preserve"> </v>
      </c>
      <c r="EX15" s="255" t="str">
        <f>IF(INDEX('Raw Data'!$A15:$EA15,MATCH(EX$2,RawData[#Headers],))=""," ",INDEX('Raw Data'!$A15:$EA15,MATCH(EX$2,RawData[#Headers],)))</f>
        <v xml:space="preserve"> </v>
      </c>
      <c r="EY15" s="255" t="str">
        <f t="shared" si="74"/>
        <v xml:space="preserve"> </v>
      </c>
      <c r="EZ15" s="276" t="str">
        <f>IF(INDEX('Raw Data'!$A15:$EA15,MATCH(EZ$2,RawData[#Headers],))=""," ",INDEX('Raw Data'!$A15:$EA15,MATCH(EZ$2,RawData[#Headers],)))</f>
        <v xml:space="preserve"> </v>
      </c>
      <c r="FA15" s="255" t="str">
        <f t="shared" si="75"/>
        <v xml:space="preserve"> </v>
      </c>
      <c r="FB15" s="255" t="str">
        <f>IF(INDEX('Raw Data'!$A15:$EA15,MATCH(FB$2,RawData[#Headers],))=""," ",INDEX('Raw Data'!$A15:$EA15,MATCH(FB$2,RawData[#Headers],)))</f>
        <v xml:space="preserve"> </v>
      </c>
    </row>
    <row r="16" spans="1:158" x14ac:dyDescent="0.3">
      <c r="A16" s="255">
        <f>RawData[[#This Row],[Num]]</f>
        <v>0</v>
      </c>
      <c r="B16" s="255" t="str">
        <f>IF(INDEX('Raw Data'!$A16:$EA16,MATCH(B$2,RawData[#Headers],))=""," ",INDEX('Raw Data'!$A16:$EA16,MATCH(B$2,RawData[#Headers],)))</f>
        <v xml:space="preserve"> </v>
      </c>
      <c r="C16" s="326" t="str">
        <f>IFERROR(STANDARDIZE(machina[[#This Row],[Career Strike Rate]],B$30,B$31)^2," ")</f>
        <v xml:space="preserve"> </v>
      </c>
      <c r="D16" s="255" t="str">
        <f>IF(INDEX('Raw Data'!$A16:$EA16,MATCH(D$2,RawData[#Headers],))=""," ",INDEX('Raw Data'!$A16:$EA16,MATCH(D$2,RawData[#Headers],)))</f>
        <v xml:space="preserve"> </v>
      </c>
      <c r="E16" s="326" t="str">
        <f>IFERROR(STANDARDIZE(machina[[#This Row],[Career ROI]],D$30,D$31)^2," ")</f>
        <v xml:space="preserve"> </v>
      </c>
      <c r="F16" s="255" t="str">
        <f>IF(INDEX('Raw Data'!$A16:$EA16,MATCH(F$2,RawData[#Headers],))=""," ",INDEX('Raw Data'!$A16:$EA16,MATCH(F$2,RawData[#Headers],)))</f>
        <v xml:space="preserve"> </v>
      </c>
      <c r="G16" s="255" t="str">
        <f t="shared" si="5"/>
        <v xml:space="preserve"> </v>
      </c>
      <c r="H16" s="255" t="str">
        <f>IF(INDEX('Raw Data'!$A16:$EA16,MATCH(H$2,RawData[#Headers],))=""," ",INDEX('Raw Data'!$A16:$EA16,MATCH(H$2,RawData[#Headers],)))</f>
        <v xml:space="preserve"> </v>
      </c>
      <c r="I16" s="255" t="str">
        <f t="shared" si="6"/>
        <v xml:space="preserve"> </v>
      </c>
      <c r="J16" s="255" t="str">
        <f>IF(INDEX('Raw Data'!$A16:$EA16,MATCH(J$2,RawData[#Headers],))=""," ",INDEX('Raw Data'!$A16:$EA16,MATCH(J$2,RawData[#Headers],)))</f>
        <v xml:space="preserve"> </v>
      </c>
      <c r="K16" s="255" t="str">
        <f t="shared" si="7"/>
        <v xml:space="preserve"> </v>
      </c>
      <c r="L16" s="255" t="str">
        <f>IF(INDEX('Raw Data'!$A16:$EA16,MATCH(L$2,RawData[#Headers],))=""," ",INDEX('Raw Data'!$A16:$EA16,MATCH(L$2,RawData[#Headers],)))</f>
        <v xml:space="preserve"> </v>
      </c>
      <c r="M16" s="255" t="str">
        <f t="shared" si="0"/>
        <v xml:space="preserve"> </v>
      </c>
      <c r="N16" s="255" t="str">
        <f>IF(INDEX('Raw Data'!$A16:$EA16,MATCH(N$2,RawData[#Headers],))=""," ",INDEX('Raw Data'!$A16:$EA16,MATCH(N$2,RawData[#Headers],)))</f>
        <v xml:space="preserve"> </v>
      </c>
      <c r="O16" s="255" t="str">
        <f t="shared" si="0"/>
        <v xml:space="preserve"> </v>
      </c>
      <c r="P16" s="255" t="str">
        <f>IF(INDEX('Raw Data'!$A16:$EA16,MATCH(P$2,RawData[#Headers],))=""," ",INDEX('Raw Data'!$A16:$EA16,MATCH(P$2,RawData[#Headers],)))</f>
        <v xml:space="preserve"> </v>
      </c>
      <c r="Q16" s="255" t="str">
        <f t="shared" ref="Q16" si="87">IF(ISERROR(IF(P16=""," ",RANK(P16,P$3:P$28,1)))," ",IF(P16=""," ",RANK(P16,P$3:P$28,1)))</f>
        <v xml:space="preserve"> </v>
      </c>
      <c r="R16" s="255" t="str">
        <f>IF(INDEX('Raw Data'!$A16:$EA16,MATCH(R$2,RawData[#Headers],))=""," ",INDEX('Raw Data'!$A16:$EA16,MATCH(R$2,RawData[#Headers],)))</f>
        <v xml:space="preserve"> </v>
      </c>
      <c r="S16" s="255" t="str">
        <f t="shared" si="9"/>
        <v xml:space="preserve"> </v>
      </c>
      <c r="T16" s="255" t="str">
        <f>IF(INDEX('Raw Data'!$A16:$EA16,MATCH(T$2,RawData[#Headers],))=""," ",INDEX('Raw Data'!$A16:$EA16,MATCH(T$2,RawData[#Headers],)))</f>
        <v xml:space="preserve"> </v>
      </c>
      <c r="U16" s="255" t="str">
        <f t="shared" si="10"/>
        <v xml:space="preserve"> </v>
      </c>
      <c r="V16" s="255" t="str">
        <f>IF(INDEX('Raw Data'!$A16:$EA16,MATCH(V$2,RawData[#Headers],))=""," ",INDEX('Raw Data'!$A16:$EA16,MATCH(V$2,RawData[#Headers],)))</f>
        <v xml:space="preserve"> </v>
      </c>
      <c r="W16" s="255" t="str">
        <f t="shared" si="11"/>
        <v xml:space="preserve"> </v>
      </c>
      <c r="X16" s="255" t="str">
        <f>IF(INDEX('Raw Data'!$A16:$EA16,MATCH(X$2,RawData[#Headers],))=""," ",INDEX('Raw Data'!$A16:$EA16,MATCH(X$2,RawData[#Headers],)))</f>
        <v xml:space="preserve"> </v>
      </c>
      <c r="Y16" s="255" t="str">
        <f t="shared" si="12"/>
        <v xml:space="preserve"> </v>
      </c>
      <c r="Z16" s="255" t="str">
        <f>IF(INDEX('Raw Data'!$A16:$EA16,MATCH(Z$2,RawData[#Headers],))=""," ",INDEX('Raw Data'!$A16:$EA16,MATCH(Z$2,RawData[#Headers],)))</f>
        <v xml:space="preserve"> </v>
      </c>
      <c r="AA16" s="255" t="str">
        <f t="shared" si="13"/>
        <v xml:space="preserve"> </v>
      </c>
      <c r="AB16" s="255" t="str">
        <f>IF(INDEX('Raw Data'!$A16:$EA16,MATCH(AB$2,RawData[#Headers],))=""," ",INDEX('Raw Data'!$A16:$EA16,MATCH(AB$2,RawData[#Headers],)))</f>
        <v xml:space="preserve"> </v>
      </c>
      <c r="AC16" s="255" t="str">
        <f t="shared" si="14"/>
        <v xml:space="preserve"> </v>
      </c>
      <c r="AD16" s="255" t="str">
        <f>IF(INDEX('Raw Data'!$A16:$EA16,MATCH(AD$2,RawData[#Headers],))=""," ",INDEX('Raw Data'!$A16:$EA16,MATCH(AD$2,RawData[#Headers],)))</f>
        <v xml:space="preserve"> </v>
      </c>
      <c r="AE16" s="255" t="str">
        <f t="shared" si="15"/>
        <v xml:space="preserve"> </v>
      </c>
      <c r="AF16" s="255" t="str">
        <f>IF(INDEX('Raw Data'!$A16:$EA16,MATCH(AF$2,RawData[#Headers],))=""," ",INDEX('Raw Data'!$A16:$EA16,MATCH(AF$2,RawData[#Headers],)))</f>
        <v xml:space="preserve"> </v>
      </c>
      <c r="AG16" s="255" t="str">
        <f t="shared" si="16"/>
        <v xml:space="preserve"> </v>
      </c>
      <c r="AH16" s="255" t="str">
        <f>IF(INDEX('Raw Data'!$A16:$EA16,MATCH(AH$2,RawData[#Headers],))=""," ",INDEX('Raw Data'!$A16:$EA16,MATCH(AH$2,RawData[#Headers],)))</f>
        <v xml:space="preserve"> </v>
      </c>
      <c r="AI16" s="255" t="str">
        <f t="shared" si="17"/>
        <v xml:space="preserve"> </v>
      </c>
      <c r="AJ16" s="255" t="str">
        <f>IF(INDEX('Raw Data'!$A16:$EA16,MATCH(AJ$2,RawData[#Headers],))=""," ",INDEX('Raw Data'!$A16:$EA16,MATCH(AJ$2,RawData[#Headers],)))</f>
        <v xml:space="preserve"> </v>
      </c>
      <c r="AK16" s="255" t="str">
        <f t="shared" si="18"/>
        <v xml:space="preserve"> </v>
      </c>
      <c r="AL16" s="255" t="str">
        <f>IF(INDEX('Raw Data'!$A16:$EA16,MATCH(AL$2,RawData[#Headers],))=""," ",INDEX('Raw Data'!$A16:$EA16,MATCH(AL$2,RawData[#Headers],)))</f>
        <v xml:space="preserve"> </v>
      </c>
      <c r="AM16" s="255" t="str">
        <f t="shared" si="19"/>
        <v xml:space="preserve"> </v>
      </c>
      <c r="AN16" s="255" t="str">
        <f>IF(INDEX('Raw Data'!$A16:$EA16,MATCH(AN$2,RawData[#Headers],))=""," ",INDEX('Raw Data'!$A16:$EA16,MATCH(AN$2,RawData[#Headers],)))</f>
        <v xml:space="preserve"> </v>
      </c>
      <c r="AO16" s="255" t="str">
        <f t="shared" si="20"/>
        <v xml:space="preserve"> </v>
      </c>
      <c r="AP16" s="255" t="str">
        <f>IF(INDEX('Raw Data'!$A16:$EA16,MATCH(AP$2,RawData[#Headers],))=""," ",INDEX('Raw Data'!$A16:$EA16,MATCH(AP$2,RawData[#Headers],)))</f>
        <v xml:space="preserve"> </v>
      </c>
      <c r="AQ16" s="255" t="str">
        <f t="shared" si="21"/>
        <v xml:space="preserve"> </v>
      </c>
      <c r="AR16" s="255" t="str">
        <f>IF(INDEX('Raw Data'!$A16:$EA16,MATCH(AR$2,RawData[#Headers],))=""," ",INDEX('Raw Data'!$A16:$EA16,MATCH(AR$2,RawData[#Headers],)))</f>
        <v xml:space="preserve"> </v>
      </c>
      <c r="AS16" s="255" t="str">
        <f t="shared" si="22"/>
        <v xml:space="preserve"> </v>
      </c>
      <c r="AT16" s="255" t="str">
        <f>IF(INDEX('Raw Data'!$A16:$EA16,MATCH(AT$2,RawData[#Headers],))=""," ",INDEX('Raw Data'!$A16:$EA16,MATCH(AT$2,RawData[#Headers],)))</f>
        <v xml:space="preserve"> </v>
      </c>
      <c r="AU16" s="255" t="str">
        <f t="shared" si="23"/>
        <v xml:space="preserve"> </v>
      </c>
      <c r="AV16" s="255" t="str">
        <f>IF(INDEX('Raw Data'!$A16:$EA16,MATCH(AV$2,RawData[#Headers],))=""," ",INDEX('Raw Data'!$A16:$EA16,MATCH(AV$2,RawData[#Headers],)))</f>
        <v xml:space="preserve"> </v>
      </c>
      <c r="AW16" s="255" t="str">
        <f t="shared" si="24"/>
        <v xml:space="preserve"> </v>
      </c>
      <c r="AX16" s="255" t="str">
        <f>IF(INDEX('Raw Data'!$A16:$EA16,MATCH(AX$2,RawData[#Headers],))=""," ",INDEX('Raw Data'!$A16:$EA16,MATCH(AX$2,RawData[#Headers],)))</f>
        <v xml:space="preserve"> </v>
      </c>
      <c r="AY16" s="255" t="str">
        <f t="shared" si="25"/>
        <v xml:space="preserve"> </v>
      </c>
      <c r="AZ16" s="255" t="str">
        <f>IF(INDEX('Raw Data'!$A16:$EA16,MATCH(AZ$2,RawData[#Headers],))=""," ",INDEX('Raw Data'!$A16:$EA16,MATCH(AZ$2,RawData[#Headers],)))</f>
        <v xml:space="preserve"> </v>
      </c>
      <c r="BA16" s="255" t="str">
        <f t="shared" si="26"/>
        <v xml:space="preserve"> </v>
      </c>
      <c r="BB16" s="255" t="str">
        <f>IF(INDEX('Raw Data'!$A16:$EA16,MATCH(BB$2,RawData[#Headers],))=""," ",INDEX('Raw Data'!$A16:$EA16,MATCH(BB$2,RawData[#Headers],)))</f>
        <v xml:space="preserve"> </v>
      </c>
      <c r="BC16" s="255" t="str">
        <f t="shared" si="27"/>
        <v xml:space="preserve"> </v>
      </c>
      <c r="BD16" s="255" t="str">
        <f>IF(INDEX('Raw Data'!$A16:$EA16,MATCH(BD$2,RawData[#Headers],))=""," ",INDEX('Raw Data'!$A16:$EA16,MATCH(BD$2,RawData[#Headers],)))</f>
        <v xml:space="preserve"> </v>
      </c>
      <c r="BE16" s="255" t="str">
        <f t="shared" si="28"/>
        <v xml:space="preserve"> </v>
      </c>
      <c r="BF16" s="255" t="str">
        <f>IF(INDEX('Raw Data'!$A16:$EA16,MATCH(BF$2,RawData[#Headers],))=""," ",INDEX('Raw Data'!$A16:$EA16,MATCH(BF$2,RawData[#Headers],)))</f>
        <v xml:space="preserve"> </v>
      </c>
      <c r="BG16" s="255" t="str">
        <f t="shared" si="29"/>
        <v xml:space="preserve"> </v>
      </c>
      <c r="BH16" s="255" t="str">
        <f>IF(INDEX('Raw Data'!$A16:$EA16,MATCH(BH$2,RawData[#Headers],))=""," ",INDEX('Raw Data'!$A16:$EA16,MATCH(BH$2,RawData[#Headers],)))</f>
        <v xml:space="preserve"> </v>
      </c>
      <c r="BI16" s="255" t="str">
        <f t="shared" si="30"/>
        <v xml:space="preserve"> </v>
      </c>
      <c r="BJ16" s="255" t="str">
        <f>IF(INDEX('Raw Data'!$A16:$EA16,MATCH(BJ$2,RawData[#Headers],))=""," ",INDEX('Raw Data'!$A16:$EA16,MATCH(BJ$2,RawData[#Headers],)))</f>
        <v xml:space="preserve"> </v>
      </c>
      <c r="BK16" s="255" t="str">
        <f t="shared" si="31"/>
        <v xml:space="preserve"> </v>
      </c>
      <c r="BL16" s="255" t="str">
        <f>IF(INDEX('Raw Data'!$A16:$EA16,MATCH(BL$2,RawData[#Headers],))=""," ",INDEX('Raw Data'!$A16:$EA16,MATCH(BL$2,RawData[#Headers],)))</f>
        <v xml:space="preserve"> </v>
      </c>
      <c r="BM16" s="255" t="str">
        <f t="shared" si="32"/>
        <v xml:space="preserve"> </v>
      </c>
      <c r="BN16" s="255" t="str">
        <f>IF(INDEX('Raw Data'!$A16:$EA16,MATCH(BN$2,RawData[#Headers],))=""," ",INDEX('Raw Data'!$A16:$EA16,MATCH(BN$2,RawData[#Headers],)))</f>
        <v xml:space="preserve"> </v>
      </c>
      <c r="BO16" s="255" t="str">
        <f t="shared" si="33"/>
        <v xml:space="preserve"> </v>
      </c>
      <c r="BP16" s="255" t="str">
        <f>IF(INDEX('Raw Data'!$A16:$EA16,MATCH(BP$2,RawData[#Headers],))=""," ",INDEX('Raw Data'!$A16:$EA16,MATCH(BP$2,RawData[#Headers],)))</f>
        <v xml:space="preserve"> </v>
      </c>
      <c r="BQ16" s="255" t="str">
        <f t="shared" si="34"/>
        <v xml:space="preserve"> </v>
      </c>
      <c r="BR16" s="255" t="str">
        <f>IF(INDEX('Raw Data'!$A16:$EA16,MATCH(BR$2,RawData[#Headers],))=""," ",INDEX('Raw Data'!$A16:$EA16,MATCH(BR$2,RawData[#Headers],)))</f>
        <v xml:space="preserve"> </v>
      </c>
      <c r="BS16" s="255" t="str">
        <f t="shared" si="35"/>
        <v xml:space="preserve"> </v>
      </c>
      <c r="BT16" s="255" t="str">
        <f>IF(INDEX('Raw Data'!$A16:$EA16,MATCH(BT$2,RawData[#Headers],))=""," ",INDEX('Raw Data'!$A16:$EA16,MATCH(BT$2,RawData[#Headers],)))</f>
        <v xml:space="preserve"> </v>
      </c>
      <c r="BU16" s="255" t="str">
        <f t="shared" si="36"/>
        <v xml:space="preserve"> </v>
      </c>
      <c r="BV16" s="255" t="str">
        <f>IF(INDEX('Raw Data'!$A16:$EA16,MATCH(BV$2,RawData[#Headers],))=""," ",INDEX('Raw Data'!$A16:$EA16,MATCH(BV$2,RawData[#Headers],)))</f>
        <v xml:space="preserve"> </v>
      </c>
      <c r="BW16" s="255" t="str">
        <f t="shared" si="37"/>
        <v xml:space="preserve"> </v>
      </c>
      <c r="BX16" s="255" t="str">
        <f>IF(INDEX('Raw Data'!$A16:$EA16,MATCH(BX$2,RawData[#Headers],))=""," ",INDEX('Raw Data'!$A16:$EA16,MATCH(BX$2,RawData[#Headers],)))</f>
        <v xml:space="preserve"> </v>
      </c>
      <c r="BY16" s="255" t="str">
        <f t="shared" si="38"/>
        <v xml:space="preserve"> </v>
      </c>
      <c r="BZ16" s="255" t="str">
        <f>IF(INDEX('Raw Data'!$A16:$EA16,MATCH(BZ$2,RawData[#Headers],))=""," ",INDEX('Raw Data'!$A16:$EA16,MATCH(BZ$2,RawData[#Headers],)))</f>
        <v xml:space="preserve"> </v>
      </c>
      <c r="CA16" s="255" t="str">
        <f t="shared" si="39"/>
        <v xml:space="preserve"> </v>
      </c>
      <c r="CB16" s="255" t="str">
        <f>IF(INDEX('Raw Data'!$A16:$EA16,MATCH(CB$2,RawData[#Headers],))=""," ",INDEX('Raw Data'!$A16:$EA16,MATCH(CB$2,RawData[#Headers],)))</f>
        <v xml:space="preserve"> </v>
      </c>
      <c r="CC16" s="255" t="str">
        <f t="shared" si="40"/>
        <v xml:space="preserve"> </v>
      </c>
      <c r="CD16" s="255" t="str">
        <f>IF(INDEX('Raw Data'!$A16:$EA16,MATCH(CD$2,RawData[#Headers],))=""," ",INDEX('Raw Data'!$A16:$EA16,MATCH(CD$2,RawData[#Headers],)))</f>
        <v xml:space="preserve"> </v>
      </c>
      <c r="CE16" s="255" t="str">
        <f t="shared" si="41"/>
        <v xml:space="preserve"> </v>
      </c>
      <c r="CF16" s="255" t="str">
        <f>IF(INDEX('Raw Data'!$A16:$EA16,MATCH(CF$2,RawData[#Headers],))=""," ",INDEX('Raw Data'!$A16:$EA16,MATCH(CF$2,RawData[#Headers],)))</f>
        <v xml:space="preserve"> </v>
      </c>
      <c r="CG16" s="255" t="str">
        <f t="shared" si="42"/>
        <v xml:space="preserve"> </v>
      </c>
      <c r="CH16" s="255" t="str">
        <f>IF(INDEX('Raw Data'!$A16:$EA16,MATCH(CH$2,RawData[#Headers],))=""," ",INDEX('Raw Data'!$A16:$EA16,MATCH(CH$2,RawData[#Headers],)))</f>
        <v xml:space="preserve"> </v>
      </c>
      <c r="CI16" s="255" t="str">
        <f t="shared" si="43"/>
        <v xml:space="preserve"> </v>
      </c>
      <c r="CJ16" s="255" t="str">
        <f>IF(INDEX('Raw Data'!$A16:$EA16,MATCH(CJ$2,RawData[#Headers],))=""," ",INDEX('Raw Data'!$A16:$EA16,MATCH(CJ$2,RawData[#Headers],)))</f>
        <v xml:space="preserve"> </v>
      </c>
      <c r="CK16" s="255" t="str">
        <f t="shared" si="44"/>
        <v xml:space="preserve"> </v>
      </c>
      <c r="CL16" s="255" t="str">
        <f>IF(INDEX('Raw Data'!$A16:$EA16,MATCH(CL$2,RawData[#Headers],))=""," ",INDEX('Raw Data'!$A16:$EA16,MATCH(CL$2,RawData[#Headers],)))</f>
        <v xml:space="preserve"> </v>
      </c>
      <c r="CM16" s="255" t="str">
        <f t="shared" si="45"/>
        <v xml:space="preserve"> </v>
      </c>
      <c r="CN16" s="255" t="str">
        <f>IF(INDEX('Raw Data'!$A16:$EA16,MATCH(CN$2,RawData[#Headers],))=""," ",INDEX('Raw Data'!$A16:$EA16,MATCH(CN$2,RawData[#Headers],)))</f>
        <v xml:space="preserve"> </v>
      </c>
      <c r="CO16" s="255" t="str">
        <f t="shared" si="46"/>
        <v xml:space="preserve"> </v>
      </c>
      <c r="CP16" s="255" t="str">
        <f>IF(INDEX('Raw Data'!$A16:$EA16,MATCH(CP$2,RawData[#Headers],))=""," ",INDEX('Raw Data'!$A16:$EA16,MATCH(CP$2,RawData[#Headers],)))</f>
        <v xml:space="preserve"> </v>
      </c>
      <c r="CQ16" s="255" t="str">
        <f t="shared" si="47"/>
        <v xml:space="preserve"> </v>
      </c>
      <c r="CR16" s="255" t="str">
        <f>IF(INDEX('Raw Data'!$A16:$EA16,MATCH(CR$2,RawData[#Headers],))=""," ",INDEX('Raw Data'!$A16:$EA16,MATCH(CR$2,RawData[#Headers],)))</f>
        <v xml:space="preserve"> </v>
      </c>
      <c r="CS16" s="255" t="str">
        <f t="shared" si="48"/>
        <v xml:space="preserve"> </v>
      </c>
      <c r="CT16" s="255" t="str">
        <f>IF(INDEX('Raw Data'!$A16:$EA16,MATCH(CT$2,RawData[#Headers],))=""," ",INDEX('Raw Data'!$A16:$EA16,MATCH(CT$2,RawData[#Headers],)))</f>
        <v xml:space="preserve"> </v>
      </c>
      <c r="CU16" s="255" t="str">
        <f t="shared" si="49"/>
        <v xml:space="preserve"> </v>
      </c>
      <c r="CV16" s="255" t="str">
        <f>IF(INDEX('Raw Data'!$A16:$EA16,MATCH(CV$2,RawData[#Headers],))=""," ",INDEX('Raw Data'!$A16:$EA16,MATCH(CV$2,RawData[#Headers],)))</f>
        <v xml:space="preserve"> </v>
      </c>
      <c r="CW16" s="255" t="str">
        <f t="shared" si="50"/>
        <v xml:space="preserve"> </v>
      </c>
      <c r="CX16" s="255" t="str">
        <f>IF(INDEX('Raw Data'!$A16:$EA16,MATCH(CX$2,RawData[#Headers],))=""," ",INDEX('Raw Data'!$A16:$EA16,MATCH(CX$2,RawData[#Headers],)))</f>
        <v xml:space="preserve"> </v>
      </c>
      <c r="CY16" s="255" t="str">
        <f t="shared" si="51"/>
        <v xml:space="preserve"> </v>
      </c>
      <c r="CZ16" s="255" t="str">
        <f>IF(INDEX('Raw Data'!$A16:$EA16,MATCH(CZ$2,RawData[#Headers],))=""," ",INDEX('Raw Data'!$A16:$EA16,MATCH(CZ$2,RawData[#Headers],)))</f>
        <v xml:space="preserve"> </v>
      </c>
      <c r="DA16" s="255" t="str">
        <f t="shared" si="52"/>
        <v xml:space="preserve"> </v>
      </c>
      <c r="DB16" s="255" t="str">
        <f>IF(INDEX('Raw Data'!$A16:$EA16,MATCH(DB$2,RawData[#Headers],))=""," ",INDEX('Raw Data'!$A16:$EA16,MATCH(DB$2,RawData[#Headers],)))</f>
        <v xml:space="preserve"> </v>
      </c>
      <c r="DC16" s="255" t="str">
        <f t="shared" si="53"/>
        <v xml:space="preserve"> </v>
      </c>
      <c r="DD16" s="255" t="str">
        <f>IF(INDEX('Raw Data'!$A16:$EA16,MATCH(DD$2,RawData[#Headers],))=""," ",INDEX('Raw Data'!$A16:$EA16,MATCH(DD$2,RawData[#Headers],)))</f>
        <v xml:space="preserve"> </v>
      </c>
      <c r="DE16" s="255" t="str">
        <f t="shared" si="54"/>
        <v xml:space="preserve"> </v>
      </c>
      <c r="DF16" s="255" t="str">
        <f>IF(INDEX('Raw Data'!$A16:$EA16,MATCH(DF$2,RawData[#Headers],))=""," ",INDEX('Raw Data'!$A16:$EA16,MATCH(DF$2,RawData[#Headers],)))</f>
        <v xml:space="preserve"> </v>
      </c>
      <c r="DG16" s="255" t="str">
        <f t="shared" si="55"/>
        <v xml:space="preserve"> </v>
      </c>
      <c r="DH16" s="255" t="str">
        <f>IF(INDEX('Raw Data'!$A16:$EA16,MATCH(DH$2,RawData[#Headers],))=""," ",INDEX('Raw Data'!$A16:$EA16,MATCH(DH$2,RawData[#Headers],)))</f>
        <v xml:space="preserve"> </v>
      </c>
      <c r="DI16" s="255" t="str">
        <f t="shared" si="56"/>
        <v xml:space="preserve"> </v>
      </c>
      <c r="DJ16" s="255" t="str">
        <f>IF(INDEX('Raw Data'!$A16:$EA16,MATCH(DJ$2,RawData[#Headers],))=""," ",INDEX('Raw Data'!$A16:$EA16,MATCH(DJ$2,RawData[#Headers],)))</f>
        <v xml:space="preserve"> </v>
      </c>
      <c r="DK16" s="255" t="str">
        <f t="shared" si="57"/>
        <v xml:space="preserve"> </v>
      </c>
      <c r="DL16" s="255" t="str">
        <f>IF(INDEX('Raw Data'!$A16:$EA16,MATCH(DL$2,RawData[#Headers],))=""," ",INDEX('Raw Data'!$A16:$EA16,MATCH(DL$2,RawData[#Headers],)))</f>
        <v xml:space="preserve"> </v>
      </c>
      <c r="DM16" s="255" t="str">
        <f t="shared" si="58"/>
        <v xml:space="preserve"> </v>
      </c>
      <c r="DN16" s="255" t="str">
        <f>IF(INDEX('Raw Data'!$A16:$EA16,MATCH(DN$2,RawData[#Headers],))=""," ",INDEX('Raw Data'!$A16:$EA16,MATCH(DN$2,RawData[#Headers],)))</f>
        <v xml:space="preserve"> </v>
      </c>
      <c r="DO16" s="255" t="str">
        <f t="shared" si="59"/>
        <v xml:space="preserve"> </v>
      </c>
      <c r="DP16" s="255" t="str">
        <f>IF(INDEX('Raw Data'!$A16:$EA16,MATCH(DP$2,RawData[#Headers],))=""," ",INDEX('Raw Data'!$A16:$EA16,MATCH(DP$2,RawData[#Headers],)))</f>
        <v xml:space="preserve"> </v>
      </c>
      <c r="DQ16" s="255" t="str">
        <f t="shared" si="60"/>
        <v xml:space="preserve"> </v>
      </c>
      <c r="DR16" s="255" t="str">
        <f>IF(INDEX('Raw Data'!$A16:$EA16,MATCH(DR$2,RawData[#Headers],))=""," ",INDEX('Raw Data'!$A16:$EA16,MATCH(DR$2,RawData[#Headers],)))</f>
        <v xml:space="preserve"> </v>
      </c>
      <c r="DS16" s="255" t="str">
        <f t="shared" si="61"/>
        <v xml:space="preserve"> </v>
      </c>
      <c r="DT16" s="255" t="str">
        <f>IF(INDEX('Raw Data'!$A16:$EA16,MATCH(DT$2,RawData[#Headers],))=""," ",INDEX('Raw Data'!$A16:$EA16,MATCH(DT$2,RawData[#Headers],)))</f>
        <v xml:space="preserve"> </v>
      </c>
      <c r="DU16" s="255" t="str">
        <f t="shared" si="62"/>
        <v xml:space="preserve"> </v>
      </c>
      <c r="DV16" s="255" t="str">
        <f>IF(INDEX('Raw Data'!$A16:$EA16,MATCH(DV$2,RawData[#Headers],))=""," ",INDEX('Raw Data'!$A16:$EA16,MATCH(DV$2,RawData[#Headers],)))</f>
        <v xml:space="preserve"> </v>
      </c>
      <c r="DW16" s="255" t="str">
        <f t="shared" si="63"/>
        <v xml:space="preserve"> </v>
      </c>
      <c r="DX16" s="255" t="str">
        <f>IF(INDEX('Raw Data'!$A16:$EA16,MATCH(DX$2,RawData[#Headers],))=""," ",INDEX('Raw Data'!$A16:$EA16,MATCH(DX$2,RawData[#Headers],)))</f>
        <v xml:space="preserve"> </v>
      </c>
      <c r="DY16" s="255" t="str">
        <f t="shared" si="64"/>
        <v xml:space="preserve"> </v>
      </c>
      <c r="DZ16" s="255" t="str">
        <f>IF(INDEX('Raw Data'!$A16:$EA16,MATCH(DZ$2,RawData[#Headers],))=""," ",INDEX('Raw Data'!$A16:$EA16,MATCH(DZ$2,RawData[#Headers],)))</f>
        <v xml:space="preserve"> </v>
      </c>
      <c r="EA16" s="255" t="str">
        <f t="shared" si="65"/>
        <v xml:space="preserve"> </v>
      </c>
      <c r="EB16" s="255" t="str">
        <f>IF(INDEX('Raw Data'!$A16:$EA16,MATCH(EB$2,RawData[#Headers],))=""," ",INDEX('Raw Data'!$A16:$EA16,MATCH(EB$2,RawData[#Headers],)))</f>
        <v xml:space="preserve"> </v>
      </c>
      <c r="EC16" s="255" t="str">
        <f t="shared" si="66"/>
        <v xml:space="preserve"> </v>
      </c>
      <c r="ED16" s="255" t="str">
        <f>IF(INDEX('Raw Data'!$A16:$EA16,MATCH(ED$2,RawData[#Headers],))=""," ",INDEX('Raw Data'!$A16:$EA16,MATCH(ED$2,RawData[#Headers],)))</f>
        <v xml:space="preserve"> </v>
      </c>
      <c r="EE16" s="255" t="str">
        <f t="shared" si="67"/>
        <v xml:space="preserve"> </v>
      </c>
      <c r="EF16" s="255" t="str">
        <f>IF(INDEX('Raw Data'!$A16:$EA16,MATCH(EF$2,RawData[#Headers],))=""," ",INDEX('Raw Data'!$A16:$EA16,MATCH(EF$2,RawData[#Headers],)))</f>
        <v xml:space="preserve"> </v>
      </c>
      <c r="EG16" s="255" t="str">
        <f t="shared" si="68"/>
        <v xml:space="preserve"> </v>
      </c>
      <c r="EH16" s="255" t="str">
        <f>IF(INDEX('Raw Data'!$A16:$EA16,MATCH(EH$2,RawData[#Headers],))=""," ",INDEX('Raw Data'!$A16:$EA16,MATCH(EH$2,RawData[#Headers],)))</f>
        <v xml:space="preserve"> </v>
      </c>
      <c r="EI16" s="255" t="str">
        <f t="shared" si="69"/>
        <v xml:space="preserve"> </v>
      </c>
      <c r="EJ16" s="255" t="str">
        <f>IF(INDEX('Raw Data'!$A16:$EA16,MATCH(EJ$2,RawData[#Headers],))=""," ",INDEX('Raw Data'!$A16:$EA16,MATCH(EJ$2,RawData[#Headers],)))</f>
        <v xml:space="preserve"> </v>
      </c>
      <c r="EK16" s="255" t="str">
        <f t="shared" si="70"/>
        <v xml:space="preserve"> </v>
      </c>
      <c r="EL16" s="255" t="str">
        <f>IF(INDEX('Raw Data'!$A16:$EA16,MATCH(EL$2,RawData[#Headers],))=""," ",INDEX('Raw Data'!$A16:$EA16,MATCH(EL$2,RawData[#Headers],)))</f>
        <v xml:space="preserve"> </v>
      </c>
      <c r="EM16" s="255" t="str">
        <f t="shared" si="71"/>
        <v xml:space="preserve"> </v>
      </c>
      <c r="EN16" s="255" t="str">
        <f>IF(INDEX('Raw Data'!$A16:$EA16,MATCH(EN$2,RawData[#Headers],))=""," ",INDEX('Raw Data'!$A16:$EA16,MATCH(EN$2,RawData[#Headers],)))</f>
        <v xml:space="preserve"> </v>
      </c>
      <c r="EO16" s="255" t="str">
        <f t="shared" si="72"/>
        <v xml:space="preserve"> </v>
      </c>
      <c r="EP16" s="255" t="str">
        <f>IF(INDEX('Raw Data'!$A16:$EA16,MATCH(EP$2,RawData[#Headers],))=""," ",INDEX('Raw Data'!$A16:$EA16,MATCH(EP$2,RawData[#Headers],)))</f>
        <v xml:space="preserve"> </v>
      </c>
      <c r="EQ16" s="255" t="str">
        <f t="shared" si="73"/>
        <v xml:space="preserve"> </v>
      </c>
      <c r="ER16" s="255" t="str">
        <f>IF(INDEX('Raw Data'!$A16:$EA16,MATCH(ER$2,RawData[#Headers],))=""," ",INDEX('Raw Data'!$A16:$EA16,MATCH(ER$2,RawData[#Headers],)))</f>
        <v xml:space="preserve"> </v>
      </c>
      <c r="ES16" s="255" t="str">
        <f t="shared" si="2"/>
        <v xml:space="preserve"> </v>
      </c>
      <c r="ET16" s="255" t="str">
        <f>IF(INDEX('Raw Data'!$A16:$EA16,MATCH(ET$2,RawData[#Headers],))=""," ",INDEX('Raw Data'!$A16:$EA16,MATCH(ET$2,RawData[#Headers],)))</f>
        <v xml:space="preserve"> </v>
      </c>
      <c r="EU16" s="255" t="str">
        <f t="shared" si="3"/>
        <v xml:space="preserve"> </v>
      </c>
      <c r="EV16" s="255" t="str">
        <f>IF(INDEX('Raw Data'!$A16:$EA16,MATCH(EV$2,RawData[#Headers],))=""," ",INDEX('Raw Data'!$A16:$EA16,MATCH(EV$2,RawData[#Headers],)))</f>
        <v xml:space="preserve"> </v>
      </c>
      <c r="EW16" s="255" t="str">
        <f t="shared" si="4"/>
        <v xml:space="preserve"> </v>
      </c>
      <c r="EX16" s="255" t="str">
        <f>IF(INDEX('Raw Data'!$A16:$EA16,MATCH(EX$2,RawData[#Headers],))=""," ",INDEX('Raw Data'!$A16:$EA16,MATCH(EX$2,RawData[#Headers],)))</f>
        <v xml:space="preserve"> </v>
      </c>
      <c r="EY16" s="255" t="str">
        <f t="shared" si="74"/>
        <v xml:space="preserve"> </v>
      </c>
      <c r="EZ16" s="276" t="str">
        <f>IF(INDEX('Raw Data'!$A16:$EA16,MATCH(EZ$2,RawData[#Headers],))=""," ",INDEX('Raw Data'!$A16:$EA16,MATCH(EZ$2,RawData[#Headers],)))</f>
        <v xml:space="preserve"> </v>
      </c>
      <c r="FA16" s="255" t="str">
        <f t="shared" si="75"/>
        <v xml:space="preserve"> </v>
      </c>
      <c r="FB16" s="255" t="str">
        <f>IF(INDEX('Raw Data'!$A16:$EA16,MATCH(FB$2,RawData[#Headers],))=""," ",INDEX('Raw Data'!$A16:$EA16,MATCH(FB$2,RawData[#Headers],)))</f>
        <v xml:space="preserve"> </v>
      </c>
    </row>
    <row r="17" spans="1:158" x14ac:dyDescent="0.3">
      <c r="A17" s="255">
        <f>RawData[[#This Row],[Num]]</f>
        <v>0</v>
      </c>
      <c r="B17" s="255" t="str">
        <f>IF(INDEX('Raw Data'!$A17:$EA17,MATCH(B$2,RawData[#Headers],))=""," ",INDEX('Raw Data'!$A17:$EA17,MATCH(B$2,RawData[#Headers],)))</f>
        <v xml:space="preserve"> </v>
      </c>
      <c r="C17" s="326" t="str">
        <f>IFERROR(STANDARDIZE(machina[[#This Row],[Career Strike Rate]],B$30,B$31)^2," ")</f>
        <v xml:space="preserve"> </v>
      </c>
      <c r="D17" s="255" t="str">
        <f>IF(INDEX('Raw Data'!$A17:$EA17,MATCH(D$2,RawData[#Headers],))=""," ",INDEX('Raw Data'!$A17:$EA17,MATCH(D$2,RawData[#Headers],)))</f>
        <v xml:space="preserve"> </v>
      </c>
      <c r="E17" s="326" t="str">
        <f>IFERROR(STANDARDIZE(machina[[#This Row],[Career ROI]],D$30,D$31)^2," ")</f>
        <v xml:space="preserve"> </v>
      </c>
      <c r="F17" s="255" t="str">
        <f>IF(INDEX('Raw Data'!$A17:$EA17,MATCH(F$2,RawData[#Headers],))=""," ",INDEX('Raw Data'!$A17:$EA17,MATCH(F$2,RawData[#Headers],)))</f>
        <v xml:space="preserve"> </v>
      </c>
      <c r="G17" s="255" t="str">
        <f t="shared" si="5"/>
        <v xml:space="preserve"> </v>
      </c>
      <c r="H17" s="255" t="str">
        <f>IF(INDEX('Raw Data'!$A17:$EA17,MATCH(H$2,RawData[#Headers],))=""," ",INDEX('Raw Data'!$A17:$EA17,MATCH(H$2,RawData[#Headers],)))</f>
        <v xml:space="preserve"> </v>
      </c>
      <c r="I17" s="255" t="str">
        <f t="shared" si="6"/>
        <v xml:space="preserve"> </v>
      </c>
      <c r="J17" s="255" t="str">
        <f>IF(INDEX('Raw Data'!$A17:$EA17,MATCH(J$2,RawData[#Headers],))=""," ",INDEX('Raw Data'!$A17:$EA17,MATCH(J$2,RawData[#Headers],)))</f>
        <v xml:space="preserve"> </v>
      </c>
      <c r="K17" s="255" t="str">
        <f t="shared" si="7"/>
        <v xml:space="preserve"> </v>
      </c>
      <c r="L17" s="255" t="str">
        <f>IF(INDEX('Raw Data'!$A17:$EA17,MATCH(L$2,RawData[#Headers],))=""," ",INDEX('Raw Data'!$A17:$EA17,MATCH(L$2,RawData[#Headers],)))</f>
        <v xml:space="preserve"> </v>
      </c>
      <c r="M17" s="255" t="str">
        <f t="shared" si="0"/>
        <v xml:space="preserve"> </v>
      </c>
      <c r="N17" s="255" t="str">
        <f>IF(INDEX('Raw Data'!$A17:$EA17,MATCH(N$2,RawData[#Headers],))=""," ",INDEX('Raw Data'!$A17:$EA17,MATCH(N$2,RawData[#Headers],)))</f>
        <v xml:space="preserve"> </v>
      </c>
      <c r="O17" s="255" t="str">
        <f t="shared" si="0"/>
        <v xml:space="preserve"> </v>
      </c>
      <c r="P17" s="255" t="str">
        <f>IF(INDEX('Raw Data'!$A17:$EA17,MATCH(P$2,RawData[#Headers],))=""," ",INDEX('Raw Data'!$A17:$EA17,MATCH(P$2,RawData[#Headers],)))</f>
        <v xml:space="preserve"> </v>
      </c>
      <c r="Q17" s="255" t="str">
        <f t="shared" ref="Q17" si="88">IF(ISERROR(IF(P17=""," ",RANK(P17,P$3:P$28,1)))," ",IF(P17=""," ",RANK(P17,P$3:P$28,1)))</f>
        <v xml:space="preserve"> </v>
      </c>
      <c r="R17" s="255" t="str">
        <f>IF(INDEX('Raw Data'!$A17:$EA17,MATCH(R$2,RawData[#Headers],))=""," ",INDEX('Raw Data'!$A17:$EA17,MATCH(R$2,RawData[#Headers],)))</f>
        <v xml:space="preserve"> </v>
      </c>
      <c r="S17" s="255" t="str">
        <f t="shared" si="9"/>
        <v xml:space="preserve"> </v>
      </c>
      <c r="T17" s="255" t="str">
        <f>IF(INDEX('Raw Data'!$A17:$EA17,MATCH(T$2,RawData[#Headers],))=""," ",INDEX('Raw Data'!$A17:$EA17,MATCH(T$2,RawData[#Headers],)))</f>
        <v xml:space="preserve"> </v>
      </c>
      <c r="U17" s="255" t="str">
        <f t="shared" si="10"/>
        <v xml:space="preserve"> </v>
      </c>
      <c r="V17" s="255" t="str">
        <f>IF(INDEX('Raw Data'!$A17:$EA17,MATCH(V$2,RawData[#Headers],))=""," ",INDEX('Raw Data'!$A17:$EA17,MATCH(V$2,RawData[#Headers],)))</f>
        <v xml:space="preserve"> </v>
      </c>
      <c r="W17" s="255" t="str">
        <f t="shared" si="11"/>
        <v xml:space="preserve"> </v>
      </c>
      <c r="X17" s="255" t="str">
        <f>IF(INDEX('Raw Data'!$A17:$EA17,MATCH(X$2,RawData[#Headers],))=""," ",INDEX('Raw Data'!$A17:$EA17,MATCH(X$2,RawData[#Headers],)))</f>
        <v xml:space="preserve"> </v>
      </c>
      <c r="Y17" s="255" t="str">
        <f t="shared" si="12"/>
        <v xml:space="preserve"> </v>
      </c>
      <c r="Z17" s="255" t="str">
        <f>IF(INDEX('Raw Data'!$A17:$EA17,MATCH(Z$2,RawData[#Headers],))=""," ",INDEX('Raw Data'!$A17:$EA17,MATCH(Z$2,RawData[#Headers],)))</f>
        <v xml:space="preserve"> </v>
      </c>
      <c r="AA17" s="255" t="str">
        <f t="shared" si="13"/>
        <v xml:space="preserve"> </v>
      </c>
      <c r="AB17" s="255" t="str">
        <f>IF(INDEX('Raw Data'!$A17:$EA17,MATCH(AB$2,RawData[#Headers],))=""," ",INDEX('Raw Data'!$A17:$EA17,MATCH(AB$2,RawData[#Headers],)))</f>
        <v xml:space="preserve"> </v>
      </c>
      <c r="AC17" s="255" t="str">
        <f t="shared" si="14"/>
        <v xml:space="preserve"> </v>
      </c>
      <c r="AD17" s="255" t="str">
        <f>IF(INDEX('Raw Data'!$A17:$EA17,MATCH(AD$2,RawData[#Headers],))=""," ",INDEX('Raw Data'!$A17:$EA17,MATCH(AD$2,RawData[#Headers],)))</f>
        <v xml:space="preserve"> </v>
      </c>
      <c r="AE17" s="255" t="str">
        <f t="shared" si="15"/>
        <v xml:space="preserve"> </v>
      </c>
      <c r="AF17" s="255" t="str">
        <f>IF(INDEX('Raw Data'!$A17:$EA17,MATCH(AF$2,RawData[#Headers],))=""," ",INDEX('Raw Data'!$A17:$EA17,MATCH(AF$2,RawData[#Headers],)))</f>
        <v xml:space="preserve"> </v>
      </c>
      <c r="AG17" s="255" t="str">
        <f t="shared" si="16"/>
        <v xml:space="preserve"> </v>
      </c>
      <c r="AH17" s="255" t="str">
        <f>IF(INDEX('Raw Data'!$A17:$EA17,MATCH(AH$2,RawData[#Headers],))=""," ",INDEX('Raw Data'!$A17:$EA17,MATCH(AH$2,RawData[#Headers],)))</f>
        <v xml:space="preserve"> </v>
      </c>
      <c r="AI17" s="255" t="str">
        <f t="shared" si="17"/>
        <v xml:space="preserve"> </v>
      </c>
      <c r="AJ17" s="255" t="str">
        <f>IF(INDEX('Raw Data'!$A17:$EA17,MATCH(AJ$2,RawData[#Headers],))=""," ",INDEX('Raw Data'!$A17:$EA17,MATCH(AJ$2,RawData[#Headers],)))</f>
        <v xml:space="preserve"> </v>
      </c>
      <c r="AK17" s="255" t="str">
        <f t="shared" si="18"/>
        <v xml:space="preserve"> </v>
      </c>
      <c r="AL17" s="255" t="str">
        <f>IF(INDEX('Raw Data'!$A17:$EA17,MATCH(AL$2,RawData[#Headers],))=""," ",INDEX('Raw Data'!$A17:$EA17,MATCH(AL$2,RawData[#Headers],)))</f>
        <v xml:space="preserve"> </v>
      </c>
      <c r="AM17" s="255" t="str">
        <f t="shared" si="19"/>
        <v xml:space="preserve"> </v>
      </c>
      <c r="AN17" s="255" t="str">
        <f>IF(INDEX('Raw Data'!$A17:$EA17,MATCH(AN$2,RawData[#Headers],))=""," ",INDEX('Raw Data'!$A17:$EA17,MATCH(AN$2,RawData[#Headers],)))</f>
        <v xml:space="preserve"> </v>
      </c>
      <c r="AO17" s="255" t="str">
        <f t="shared" si="20"/>
        <v xml:space="preserve"> </v>
      </c>
      <c r="AP17" s="255" t="str">
        <f>IF(INDEX('Raw Data'!$A17:$EA17,MATCH(AP$2,RawData[#Headers],))=""," ",INDEX('Raw Data'!$A17:$EA17,MATCH(AP$2,RawData[#Headers],)))</f>
        <v xml:space="preserve"> </v>
      </c>
      <c r="AQ17" s="255" t="str">
        <f t="shared" si="21"/>
        <v xml:space="preserve"> </v>
      </c>
      <c r="AR17" s="255" t="str">
        <f>IF(INDEX('Raw Data'!$A17:$EA17,MATCH(AR$2,RawData[#Headers],))=""," ",INDEX('Raw Data'!$A17:$EA17,MATCH(AR$2,RawData[#Headers],)))</f>
        <v xml:space="preserve"> </v>
      </c>
      <c r="AS17" s="255" t="str">
        <f t="shared" si="22"/>
        <v xml:space="preserve"> </v>
      </c>
      <c r="AT17" s="255" t="str">
        <f>IF(INDEX('Raw Data'!$A17:$EA17,MATCH(AT$2,RawData[#Headers],))=""," ",INDEX('Raw Data'!$A17:$EA17,MATCH(AT$2,RawData[#Headers],)))</f>
        <v xml:space="preserve"> </v>
      </c>
      <c r="AU17" s="255" t="str">
        <f t="shared" si="23"/>
        <v xml:space="preserve"> </v>
      </c>
      <c r="AV17" s="255" t="str">
        <f>IF(INDEX('Raw Data'!$A17:$EA17,MATCH(AV$2,RawData[#Headers],))=""," ",INDEX('Raw Data'!$A17:$EA17,MATCH(AV$2,RawData[#Headers],)))</f>
        <v xml:space="preserve"> </v>
      </c>
      <c r="AW17" s="255" t="str">
        <f t="shared" si="24"/>
        <v xml:space="preserve"> </v>
      </c>
      <c r="AX17" s="255" t="str">
        <f>IF(INDEX('Raw Data'!$A17:$EA17,MATCH(AX$2,RawData[#Headers],))=""," ",INDEX('Raw Data'!$A17:$EA17,MATCH(AX$2,RawData[#Headers],)))</f>
        <v xml:space="preserve"> </v>
      </c>
      <c r="AY17" s="255" t="str">
        <f t="shared" si="25"/>
        <v xml:space="preserve"> </v>
      </c>
      <c r="AZ17" s="255" t="str">
        <f>IF(INDEX('Raw Data'!$A17:$EA17,MATCH(AZ$2,RawData[#Headers],))=""," ",INDEX('Raw Data'!$A17:$EA17,MATCH(AZ$2,RawData[#Headers],)))</f>
        <v xml:space="preserve"> </v>
      </c>
      <c r="BA17" s="255" t="str">
        <f t="shared" si="26"/>
        <v xml:space="preserve"> </v>
      </c>
      <c r="BB17" s="255" t="str">
        <f>IF(INDEX('Raw Data'!$A17:$EA17,MATCH(BB$2,RawData[#Headers],))=""," ",INDEX('Raw Data'!$A17:$EA17,MATCH(BB$2,RawData[#Headers],)))</f>
        <v xml:space="preserve"> </v>
      </c>
      <c r="BC17" s="255" t="str">
        <f t="shared" si="27"/>
        <v xml:space="preserve"> </v>
      </c>
      <c r="BD17" s="255" t="str">
        <f>IF(INDEX('Raw Data'!$A17:$EA17,MATCH(BD$2,RawData[#Headers],))=""," ",INDEX('Raw Data'!$A17:$EA17,MATCH(BD$2,RawData[#Headers],)))</f>
        <v xml:space="preserve"> </v>
      </c>
      <c r="BE17" s="255" t="str">
        <f t="shared" si="28"/>
        <v xml:space="preserve"> </v>
      </c>
      <c r="BF17" s="255" t="str">
        <f>IF(INDEX('Raw Data'!$A17:$EA17,MATCH(BF$2,RawData[#Headers],))=""," ",INDEX('Raw Data'!$A17:$EA17,MATCH(BF$2,RawData[#Headers],)))</f>
        <v xml:space="preserve"> </v>
      </c>
      <c r="BG17" s="255" t="str">
        <f t="shared" si="29"/>
        <v xml:space="preserve"> </v>
      </c>
      <c r="BH17" s="255" t="str">
        <f>IF(INDEX('Raw Data'!$A17:$EA17,MATCH(BH$2,RawData[#Headers],))=""," ",INDEX('Raw Data'!$A17:$EA17,MATCH(BH$2,RawData[#Headers],)))</f>
        <v xml:space="preserve"> </v>
      </c>
      <c r="BI17" s="255" t="str">
        <f t="shared" si="30"/>
        <v xml:space="preserve"> </v>
      </c>
      <c r="BJ17" s="255" t="str">
        <f>IF(INDEX('Raw Data'!$A17:$EA17,MATCH(BJ$2,RawData[#Headers],))=""," ",INDEX('Raw Data'!$A17:$EA17,MATCH(BJ$2,RawData[#Headers],)))</f>
        <v xml:space="preserve"> </v>
      </c>
      <c r="BK17" s="255" t="str">
        <f t="shared" si="31"/>
        <v xml:space="preserve"> </v>
      </c>
      <c r="BL17" s="255" t="str">
        <f>IF(INDEX('Raw Data'!$A17:$EA17,MATCH(BL$2,RawData[#Headers],))=""," ",INDEX('Raw Data'!$A17:$EA17,MATCH(BL$2,RawData[#Headers],)))</f>
        <v xml:space="preserve"> </v>
      </c>
      <c r="BM17" s="255" t="str">
        <f t="shared" si="32"/>
        <v xml:space="preserve"> </v>
      </c>
      <c r="BN17" s="255" t="str">
        <f>IF(INDEX('Raw Data'!$A17:$EA17,MATCH(BN$2,RawData[#Headers],))=""," ",INDEX('Raw Data'!$A17:$EA17,MATCH(BN$2,RawData[#Headers],)))</f>
        <v xml:space="preserve"> </v>
      </c>
      <c r="BO17" s="255" t="str">
        <f t="shared" si="33"/>
        <v xml:space="preserve"> </v>
      </c>
      <c r="BP17" s="255" t="str">
        <f>IF(INDEX('Raw Data'!$A17:$EA17,MATCH(BP$2,RawData[#Headers],))=""," ",INDEX('Raw Data'!$A17:$EA17,MATCH(BP$2,RawData[#Headers],)))</f>
        <v xml:space="preserve"> </v>
      </c>
      <c r="BQ17" s="255" t="str">
        <f t="shared" si="34"/>
        <v xml:space="preserve"> </v>
      </c>
      <c r="BR17" s="255" t="str">
        <f>IF(INDEX('Raw Data'!$A17:$EA17,MATCH(BR$2,RawData[#Headers],))=""," ",INDEX('Raw Data'!$A17:$EA17,MATCH(BR$2,RawData[#Headers],)))</f>
        <v xml:space="preserve"> </v>
      </c>
      <c r="BS17" s="255" t="str">
        <f t="shared" si="35"/>
        <v xml:space="preserve"> </v>
      </c>
      <c r="BT17" s="255" t="str">
        <f>IF(INDEX('Raw Data'!$A17:$EA17,MATCH(BT$2,RawData[#Headers],))=""," ",INDEX('Raw Data'!$A17:$EA17,MATCH(BT$2,RawData[#Headers],)))</f>
        <v xml:space="preserve"> </v>
      </c>
      <c r="BU17" s="255" t="str">
        <f t="shared" si="36"/>
        <v xml:space="preserve"> </v>
      </c>
      <c r="BV17" s="255" t="str">
        <f>IF(INDEX('Raw Data'!$A17:$EA17,MATCH(BV$2,RawData[#Headers],))=""," ",INDEX('Raw Data'!$A17:$EA17,MATCH(BV$2,RawData[#Headers],)))</f>
        <v xml:space="preserve"> </v>
      </c>
      <c r="BW17" s="255" t="str">
        <f t="shared" si="37"/>
        <v xml:space="preserve"> </v>
      </c>
      <c r="BX17" s="255" t="str">
        <f>IF(INDEX('Raw Data'!$A17:$EA17,MATCH(BX$2,RawData[#Headers],))=""," ",INDEX('Raw Data'!$A17:$EA17,MATCH(BX$2,RawData[#Headers],)))</f>
        <v xml:space="preserve"> </v>
      </c>
      <c r="BY17" s="255" t="str">
        <f t="shared" si="38"/>
        <v xml:space="preserve"> </v>
      </c>
      <c r="BZ17" s="255" t="str">
        <f>IF(INDEX('Raw Data'!$A17:$EA17,MATCH(BZ$2,RawData[#Headers],))=""," ",INDEX('Raw Data'!$A17:$EA17,MATCH(BZ$2,RawData[#Headers],)))</f>
        <v xml:space="preserve"> </v>
      </c>
      <c r="CA17" s="255" t="str">
        <f t="shared" si="39"/>
        <v xml:space="preserve"> </v>
      </c>
      <c r="CB17" s="255" t="str">
        <f>IF(INDEX('Raw Data'!$A17:$EA17,MATCH(CB$2,RawData[#Headers],))=""," ",INDEX('Raw Data'!$A17:$EA17,MATCH(CB$2,RawData[#Headers],)))</f>
        <v xml:space="preserve"> </v>
      </c>
      <c r="CC17" s="255" t="str">
        <f t="shared" si="40"/>
        <v xml:space="preserve"> </v>
      </c>
      <c r="CD17" s="255" t="str">
        <f>IF(INDEX('Raw Data'!$A17:$EA17,MATCH(CD$2,RawData[#Headers],))=""," ",INDEX('Raw Data'!$A17:$EA17,MATCH(CD$2,RawData[#Headers],)))</f>
        <v xml:space="preserve"> </v>
      </c>
      <c r="CE17" s="255" t="str">
        <f t="shared" si="41"/>
        <v xml:space="preserve"> </v>
      </c>
      <c r="CF17" s="255" t="str">
        <f>IF(INDEX('Raw Data'!$A17:$EA17,MATCH(CF$2,RawData[#Headers],))=""," ",INDEX('Raw Data'!$A17:$EA17,MATCH(CF$2,RawData[#Headers],)))</f>
        <v xml:space="preserve"> </v>
      </c>
      <c r="CG17" s="255" t="str">
        <f t="shared" si="42"/>
        <v xml:space="preserve"> </v>
      </c>
      <c r="CH17" s="255" t="str">
        <f>IF(INDEX('Raw Data'!$A17:$EA17,MATCH(CH$2,RawData[#Headers],))=""," ",INDEX('Raw Data'!$A17:$EA17,MATCH(CH$2,RawData[#Headers],)))</f>
        <v xml:space="preserve"> </v>
      </c>
      <c r="CI17" s="255" t="str">
        <f t="shared" si="43"/>
        <v xml:space="preserve"> </v>
      </c>
      <c r="CJ17" s="255" t="str">
        <f>IF(INDEX('Raw Data'!$A17:$EA17,MATCH(CJ$2,RawData[#Headers],))=""," ",INDEX('Raw Data'!$A17:$EA17,MATCH(CJ$2,RawData[#Headers],)))</f>
        <v xml:space="preserve"> </v>
      </c>
      <c r="CK17" s="255" t="str">
        <f t="shared" si="44"/>
        <v xml:space="preserve"> </v>
      </c>
      <c r="CL17" s="255" t="str">
        <f>IF(INDEX('Raw Data'!$A17:$EA17,MATCH(CL$2,RawData[#Headers],))=""," ",INDEX('Raw Data'!$A17:$EA17,MATCH(CL$2,RawData[#Headers],)))</f>
        <v xml:space="preserve"> </v>
      </c>
      <c r="CM17" s="255" t="str">
        <f t="shared" si="45"/>
        <v xml:space="preserve"> </v>
      </c>
      <c r="CN17" s="255" t="str">
        <f>IF(INDEX('Raw Data'!$A17:$EA17,MATCH(CN$2,RawData[#Headers],))=""," ",INDEX('Raw Data'!$A17:$EA17,MATCH(CN$2,RawData[#Headers],)))</f>
        <v xml:space="preserve"> </v>
      </c>
      <c r="CO17" s="255" t="str">
        <f t="shared" si="46"/>
        <v xml:space="preserve"> </v>
      </c>
      <c r="CP17" s="255" t="str">
        <f>IF(INDEX('Raw Data'!$A17:$EA17,MATCH(CP$2,RawData[#Headers],))=""," ",INDEX('Raw Data'!$A17:$EA17,MATCH(CP$2,RawData[#Headers],)))</f>
        <v xml:space="preserve"> </v>
      </c>
      <c r="CQ17" s="255" t="str">
        <f t="shared" si="47"/>
        <v xml:space="preserve"> </v>
      </c>
      <c r="CR17" s="255" t="str">
        <f>IF(INDEX('Raw Data'!$A17:$EA17,MATCH(CR$2,RawData[#Headers],))=""," ",INDEX('Raw Data'!$A17:$EA17,MATCH(CR$2,RawData[#Headers],)))</f>
        <v xml:space="preserve"> </v>
      </c>
      <c r="CS17" s="255" t="str">
        <f t="shared" si="48"/>
        <v xml:space="preserve"> </v>
      </c>
      <c r="CT17" s="255" t="str">
        <f>IF(INDEX('Raw Data'!$A17:$EA17,MATCH(CT$2,RawData[#Headers],))=""," ",INDEX('Raw Data'!$A17:$EA17,MATCH(CT$2,RawData[#Headers],)))</f>
        <v xml:space="preserve"> </v>
      </c>
      <c r="CU17" s="255" t="str">
        <f t="shared" si="49"/>
        <v xml:space="preserve"> </v>
      </c>
      <c r="CV17" s="255" t="str">
        <f>IF(INDEX('Raw Data'!$A17:$EA17,MATCH(CV$2,RawData[#Headers],))=""," ",INDEX('Raw Data'!$A17:$EA17,MATCH(CV$2,RawData[#Headers],)))</f>
        <v xml:space="preserve"> </v>
      </c>
      <c r="CW17" s="255" t="str">
        <f t="shared" si="50"/>
        <v xml:space="preserve"> </v>
      </c>
      <c r="CX17" s="255" t="str">
        <f>IF(INDEX('Raw Data'!$A17:$EA17,MATCH(CX$2,RawData[#Headers],))=""," ",INDEX('Raw Data'!$A17:$EA17,MATCH(CX$2,RawData[#Headers],)))</f>
        <v xml:space="preserve"> </v>
      </c>
      <c r="CY17" s="255" t="str">
        <f t="shared" si="51"/>
        <v xml:space="preserve"> </v>
      </c>
      <c r="CZ17" s="255" t="str">
        <f>IF(INDEX('Raw Data'!$A17:$EA17,MATCH(CZ$2,RawData[#Headers],))=""," ",INDEX('Raw Data'!$A17:$EA17,MATCH(CZ$2,RawData[#Headers],)))</f>
        <v xml:space="preserve"> </v>
      </c>
      <c r="DA17" s="255" t="str">
        <f t="shared" si="52"/>
        <v xml:space="preserve"> </v>
      </c>
      <c r="DB17" s="255" t="str">
        <f>IF(INDEX('Raw Data'!$A17:$EA17,MATCH(DB$2,RawData[#Headers],))=""," ",INDEX('Raw Data'!$A17:$EA17,MATCH(DB$2,RawData[#Headers],)))</f>
        <v xml:space="preserve"> </v>
      </c>
      <c r="DC17" s="255" t="str">
        <f t="shared" si="53"/>
        <v xml:space="preserve"> </v>
      </c>
      <c r="DD17" s="255" t="str">
        <f>IF(INDEX('Raw Data'!$A17:$EA17,MATCH(DD$2,RawData[#Headers],))=""," ",INDEX('Raw Data'!$A17:$EA17,MATCH(DD$2,RawData[#Headers],)))</f>
        <v xml:space="preserve"> </v>
      </c>
      <c r="DE17" s="255" t="str">
        <f t="shared" si="54"/>
        <v xml:space="preserve"> </v>
      </c>
      <c r="DF17" s="255" t="str">
        <f>IF(INDEX('Raw Data'!$A17:$EA17,MATCH(DF$2,RawData[#Headers],))=""," ",INDEX('Raw Data'!$A17:$EA17,MATCH(DF$2,RawData[#Headers],)))</f>
        <v xml:space="preserve"> </v>
      </c>
      <c r="DG17" s="255" t="str">
        <f t="shared" si="55"/>
        <v xml:space="preserve"> </v>
      </c>
      <c r="DH17" s="255" t="str">
        <f>IF(INDEX('Raw Data'!$A17:$EA17,MATCH(DH$2,RawData[#Headers],))=""," ",INDEX('Raw Data'!$A17:$EA17,MATCH(DH$2,RawData[#Headers],)))</f>
        <v xml:space="preserve"> </v>
      </c>
      <c r="DI17" s="255" t="str">
        <f t="shared" si="56"/>
        <v xml:space="preserve"> </v>
      </c>
      <c r="DJ17" s="255" t="str">
        <f>IF(INDEX('Raw Data'!$A17:$EA17,MATCH(DJ$2,RawData[#Headers],))=""," ",INDEX('Raw Data'!$A17:$EA17,MATCH(DJ$2,RawData[#Headers],)))</f>
        <v xml:space="preserve"> </v>
      </c>
      <c r="DK17" s="255" t="str">
        <f t="shared" si="57"/>
        <v xml:space="preserve"> </v>
      </c>
      <c r="DL17" s="255" t="str">
        <f>IF(INDEX('Raw Data'!$A17:$EA17,MATCH(DL$2,RawData[#Headers],))=""," ",INDEX('Raw Data'!$A17:$EA17,MATCH(DL$2,RawData[#Headers],)))</f>
        <v xml:space="preserve"> </v>
      </c>
      <c r="DM17" s="255" t="str">
        <f t="shared" si="58"/>
        <v xml:space="preserve"> </v>
      </c>
      <c r="DN17" s="255" t="str">
        <f>IF(INDEX('Raw Data'!$A17:$EA17,MATCH(DN$2,RawData[#Headers],))=""," ",INDEX('Raw Data'!$A17:$EA17,MATCH(DN$2,RawData[#Headers],)))</f>
        <v xml:space="preserve"> </v>
      </c>
      <c r="DO17" s="255" t="str">
        <f t="shared" si="59"/>
        <v xml:space="preserve"> </v>
      </c>
      <c r="DP17" s="255" t="str">
        <f>IF(INDEX('Raw Data'!$A17:$EA17,MATCH(DP$2,RawData[#Headers],))=""," ",INDEX('Raw Data'!$A17:$EA17,MATCH(DP$2,RawData[#Headers],)))</f>
        <v xml:space="preserve"> </v>
      </c>
      <c r="DQ17" s="255" t="str">
        <f t="shared" si="60"/>
        <v xml:space="preserve"> </v>
      </c>
      <c r="DR17" s="255" t="str">
        <f>IF(INDEX('Raw Data'!$A17:$EA17,MATCH(DR$2,RawData[#Headers],))=""," ",INDEX('Raw Data'!$A17:$EA17,MATCH(DR$2,RawData[#Headers],)))</f>
        <v xml:space="preserve"> </v>
      </c>
      <c r="DS17" s="255" t="str">
        <f t="shared" si="61"/>
        <v xml:space="preserve"> </v>
      </c>
      <c r="DT17" s="255" t="str">
        <f>IF(INDEX('Raw Data'!$A17:$EA17,MATCH(DT$2,RawData[#Headers],))=""," ",INDEX('Raw Data'!$A17:$EA17,MATCH(DT$2,RawData[#Headers],)))</f>
        <v xml:space="preserve"> </v>
      </c>
      <c r="DU17" s="255" t="str">
        <f t="shared" si="62"/>
        <v xml:space="preserve"> </v>
      </c>
      <c r="DV17" s="255" t="str">
        <f>IF(INDEX('Raw Data'!$A17:$EA17,MATCH(DV$2,RawData[#Headers],))=""," ",INDEX('Raw Data'!$A17:$EA17,MATCH(DV$2,RawData[#Headers],)))</f>
        <v xml:space="preserve"> </v>
      </c>
      <c r="DW17" s="255" t="str">
        <f t="shared" si="63"/>
        <v xml:space="preserve"> </v>
      </c>
      <c r="DX17" s="255" t="str">
        <f>IF(INDEX('Raw Data'!$A17:$EA17,MATCH(DX$2,RawData[#Headers],))=""," ",INDEX('Raw Data'!$A17:$EA17,MATCH(DX$2,RawData[#Headers],)))</f>
        <v xml:space="preserve"> </v>
      </c>
      <c r="DY17" s="255" t="str">
        <f t="shared" si="64"/>
        <v xml:space="preserve"> </v>
      </c>
      <c r="DZ17" s="255" t="str">
        <f>IF(INDEX('Raw Data'!$A17:$EA17,MATCH(DZ$2,RawData[#Headers],))=""," ",INDEX('Raw Data'!$A17:$EA17,MATCH(DZ$2,RawData[#Headers],)))</f>
        <v xml:space="preserve"> </v>
      </c>
      <c r="EA17" s="255" t="str">
        <f t="shared" si="65"/>
        <v xml:space="preserve"> </v>
      </c>
      <c r="EB17" s="255" t="str">
        <f>IF(INDEX('Raw Data'!$A17:$EA17,MATCH(EB$2,RawData[#Headers],))=""," ",INDEX('Raw Data'!$A17:$EA17,MATCH(EB$2,RawData[#Headers],)))</f>
        <v xml:space="preserve"> </v>
      </c>
      <c r="EC17" s="255" t="str">
        <f t="shared" si="66"/>
        <v xml:space="preserve"> </v>
      </c>
      <c r="ED17" s="255" t="str">
        <f>IF(INDEX('Raw Data'!$A17:$EA17,MATCH(ED$2,RawData[#Headers],))=""," ",INDEX('Raw Data'!$A17:$EA17,MATCH(ED$2,RawData[#Headers],)))</f>
        <v xml:space="preserve"> </v>
      </c>
      <c r="EE17" s="255" t="str">
        <f t="shared" si="67"/>
        <v xml:space="preserve"> </v>
      </c>
      <c r="EF17" s="255" t="str">
        <f>IF(INDEX('Raw Data'!$A17:$EA17,MATCH(EF$2,RawData[#Headers],))=""," ",INDEX('Raw Data'!$A17:$EA17,MATCH(EF$2,RawData[#Headers],)))</f>
        <v xml:space="preserve"> </v>
      </c>
      <c r="EG17" s="255" t="str">
        <f t="shared" si="68"/>
        <v xml:space="preserve"> </v>
      </c>
      <c r="EH17" s="255" t="str">
        <f>IF(INDEX('Raw Data'!$A17:$EA17,MATCH(EH$2,RawData[#Headers],))=""," ",INDEX('Raw Data'!$A17:$EA17,MATCH(EH$2,RawData[#Headers],)))</f>
        <v xml:space="preserve"> </v>
      </c>
      <c r="EI17" s="255" t="str">
        <f t="shared" si="69"/>
        <v xml:space="preserve"> </v>
      </c>
      <c r="EJ17" s="255" t="str">
        <f>IF(INDEX('Raw Data'!$A17:$EA17,MATCH(EJ$2,RawData[#Headers],))=""," ",INDEX('Raw Data'!$A17:$EA17,MATCH(EJ$2,RawData[#Headers],)))</f>
        <v xml:space="preserve"> </v>
      </c>
      <c r="EK17" s="255" t="str">
        <f t="shared" si="70"/>
        <v xml:space="preserve"> </v>
      </c>
      <c r="EL17" s="255" t="str">
        <f>IF(INDEX('Raw Data'!$A17:$EA17,MATCH(EL$2,RawData[#Headers],))=""," ",INDEX('Raw Data'!$A17:$EA17,MATCH(EL$2,RawData[#Headers],)))</f>
        <v xml:space="preserve"> </v>
      </c>
      <c r="EM17" s="255" t="str">
        <f t="shared" si="71"/>
        <v xml:space="preserve"> </v>
      </c>
      <c r="EN17" s="255" t="str">
        <f>IF(INDEX('Raw Data'!$A17:$EA17,MATCH(EN$2,RawData[#Headers],))=""," ",INDEX('Raw Data'!$A17:$EA17,MATCH(EN$2,RawData[#Headers],)))</f>
        <v xml:space="preserve"> </v>
      </c>
      <c r="EO17" s="255" t="str">
        <f t="shared" si="72"/>
        <v xml:space="preserve"> </v>
      </c>
      <c r="EP17" s="255" t="str">
        <f>IF(INDEX('Raw Data'!$A17:$EA17,MATCH(EP$2,RawData[#Headers],))=""," ",INDEX('Raw Data'!$A17:$EA17,MATCH(EP$2,RawData[#Headers],)))</f>
        <v xml:space="preserve"> </v>
      </c>
      <c r="EQ17" s="255" t="str">
        <f t="shared" si="73"/>
        <v xml:space="preserve"> </v>
      </c>
      <c r="ER17" s="255" t="str">
        <f>IF(INDEX('Raw Data'!$A17:$EA17,MATCH(ER$2,RawData[#Headers],))=""," ",INDEX('Raw Data'!$A17:$EA17,MATCH(ER$2,RawData[#Headers],)))</f>
        <v xml:space="preserve"> </v>
      </c>
      <c r="ES17" s="255" t="str">
        <f t="shared" si="2"/>
        <v xml:space="preserve"> </v>
      </c>
      <c r="ET17" s="255" t="str">
        <f>IF(INDEX('Raw Data'!$A17:$EA17,MATCH(ET$2,RawData[#Headers],))=""," ",INDEX('Raw Data'!$A17:$EA17,MATCH(ET$2,RawData[#Headers],)))</f>
        <v xml:space="preserve"> </v>
      </c>
      <c r="EU17" s="255" t="str">
        <f t="shared" si="3"/>
        <v xml:space="preserve"> </v>
      </c>
      <c r="EV17" s="255" t="str">
        <f>IF(INDEX('Raw Data'!$A17:$EA17,MATCH(EV$2,RawData[#Headers],))=""," ",INDEX('Raw Data'!$A17:$EA17,MATCH(EV$2,RawData[#Headers],)))</f>
        <v xml:space="preserve"> </v>
      </c>
      <c r="EW17" s="255" t="str">
        <f t="shared" si="4"/>
        <v xml:space="preserve"> </v>
      </c>
      <c r="EX17" s="255" t="str">
        <f>IF(INDEX('Raw Data'!$A17:$EA17,MATCH(EX$2,RawData[#Headers],))=""," ",INDEX('Raw Data'!$A17:$EA17,MATCH(EX$2,RawData[#Headers],)))</f>
        <v xml:space="preserve"> </v>
      </c>
      <c r="EY17" s="255" t="str">
        <f t="shared" si="74"/>
        <v xml:space="preserve"> </v>
      </c>
      <c r="EZ17" s="276" t="str">
        <f>IF(INDEX('Raw Data'!$A17:$EA17,MATCH(EZ$2,RawData[#Headers],))=""," ",INDEX('Raw Data'!$A17:$EA17,MATCH(EZ$2,RawData[#Headers],)))</f>
        <v xml:space="preserve"> </v>
      </c>
      <c r="FA17" s="255" t="str">
        <f t="shared" si="75"/>
        <v xml:space="preserve"> </v>
      </c>
      <c r="FB17" s="255" t="str">
        <f>IF(INDEX('Raw Data'!$A17:$EA17,MATCH(FB$2,RawData[#Headers],))=""," ",INDEX('Raw Data'!$A17:$EA17,MATCH(FB$2,RawData[#Headers],)))</f>
        <v xml:space="preserve"> </v>
      </c>
    </row>
    <row r="18" spans="1:158" x14ac:dyDescent="0.3">
      <c r="A18" s="255">
        <f>RawData[[#This Row],[Num]]</f>
        <v>0</v>
      </c>
      <c r="B18" s="255" t="str">
        <f>IF(INDEX('Raw Data'!$A18:$EA18,MATCH(B$2,RawData[#Headers],))=""," ",INDEX('Raw Data'!$A18:$EA18,MATCH(B$2,RawData[#Headers],)))</f>
        <v xml:space="preserve"> </v>
      </c>
      <c r="C18" s="326" t="str">
        <f>IFERROR(STANDARDIZE(machina[[#This Row],[Career Strike Rate]],B$30,B$31)^2," ")</f>
        <v xml:space="preserve"> </v>
      </c>
      <c r="D18" s="255" t="str">
        <f>IF(INDEX('Raw Data'!$A18:$EA18,MATCH(D$2,RawData[#Headers],))=""," ",INDEX('Raw Data'!$A18:$EA18,MATCH(D$2,RawData[#Headers],)))</f>
        <v xml:space="preserve"> </v>
      </c>
      <c r="E18" s="326" t="str">
        <f>IFERROR(STANDARDIZE(machina[[#This Row],[Career ROI]],D$30,D$31)^2," ")</f>
        <v xml:space="preserve"> </v>
      </c>
      <c r="F18" s="255" t="str">
        <f>IF(INDEX('Raw Data'!$A18:$EA18,MATCH(F$2,RawData[#Headers],))=""," ",INDEX('Raw Data'!$A18:$EA18,MATCH(F$2,RawData[#Headers],)))</f>
        <v xml:space="preserve"> </v>
      </c>
      <c r="G18" s="255" t="str">
        <f t="shared" si="5"/>
        <v xml:space="preserve"> </v>
      </c>
      <c r="H18" s="255" t="str">
        <f>IF(INDEX('Raw Data'!$A18:$EA18,MATCH(H$2,RawData[#Headers],))=""," ",INDEX('Raw Data'!$A18:$EA18,MATCH(H$2,RawData[#Headers],)))</f>
        <v xml:space="preserve"> </v>
      </c>
      <c r="I18" s="255" t="str">
        <f t="shared" si="6"/>
        <v xml:space="preserve"> </v>
      </c>
      <c r="J18" s="255" t="str">
        <f>IF(INDEX('Raw Data'!$A18:$EA18,MATCH(J$2,RawData[#Headers],))=""," ",INDEX('Raw Data'!$A18:$EA18,MATCH(J$2,RawData[#Headers],)))</f>
        <v xml:space="preserve"> </v>
      </c>
      <c r="K18" s="255" t="str">
        <f t="shared" si="7"/>
        <v xml:space="preserve"> </v>
      </c>
      <c r="L18" s="255" t="str">
        <f>IF(INDEX('Raw Data'!$A18:$EA18,MATCH(L$2,RawData[#Headers],))=""," ",INDEX('Raw Data'!$A18:$EA18,MATCH(L$2,RawData[#Headers],)))</f>
        <v xml:space="preserve"> </v>
      </c>
      <c r="M18" s="255" t="str">
        <f t="shared" si="0"/>
        <v xml:space="preserve"> </v>
      </c>
      <c r="N18" s="255" t="str">
        <f>IF(INDEX('Raw Data'!$A18:$EA18,MATCH(N$2,RawData[#Headers],))=""," ",INDEX('Raw Data'!$A18:$EA18,MATCH(N$2,RawData[#Headers],)))</f>
        <v xml:space="preserve"> </v>
      </c>
      <c r="O18" s="255" t="str">
        <f t="shared" si="0"/>
        <v xml:space="preserve"> </v>
      </c>
      <c r="P18" s="255" t="str">
        <f>IF(INDEX('Raw Data'!$A18:$EA18,MATCH(P$2,RawData[#Headers],))=""," ",INDEX('Raw Data'!$A18:$EA18,MATCH(P$2,RawData[#Headers],)))</f>
        <v xml:space="preserve"> </v>
      </c>
      <c r="Q18" s="255" t="str">
        <f t="shared" ref="Q18" si="89">IF(ISERROR(IF(P18=""," ",RANK(P18,P$3:P$28,1)))," ",IF(P18=""," ",RANK(P18,P$3:P$28,1)))</f>
        <v xml:space="preserve"> </v>
      </c>
      <c r="R18" s="255" t="str">
        <f>IF(INDEX('Raw Data'!$A18:$EA18,MATCH(R$2,RawData[#Headers],))=""," ",INDEX('Raw Data'!$A18:$EA18,MATCH(R$2,RawData[#Headers],)))</f>
        <v xml:space="preserve"> </v>
      </c>
      <c r="S18" s="255" t="str">
        <f t="shared" si="9"/>
        <v xml:space="preserve"> </v>
      </c>
      <c r="T18" s="255" t="str">
        <f>IF(INDEX('Raw Data'!$A18:$EA18,MATCH(T$2,RawData[#Headers],))=""," ",INDEX('Raw Data'!$A18:$EA18,MATCH(T$2,RawData[#Headers],)))</f>
        <v xml:space="preserve"> </v>
      </c>
      <c r="U18" s="255" t="str">
        <f t="shared" si="10"/>
        <v xml:space="preserve"> </v>
      </c>
      <c r="V18" s="255" t="str">
        <f>IF(INDEX('Raw Data'!$A18:$EA18,MATCH(V$2,RawData[#Headers],))=""," ",INDEX('Raw Data'!$A18:$EA18,MATCH(V$2,RawData[#Headers],)))</f>
        <v xml:space="preserve"> </v>
      </c>
      <c r="W18" s="255" t="str">
        <f t="shared" si="11"/>
        <v xml:space="preserve"> </v>
      </c>
      <c r="X18" s="255" t="str">
        <f>IF(INDEX('Raw Data'!$A18:$EA18,MATCH(X$2,RawData[#Headers],))=""," ",INDEX('Raw Data'!$A18:$EA18,MATCH(X$2,RawData[#Headers],)))</f>
        <v xml:space="preserve"> </v>
      </c>
      <c r="Y18" s="255" t="str">
        <f t="shared" si="12"/>
        <v xml:space="preserve"> </v>
      </c>
      <c r="Z18" s="255" t="str">
        <f>IF(INDEX('Raw Data'!$A18:$EA18,MATCH(Z$2,RawData[#Headers],))=""," ",INDEX('Raw Data'!$A18:$EA18,MATCH(Z$2,RawData[#Headers],)))</f>
        <v xml:space="preserve"> </v>
      </c>
      <c r="AA18" s="255" t="str">
        <f t="shared" si="13"/>
        <v xml:space="preserve"> </v>
      </c>
      <c r="AB18" s="255" t="str">
        <f>IF(INDEX('Raw Data'!$A18:$EA18,MATCH(AB$2,RawData[#Headers],))=""," ",INDEX('Raw Data'!$A18:$EA18,MATCH(AB$2,RawData[#Headers],)))</f>
        <v xml:space="preserve"> </v>
      </c>
      <c r="AC18" s="255" t="str">
        <f t="shared" si="14"/>
        <v xml:space="preserve"> </v>
      </c>
      <c r="AD18" s="255" t="str">
        <f>IF(INDEX('Raw Data'!$A18:$EA18,MATCH(AD$2,RawData[#Headers],))=""," ",INDEX('Raw Data'!$A18:$EA18,MATCH(AD$2,RawData[#Headers],)))</f>
        <v xml:space="preserve"> </v>
      </c>
      <c r="AE18" s="255" t="str">
        <f t="shared" si="15"/>
        <v xml:space="preserve"> </v>
      </c>
      <c r="AF18" s="255" t="str">
        <f>IF(INDEX('Raw Data'!$A18:$EA18,MATCH(AF$2,RawData[#Headers],))=""," ",INDEX('Raw Data'!$A18:$EA18,MATCH(AF$2,RawData[#Headers],)))</f>
        <v xml:space="preserve"> </v>
      </c>
      <c r="AG18" s="255" t="str">
        <f t="shared" si="16"/>
        <v xml:space="preserve"> </v>
      </c>
      <c r="AH18" s="255" t="str">
        <f>IF(INDEX('Raw Data'!$A18:$EA18,MATCH(AH$2,RawData[#Headers],))=""," ",INDEX('Raw Data'!$A18:$EA18,MATCH(AH$2,RawData[#Headers],)))</f>
        <v xml:space="preserve"> </v>
      </c>
      <c r="AI18" s="255" t="str">
        <f t="shared" si="17"/>
        <v xml:space="preserve"> </v>
      </c>
      <c r="AJ18" s="255" t="str">
        <f>IF(INDEX('Raw Data'!$A18:$EA18,MATCH(AJ$2,RawData[#Headers],))=""," ",INDEX('Raw Data'!$A18:$EA18,MATCH(AJ$2,RawData[#Headers],)))</f>
        <v xml:space="preserve"> </v>
      </c>
      <c r="AK18" s="255" t="str">
        <f t="shared" si="18"/>
        <v xml:space="preserve"> </v>
      </c>
      <c r="AL18" s="255" t="str">
        <f>IF(INDEX('Raw Data'!$A18:$EA18,MATCH(AL$2,RawData[#Headers],))=""," ",INDEX('Raw Data'!$A18:$EA18,MATCH(AL$2,RawData[#Headers],)))</f>
        <v xml:space="preserve"> </v>
      </c>
      <c r="AM18" s="255" t="str">
        <f t="shared" si="19"/>
        <v xml:space="preserve"> </v>
      </c>
      <c r="AN18" s="255" t="str">
        <f>IF(INDEX('Raw Data'!$A18:$EA18,MATCH(AN$2,RawData[#Headers],))=""," ",INDEX('Raw Data'!$A18:$EA18,MATCH(AN$2,RawData[#Headers],)))</f>
        <v xml:space="preserve"> </v>
      </c>
      <c r="AO18" s="255" t="str">
        <f t="shared" si="20"/>
        <v xml:space="preserve"> </v>
      </c>
      <c r="AP18" s="255" t="str">
        <f>IF(INDEX('Raw Data'!$A18:$EA18,MATCH(AP$2,RawData[#Headers],))=""," ",INDEX('Raw Data'!$A18:$EA18,MATCH(AP$2,RawData[#Headers],)))</f>
        <v xml:space="preserve"> </v>
      </c>
      <c r="AQ18" s="255" t="str">
        <f t="shared" si="21"/>
        <v xml:space="preserve"> </v>
      </c>
      <c r="AR18" s="255" t="str">
        <f>IF(INDEX('Raw Data'!$A18:$EA18,MATCH(AR$2,RawData[#Headers],))=""," ",INDEX('Raw Data'!$A18:$EA18,MATCH(AR$2,RawData[#Headers],)))</f>
        <v xml:space="preserve"> </v>
      </c>
      <c r="AS18" s="255" t="str">
        <f t="shared" si="22"/>
        <v xml:space="preserve"> </v>
      </c>
      <c r="AT18" s="255" t="str">
        <f>IF(INDEX('Raw Data'!$A18:$EA18,MATCH(AT$2,RawData[#Headers],))=""," ",INDEX('Raw Data'!$A18:$EA18,MATCH(AT$2,RawData[#Headers],)))</f>
        <v xml:space="preserve"> </v>
      </c>
      <c r="AU18" s="255" t="str">
        <f t="shared" si="23"/>
        <v xml:space="preserve"> </v>
      </c>
      <c r="AV18" s="255" t="str">
        <f>IF(INDEX('Raw Data'!$A18:$EA18,MATCH(AV$2,RawData[#Headers],))=""," ",INDEX('Raw Data'!$A18:$EA18,MATCH(AV$2,RawData[#Headers],)))</f>
        <v xml:space="preserve"> </v>
      </c>
      <c r="AW18" s="255" t="str">
        <f t="shared" si="24"/>
        <v xml:space="preserve"> </v>
      </c>
      <c r="AX18" s="255" t="str">
        <f>IF(INDEX('Raw Data'!$A18:$EA18,MATCH(AX$2,RawData[#Headers],))=""," ",INDEX('Raw Data'!$A18:$EA18,MATCH(AX$2,RawData[#Headers],)))</f>
        <v xml:space="preserve"> </v>
      </c>
      <c r="AY18" s="255" t="str">
        <f t="shared" si="25"/>
        <v xml:space="preserve"> </v>
      </c>
      <c r="AZ18" s="255" t="str">
        <f>IF(INDEX('Raw Data'!$A18:$EA18,MATCH(AZ$2,RawData[#Headers],))=""," ",INDEX('Raw Data'!$A18:$EA18,MATCH(AZ$2,RawData[#Headers],)))</f>
        <v xml:space="preserve"> </v>
      </c>
      <c r="BA18" s="255" t="str">
        <f t="shared" si="26"/>
        <v xml:space="preserve"> </v>
      </c>
      <c r="BB18" s="255" t="str">
        <f>IF(INDEX('Raw Data'!$A18:$EA18,MATCH(BB$2,RawData[#Headers],))=""," ",INDEX('Raw Data'!$A18:$EA18,MATCH(BB$2,RawData[#Headers],)))</f>
        <v xml:space="preserve"> </v>
      </c>
      <c r="BC18" s="255" t="str">
        <f t="shared" si="27"/>
        <v xml:space="preserve"> </v>
      </c>
      <c r="BD18" s="255" t="str">
        <f>IF(INDEX('Raw Data'!$A18:$EA18,MATCH(BD$2,RawData[#Headers],))=""," ",INDEX('Raw Data'!$A18:$EA18,MATCH(BD$2,RawData[#Headers],)))</f>
        <v xml:space="preserve"> </v>
      </c>
      <c r="BE18" s="255" t="str">
        <f t="shared" si="28"/>
        <v xml:space="preserve"> </v>
      </c>
      <c r="BF18" s="255" t="str">
        <f>IF(INDEX('Raw Data'!$A18:$EA18,MATCH(BF$2,RawData[#Headers],))=""," ",INDEX('Raw Data'!$A18:$EA18,MATCH(BF$2,RawData[#Headers],)))</f>
        <v xml:space="preserve"> </v>
      </c>
      <c r="BG18" s="255" t="str">
        <f t="shared" si="29"/>
        <v xml:space="preserve"> </v>
      </c>
      <c r="BH18" s="255" t="str">
        <f>IF(INDEX('Raw Data'!$A18:$EA18,MATCH(BH$2,RawData[#Headers],))=""," ",INDEX('Raw Data'!$A18:$EA18,MATCH(BH$2,RawData[#Headers],)))</f>
        <v xml:space="preserve"> </v>
      </c>
      <c r="BI18" s="255" t="str">
        <f t="shared" si="30"/>
        <v xml:space="preserve"> </v>
      </c>
      <c r="BJ18" s="255" t="str">
        <f>IF(INDEX('Raw Data'!$A18:$EA18,MATCH(BJ$2,RawData[#Headers],))=""," ",INDEX('Raw Data'!$A18:$EA18,MATCH(BJ$2,RawData[#Headers],)))</f>
        <v xml:space="preserve"> </v>
      </c>
      <c r="BK18" s="255" t="str">
        <f t="shared" si="31"/>
        <v xml:space="preserve"> </v>
      </c>
      <c r="BL18" s="255" t="str">
        <f>IF(INDEX('Raw Data'!$A18:$EA18,MATCH(BL$2,RawData[#Headers],))=""," ",INDEX('Raw Data'!$A18:$EA18,MATCH(BL$2,RawData[#Headers],)))</f>
        <v xml:space="preserve"> </v>
      </c>
      <c r="BM18" s="255" t="str">
        <f t="shared" si="32"/>
        <v xml:space="preserve"> </v>
      </c>
      <c r="BN18" s="255" t="str">
        <f>IF(INDEX('Raw Data'!$A18:$EA18,MATCH(BN$2,RawData[#Headers],))=""," ",INDEX('Raw Data'!$A18:$EA18,MATCH(BN$2,RawData[#Headers],)))</f>
        <v xml:space="preserve"> </v>
      </c>
      <c r="BO18" s="255" t="str">
        <f t="shared" si="33"/>
        <v xml:space="preserve"> </v>
      </c>
      <c r="BP18" s="255" t="str">
        <f>IF(INDEX('Raw Data'!$A18:$EA18,MATCH(BP$2,RawData[#Headers],))=""," ",INDEX('Raw Data'!$A18:$EA18,MATCH(BP$2,RawData[#Headers],)))</f>
        <v xml:space="preserve"> </v>
      </c>
      <c r="BQ18" s="255" t="str">
        <f t="shared" si="34"/>
        <v xml:space="preserve"> </v>
      </c>
      <c r="BR18" s="255" t="str">
        <f>IF(INDEX('Raw Data'!$A18:$EA18,MATCH(BR$2,RawData[#Headers],))=""," ",INDEX('Raw Data'!$A18:$EA18,MATCH(BR$2,RawData[#Headers],)))</f>
        <v xml:space="preserve"> </v>
      </c>
      <c r="BS18" s="255" t="str">
        <f t="shared" si="35"/>
        <v xml:space="preserve"> </v>
      </c>
      <c r="BT18" s="255" t="str">
        <f>IF(INDEX('Raw Data'!$A18:$EA18,MATCH(BT$2,RawData[#Headers],))=""," ",INDEX('Raw Data'!$A18:$EA18,MATCH(BT$2,RawData[#Headers],)))</f>
        <v xml:space="preserve"> </v>
      </c>
      <c r="BU18" s="255" t="str">
        <f t="shared" si="36"/>
        <v xml:space="preserve"> </v>
      </c>
      <c r="BV18" s="255" t="str">
        <f>IF(INDEX('Raw Data'!$A18:$EA18,MATCH(BV$2,RawData[#Headers],))=""," ",INDEX('Raw Data'!$A18:$EA18,MATCH(BV$2,RawData[#Headers],)))</f>
        <v xml:space="preserve"> </v>
      </c>
      <c r="BW18" s="255" t="str">
        <f t="shared" si="37"/>
        <v xml:space="preserve"> </v>
      </c>
      <c r="BX18" s="255" t="str">
        <f>IF(INDEX('Raw Data'!$A18:$EA18,MATCH(BX$2,RawData[#Headers],))=""," ",INDEX('Raw Data'!$A18:$EA18,MATCH(BX$2,RawData[#Headers],)))</f>
        <v xml:space="preserve"> </v>
      </c>
      <c r="BY18" s="255" t="str">
        <f t="shared" si="38"/>
        <v xml:space="preserve"> </v>
      </c>
      <c r="BZ18" s="255" t="str">
        <f>IF(INDEX('Raw Data'!$A18:$EA18,MATCH(BZ$2,RawData[#Headers],))=""," ",INDEX('Raw Data'!$A18:$EA18,MATCH(BZ$2,RawData[#Headers],)))</f>
        <v xml:space="preserve"> </v>
      </c>
      <c r="CA18" s="255" t="str">
        <f t="shared" si="39"/>
        <v xml:space="preserve"> </v>
      </c>
      <c r="CB18" s="255" t="str">
        <f>IF(INDEX('Raw Data'!$A18:$EA18,MATCH(CB$2,RawData[#Headers],))=""," ",INDEX('Raw Data'!$A18:$EA18,MATCH(CB$2,RawData[#Headers],)))</f>
        <v xml:space="preserve"> </v>
      </c>
      <c r="CC18" s="255" t="str">
        <f t="shared" si="40"/>
        <v xml:space="preserve"> </v>
      </c>
      <c r="CD18" s="255" t="str">
        <f>IF(INDEX('Raw Data'!$A18:$EA18,MATCH(CD$2,RawData[#Headers],))=""," ",INDEX('Raw Data'!$A18:$EA18,MATCH(CD$2,RawData[#Headers],)))</f>
        <v xml:space="preserve"> </v>
      </c>
      <c r="CE18" s="255" t="str">
        <f t="shared" si="41"/>
        <v xml:space="preserve"> </v>
      </c>
      <c r="CF18" s="255" t="str">
        <f>IF(INDEX('Raw Data'!$A18:$EA18,MATCH(CF$2,RawData[#Headers],))=""," ",INDEX('Raw Data'!$A18:$EA18,MATCH(CF$2,RawData[#Headers],)))</f>
        <v xml:space="preserve"> </v>
      </c>
      <c r="CG18" s="255" t="str">
        <f t="shared" si="42"/>
        <v xml:space="preserve"> </v>
      </c>
      <c r="CH18" s="255" t="str">
        <f>IF(INDEX('Raw Data'!$A18:$EA18,MATCH(CH$2,RawData[#Headers],))=""," ",INDEX('Raw Data'!$A18:$EA18,MATCH(CH$2,RawData[#Headers],)))</f>
        <v xml:space="preserve"> </v>
      </c>
      <c r="CI18" s="255" t="str">
        <f t="shared" si="43"/>
        <v xml:space="preserve"> </v>
      </c>
      <c r="CJ18" s="255" t="str">
        <f>IF(INDEX('Raw Data'!$A18:$EA18,MATCH(CJ$2,RawData[#Headers],))=""," ",INDEX('Raw Data'!$A18:$EA18,MATCH(CJ$2,RawData[#Headers],)))</f>
        <v xml:space="preserve"> </v>
      </c>
      <c r="CK18" s="255" t="str">
        <f t="shared" si="44"/>
        <v xml:space="preserve"> </v>
      </c>
      <c r="CL18" s="255" t="str">
        <f>IF(INDEX('Raw Data'!$A18:$EA18,MATCH(CL$2,RawData[#Headers],))=""," ",INDEX('Raw Data'!$A18:$EA18,MATCH(CL$2,RawData[#Headers],)))</f>
        <v xml:space="preserve"> </v>
      </c>
      <c r="CM18" s="255" t="str">
        <f t="shared" si="45"/>
        <v xml:space="preserve"> </v>
      </c>
      <c r="CN18" s="255" t="str">
        <f>IF(INDEX('Raw Data'!$A18:$EA18,MATCH(CN$2,RawData[#Headers],))=""," ",INDEX('Raw Data'!$A18:$EA18,MATCH(CN$2,RawData[#Headers],)))</f>
        <v xml:space="preserve"> </v>
      </c>
      <c r="CO18" s="255" t="str">
        <f t="shared" si="46"/>
        <v xml:space="preserve"> </v>
      </c>
      <c r="CP18" s="255" t="str">
        <f>IF(INDEX('Raw Data'!$A18:$EA18,MATCH(CP$2,RawData[#Headers],))=""," ",INDEX('Raw Data'!$A18:$EA18,MATCH(CP$2,RawData[#Headers],)))</f>
        <v xml:space="preserve"> </v>
      </c>
      <c r="CQ18" s="255" t="str">
        <f t="shared" si="47"/>
        <v xml:space="preserve"> </v>
      </c>
      <c r="CR18" s="255" t="str">
        <f>IF(INDEX('Raw Data'!$A18:$EA18,MATCH(CR$2,RawData[#Headers],))=""," ",INDEX('Raw Data'!$A18:$EA18,MATCH(CR$2,RawData[#Headers],)))</f>
        <v xml:space="preserve"> </v>
      </c>
      <c r="CS18" s="255" t="str">
        <f t="shared" si="48"/>
        <v xml:space="preserve"> </v>
      </c>
      <c r="CT18" s="255" t="str">
        <f>IF(INDEX('Raw Data'!$A18:$EA18,MATCH(CT$2,RawData[#Headers],))=""," ",INDEX('Raw Data'!$A18:$EA18,MATCH(CT$2,RawData[#Headers],)))</f>
        <v xml:space="preserve"> </v>
      </c>
      <c r="CU18" s="255" t="str">
        <f t="shared" si="49"/>
        <v xml:space="preserve"> </v>
      </c>
      <c r="CV18" s="255" t="str">
        <f>IF(INDEX('Raw Data'!$A18:$EA18,MATCH(CV$2,RawData[#Headers],))=""," ",INDEX('Raw Data'!$A18:$EA18,MATCH(CV$2,RawData[#Headers],)))</f>
        <v xml:space="preserve"> </v>
      </c>
      <c r="CW18" s="255" t="str">
        <f t="shared" si="50"/>
        <v xml:space="preserve"> </v>
      </c>
      <c r="CX18" s="255" t="str">
        <f>IF(INDEX('Raw Data'!$A18:$EA18,MATCH(CX$2,RawData[#Headers],))=""," ",INDEX('Raw Data'!$A18:$EA18,MATCH(CX$2,RawData[#Headers],)))</f>
        <v xml:space="preserve"> </v>
      </c>
      <c r="CY18" s="255" t="str">
        <f t="shared" si="51"/>
        <v xml:space="preserve"> </v>
      </c>
      <c r="CZ18" s="255" t="str">
        <f>IF(INDEX('Raw Data'!$A18:$EA18,MATCH(CZ$2,RawData[#Headers],))=""," ",INDEX('Raw Data'!$A18:$EA18,MATCH(CZ$2,RawData[#Headers],)))</f>
        <v xml:space="preserve"> </v>
      </c>
      <c r="DA18" s="255" t="str">
        <f t="shared" si="52"/>
        <v xml:space="preserve"> </v>
      </c>
      <c r="DB18" s="255" t="str">
        <f>IF(INDEX('Raw Data'!$A18:$EA18,MATCH(DB$2,RawData[#Headers],))=""," ",INDEX('Raw Data'!$A18:$EA18,MATCH(DB$2,RawData[#Headers],)))</f>
        <v xml:space="preserve"> </v>
      </c>
      <c r="DC18" s="255" t="str">
        <f t="shared" si="53"/>
        <v xml:space="preserve"> </v>
      </c>
      <c r="DD18" s="255" t="str">
        <f>IF(INDEX('Raw Data'!$A18:$EA18,MATCH(DD$2,RawData[#Headers],))=""," ",INDEX('Raw Data'!$A18:$EA18,MATCH(DD$2,RawData[#Headers],)))</f>
        <v xml:space="preserve"> </v>
      </c>
      <c r="DE18" s="255" t="str">
        <f t="shared" si="54"/>
        <v xml:space="preserve"> </v>
      </c>
      <c r="DF18" s="255" t="str">
        <f>IF(INDEX('Raw Data'!$A18:$EA18,MATCH(DF$2,RawData[#Headers],))=""," ",INDEX('Raw Data'!$A18:$EA18,MATCH(DF$2,RawData[#Headers],)))</f>
        <v xml:space="preserve"> </v>
      </c>
      <c r="DG18" s="255" t="str">
        <f t="shared" si="55"/>
        <v xml:space="preserve"> </v>
      </c>
      <c r="DH18" s="255" t="str">
        <f>IF(INDEX('Raw Data'!$A18:$EA18,MATCH(DH$2,RawData[#Headers],))=""," ",INDEX('Raw Data'!$A18:$EA18,MATCH(DH$2,RawData[#Headers],)))</f>
        <v xml:space="preserve"> </v>
      </c>
      <c r="DI18" s="255" t="str">
        <f t="shared" si="56"/>
        <v xml:space="preserve"> </v>
      </c>
      <c r="DJ18" s="255" t="str">
        <f>IF(INDEX('Raw Data'!$A18:$EA18,MATCH(DJ$2,RawData[#Headers],))=""," ",INDEX('Raw Data'!$A18:$EA18,MATCH(DJ$2,RawData[#Headers],)))</f>
        <v xml:space="preserve"> </v>
      </c>
      <c r="DK18" s="255" t="str">
        <f t="shared" si="57"/>
        <v xml:space="preserve"> </v>
      </c>
      <c r="DL18" s="255" t="str">
        <f>IF(INDEX('Raw Data'!$A18:$EA18,MATCH(DL$2,RawData[#Headers],))=""," ",INDEX('Raw Data'!$A18:$EA18,MATCH(DL$2,RawData[#Headers],)))</f>
        <v xml:space="preserve"> </v>
      </c>
      <c r="DM18" s="255" t="str">
        <f t="shared" si="58"/>
        <v xml:space="preserve"> </v>
      </c>
      <c r="DN18" s="255" t="str">
        <f>IF(INDEX('Raw Data'!$A18:$EA18,MATCH(DN$2,RawData[#Headers],))=""," ",INDEX('Raw Data'!$A18:$EA18,MATCH(DN$2,RawData[#Headers],)))</f>
        <v xml:space="preserve"> </v>
      </c>
      <c r="DO18" s="255" t="str">
        <f t="shared" si="59"/>
        <v xml:space="preserve"> </v>
      </c>
      <c r="DP18" s="255" t="str">
        <f>IF(INDEX('Raw Data'!$A18:$EA18,MATCH(DP$2,RawData[#Headers],))=""," ",INDEX('Raw Data'!$A18:$EA18,MATCH(DP$2,RawData[#Headers],)))</f>
        <v xml:space="preserve"> </v>
      </c>
      <c r="DQ18" s="255" t="str">
        <f t="shared" si="60"/>
        <v xml:space="preserve"> </v>
      </c>
      <c r="DR18" s="255" t="str">
        <f>IF(INDEX('Raw Data'!$A18:$EA18,MATCH(DR$2,RawData[#Headers],))=""," ",INDEX('Raw Data'!$A18:$EA18,MATCH(DR$2,RawData[#Headers],)))</f>
        <v xml:space="preserve"> </v>
      </c>
      <c r="DS18" s="255" t="str">
        <f t="shared" si="61"/>
        <v xml:space="preserve"> </v>
      </c>
      <c r="DT18" s="255" t="str">
        <f>IF(INDEX('Raw Data'!$A18:$EA18,MATCH(DT$2,RawData[#Headers],))=""," ",INDEX('Raw Data'!$A18:$EA18,MATCH(DT$2,RawData[#Headers],)))</f>
        <v xml:space="preserve"> </v>
      </c>
      <c r="DU18" s="255" t="str">
        <f t="shared" si="62"/>
        <v xml:space="preserve"> </v>
      </c>
      <c r="DV18" s="255" t="str">
        <f>IF(INDEX('Raw Data'!$A18:$EA18,MATCH(DV$2,RawData[#Headers],))=""," ",INDEX('Raw Data'!$A18:$EA18,MATCH(DV$2,RawData[#Headers],)))</f>
        <v xml:space="preserve"> </v>
      </c>
      <c r="DW18" s="255" t="str">
        <f t="shared" si="63"/>
        <v xml:space="preserve"> </v>
      </c>
      <c r="DX18" s="255" t="str">
        <f>IF(INDEX('Raw Data'!$A18:$EA18,MATCH(DX$2,RawData[#Headers],))=""," ",INDEX('Raw Data'!$A18:$EA18,MATCH(DX$2,RawData[#Headers],)))</f>
        <v xml:space="preserve"> </v>
      </c>
      <c r="DY18" s="255" t="str">
        <f t="shared" si="64"/>
        <v xml:space="preserve"> </v>
      </c>
      <c r="DZ18" s="255" t="str">
        <f>IF(INDEX('Raw Data'!$A18:$EA18,MATCH(DZ$2,RawData[#Headers],))=""," ",INDEX('Raw Data'!$A18:$EA18,MATCH(DZ$2,RawData[#Headers],)))</f>
        <v xml:space="preserve"> </v>
      </c>
      <c r="EA18" s="255" t="str">
        <f t="shared" si="65"/>
        <v xml:space="preserve"> </v>
      </c>
      <c r="EB18" s="255" t="str">
        <f>IF(INDEX('Raw Data'!$A18:$EA18,MATCH(EB$2,RawData[#Headers],))=""," ",INDEX('Raw Data'!$A18:$EA18,MATCH(EB$2,RawData[#Headers],)))</f>
        <v xml:space="preserve"> </v>
      </c>
      <c r="EC18" s="255" t="str">
        <f t="shared" si="66"/>
        <v xml:space="preserve"> </v>
      </c>
      <c r="ED18" s="255" t="str">
        <f>IF(INDEX('Raw Data'!$A18:$EA18,MATCH(ED$2,RawData[#Headers],))=""," ",INDEX('Raw Data'!$A18:$EA18,MATCH(ED$2,RawData[#Headers],)))</f>
        <v xml:space="preserve"> </v>
      </c>
      <c r="EE18" s="255" t="str">
        <f t="shared" si="67"/>
        <v xml:space="preserve"> </v>
      </c>
      <c r="EF18" s="255" t="str">
        <f>IF(INDEX('Raw Data'!$A18:$EA18,MATCH(EF$2,RawData[#Headers],))=""," ",INDEX('Raw Data'!$A18:$EA18,MATCH(EF$2,RawData[#Headers],)))</f>
        <v xml:space="preserve"> </v>
      </c>
      <c r="EG18" s="255" t="str">
        <f t="shared" si="68"/>
        <v xml:space="preserve"> </v>
      </c>
      <c r="EH18" s="255" t="str">
        <f>IF(INDEX('Raw Data'!$A18:$EA18,MATCH(EH$2,RawData[#Headers],))=""," ",INDEX('Raw Data'!$A18:$EA18,MATCH(EH$2,RawData[#Headers],)))</f>
        <v xml:space="preserve"> </v>
      </c>
      <c r="EI18" s="255" t="str">
        <f t="shared" si="69"/>
        <v xml:space="preserve"> </v>
      </c>
      <c r="EJ18" s="255" t="str">
        <f>IF(INDEX('Raw Data'!$A18:$EA18,MATCH(EJ$2,RawData[#Headers],))=""," ",INDEX('Raw Data'!$A18:$EA18,MATCH(EJ$2,RawData[#Headers],)))</f>
        <v xml:space="preserve"> </v>
      </c>
      <c r="EK18" s="255" t="str">
        <f t="shared" si="70"/>
        <v xml:space="preserve"> </v>
      </c>
      <c r="EL18" s="255" t="str">
        <f>IF(INDEX('Raw Data'!$A18:$EA18,MATCH(EL$2,RawData[#Headers],))=""," ",INDEX('Raw Data'!$A18:$EA18,MATCH(EL$2,RawData[#Headers],)))</f>
        <v xml:space="preserve"> </v>
      </c>
      <c r="EM18" s="255" t="str">
        <f t="shared" si="71"/>
        <v xml:space="preserve"> </v>
      </c>
      <c r="EN18" s="255" t="str">
        <f>IF(INDEX('Raw Data'!$A18:$EA18,MATCH(EN$2,RawData[#Headers],))=""," ",INDEX('Raw Data'!$A18:$EA18,MATCH(EN$2,RawData[#Headers],)))</f>
        <v xml:space="preserve"> </v>
      </c>
      <c r="EO18" s="255" t="str">
        <f t="shared" si="72"/>
        <v xml:space="preserve"> </v>
      </c>
      <c r="EP18" s="255" t="str">
        <f>IF(INDEX('Raw Data'!$A18:$EA18,MATCH(EP$2,RawData[#Headers],))=""," ",INDEX('Raw Data'!$A18:$EA18,MATCH(EP$2,RawData[#Headers],)))</f>
        <v xml:space="preserve"> </v>
      </c>
      <c r="EQ18" s="255" t="str">
        <f t="shared" si="73"/>
        <v xml:space="preserve"> </v>
      </c>
      <c r="ER18" s="255" t="str">
        <f>IF(INDEX('Raw Data'!$A18:$EA18,MATCH(ER$2,RawData[#Headers],))=""," ",INDEX('Raw Data'!$A18:$EA18,MATCH(ER$2,RawData[#Headers],)))</f>
        <v xml:space="preserve"> </v>
      </c>
      <c r="ES18" s="255" t="str">
        <f t="shared" si="2"/>
        <v xml:space="preserve"> </v>
      </c>
      <c r="ET18" s="255" t="str">
        <f>IF(INDEX('Raw Data'!$A18:$EA18,MATCH(ET$2,RawData[#Headers],))=""," ",INDEX('Raw Data'!$A18:$EA18,MATCH(ET$2,RawData[#Headers],)))</f>
        <v xml:space="preserve"> </v>
      </c>
      <c r="EU18" s="255" t="str">
        <f t="shared" si="3"/>
        <v xml:space="preserve"> </v>
      </c>
      <c r="EV18" s="255" t="str">
        <f>IF(INDEX('Raw Data'!$A18:$EA18,MATCH(EV$2,RawData[#Headers],))=""," ",INDEX('Raw Data'!$A18:$EA18,MATCH(EV$2,RawData[#Headers],)))</f>
        <v xml:space="preserve"> </v>
      </c>
      <c r="EW18" s="255" t="str">
        <f t="shared" si="4"/>
        <v xml:space="preserve"> </v>
      </c>
      <c r="EX18" s="255" t="str">
        <f>IF(INDEX('Raw Data'!$A18:$EA18,MATCH(EX$2,RawData[#Headers],))=""," ",INDEX('Raw Data'!$A18:$EA18,MATCH(EX$2,RawData[#Headers],)))</f>
        <v xml:space="preserve"> </v>
      </c>
      <c r="EY18" s="255" t="str">
        <f t="shared" si="74"/>
        <v xml:space="preserve"> </v>
      </c>
      <c r="EZ18" s="276" t="str">
        <f>IF(INDEX('Raw Data'!$A18:$EA18,MATCH(EZ$2,RawData[#Headers],))=""," ",INDEX('Raw Data'!$A18:$EA18,MATCH(EZ$2,RawData[#Headers],)))</f>
        <v xml:space="preserve"> </v>
      </c>
      <c r="FA18" s="255" t="str">
        <f t="shared" si="75"/>
        <v xml:space="preserve"> </v>
      </c>
      <c r="FB18" s="255" t="str">
        <f>IF(INDEX('Raw Data'!$A18:$EA18,MATCH(FB$2,RawData[#Headers],))=""," ",INDEX('Raw Data'!$A18:$EA18,MATCH(FB$2,RawData[#Headers],)))</f>
        <v xml:space="preserve"> </v>
      </c>
    </row>
    <row r="19" spans="1:158" x14ac:dyDescent="0.3">
      <c r="A19" s="255">
        <f>RawData[[#This Row],[Num]]</f>
        <v>0</v>
      </c>
      <c r="B19" s="255" t="str">
        <f>IF(INDEX('Raw Data'!$A19:$EA19,MATCH(B$2,RawData[#Headers],))=""," ",INDEX('Raw Data'!$A19:$EA19,MATCH(B$2,RawData[#Headers],)))</f>
        <v xml:space="preserve"> </v>
      </c>
      <c r="C19" s="326" t="str">
        <f>IFERROR(STANDARDIZE(machina[[#This Row],[Career Strike Rate]],B$30,B$31)^2," ")</f>
        <v xml:space="preserve"> </v>
      </c>
      <c r="D19" s="255" t="str">
        <f>IF(INDEX('Raw Data'!$A19:$EA19,MATCH(D$2,RawData[#Headers],))=""," ",INDEX('Raw Data'!$A19:$EA19,MATCH(D$2,RawData[#Headers],)))</f>
        <v xml:space="preserve"> </v>
      </c>
      <c r="E19" s="326" t="str">
        <f>IFERROR(STANDARDIZE(machina[[#This Row],[Career ROI]],D$30,D$31)^2," ")</f>
        <v xml:space="preserve"> </v>
      </c>
      <c r="F19" s="255" t="str">
        <f>IF(INDEX('Raw Data'!$A19:$EA19,MATCH(F$2,RawData[#Headers],))=""," ",INDEX('Raw Data'!$A19:$EA19,MATCH(F$2,RawData[#Headers],)))</f>
        <v xml:space="preserve"> </v>
      </c>
      <c r="G19" s="255" t="str">
        <f t="shared" si="5"/>
        <v xml:space="preserve"> </v>
      </c>
      <c r="H19" s="255" t="str">
        <f>IF(INDEX('Raw Data'!$A19:$EA19,MATCH(H$2,RawData[#Headers],))=""," ",INDEX('Raw Data'!$A19:$EA19,MATCH(H$2,RawData[#Headers],)))</f>
        <v xml:space="preserve"> </v>
      </c>
      <c r="I19" s="255" t="str">
        <f t="shared" si="6"/>
        <v xml:space="preserve"> </v>
      </c>
      <c r="J19" s="255" t="str">
        <f>IF(INDEX('Raw Data'!$A19:$EA19,MATCH(J$2,RawData[#Headers],))=""," ",INDEX('Raw Data'!$A19:$EA19,MATCH(J$2,RawData[#Headers],)))</f>
        <v xml:space="preserve"> </v>
      </c>
      <c r="K19" s="255" t="str">
        <f t="shared" si="7"/>
        <v xml:space="preserve"> </v>
      </c>
      <c r="L19" s="255" t="str">
        <f>IF(INDEX('Raw Data'!$A19:$EA19,MATCH(L$2,RawData[#Headers],))=""," ",INDEX('Raw Data'!$A19:$EA19,MATCH(L$2,RawData[#Headers],)))</f>
        <v xml:space="preserve"> </v>
      </c>
      <c r="M19" s="255" t="str">
        <f t="shared" si="0"/>
        <v xml:space="preserve"> </v>
      </c>
      <c r="N19" s="255" t="str">
        <f>IF(INDEX('Raw Data'!$A19:$EA19,MATCH(N$2,RawData[#Headers],))=""," ",INDEX('Raw Data'!$A19:$EA19,MATCH(N$2,RawData[#Headers],)))</f>
        <v xml:space="preserve"> </v>
      </c>
      <c r="O19" s="255" t="str">
        <f t="shared" si="0"/>
        <v xml:space="preserve"> </v>
      </c>
      <c r="P19" s="255" t="str">
        <f>IF(INDEX('Raw Data'!$A19:$EA19,MATCH(P$2,RawData[#Headers],))=""," ",INDEX('Raw Data'!$A19:$EA19,MATCH(P$2,RawData[#Headers],)))</f>
        <v xml:space="preserve"> </v>
      </c>
      <c r="Q19" s="255" t="str">
        <f t="shared" ref="Q19" si="90">IF(ISERROR(IF(P19=""," ",RANK(P19,P$3:P$28,1)))," ",IF(P19=""," ",RANK(P19,P$3:P$28,1)))</f>
        <v xml:space="preserve"> </v>
      </c>
      <c r="R19" s="255" t="str">
        <f>IF(INDEX('Raw Data'!$A19:$EA19,MATCH(R$2,RawData[#Headers],))=""," ",INDEX('Raw Data'!$A19:$EA19,MATCH(R$2,RawData[#Headers],)))</f>
        <v xml:space="preserve"> </v>
      </c>
      <c r="S19" s="255" t="str">
        <f t="shared" si="9"/>
        <v xml:space="preserve"> </v>
      </c>
      <c r="T19" s="255" t="str">
        <f>IF(INDEX('Raw Data'!$A19:$EA19,MATCH(T$2,RawData[#Headers],))=""," ",INDEX('Raw Data'!$A19:$EA19,MATCH(T$2,RawData[#Headers],)))</f>
        <v xml:space="preserve"> </v>
      </c>
      <c r="U19" s="255" t="str">
        <f t="shared" si="10"/>
        <v xml:space="preserve"> </v>
      </c>
      <c r="V19" s="255" t="str">
        <f>IF(INDEX('Raw Data'!$A19:$EA19,MATCH(V$2,RawData[#Headers],))=""," ",INDEX('Raw Data'!$A19:$EA19,MATCH(V$2,RawData[#Headers],)))</f>
        <v xml:space="preserve"> </v>
      </c>
      <c r="W19" s="255" t="str">
        <f t="shared" si="11"/>
        <v xml:space="preserve"> </v>
      </c>
      <c r="X19" s="255" t="str">
        <f>IF(INDEX('Raw Data'!$A19:$EA19,MATCH(X$2,RawData[#Headers],))=""," ",INDEX('Raw Data'!$A19:$EA19,MATCH(X$2,RawData[#Headers],)))</f>
        <v xml:space="preserve"> </v>
      </c>
      <c r="Y19" s="255" t="str">
        <f t="shared" si="12"/>
        <v xml:space="preserve"> </v>
      </c>
      <c r="Z19" s="255" t="str">
        <f>IF(INDEX('Raw Data'!$A19:$EA19,MATCH(Z$2,RawData[#Headers],))=""," ",INDEX('Raw Data'!$A19:$EA19,MATCH(Z$2,RawData[#Headers],)))</f>
        <v xml:space="preserve"> </v>
      </c>
      <c r="AA19" s="255" t="str">
        <f t="shared" si="13"/>
        <v xml:space="preserve"> </v>
      </c>
      <c r="AB19" s="255" t="str">
        <f>IF(INDEX('Raw Data'!$A19:$EA19,MATCH(AB$2,RawData[#Headers],))=""," ",INDEX('Raw Data'!$A19:$EA19,MATCH(AB$2,RawData[#Headers],)))</f>
        <v xml:space="preserve"> </v>
      </c>
      <c r="AC19" s="255" t="str">
        <f t="shared" si="14"/>
        <v xml:space="preserve"> </v>
      </c>
      <c r="AD19" s="255" t="str">
        <f>IF(INDEX('Raw Data'!$A19:$EA19,MATCH(AD$2,RawData[#Headers],))=""," ",INDEX('Raw Data'!$A19:$EA19,MATCH(AD$2,RawData[#Headers],)))</f>
        <v xml:space="preserve"> </v>
      </c>
      <c r="AE19" s="255" t="str">
        <f t="shared" si="15"/>
        <v xml:space="preserve"> </v>
      </c>
      <c r="AF19" s="255" t="str">
        <f>IF(INDEX('Raw Data'!$A19:$EA19,MATCH(AF$2,RawData[#Headers],))=""," ",INDEX('Raw Data'!$A19:$EA19,MATCH(AF$2,RawData[#Headers],)))</f>
        <v xml:space="preserve"> </v>
      </c>
      <c r="AG19" s="255" t="str">
        <f t="shared" si="16"/>
        <v xml:space="preserve"> </v>
      </c>
      <c r="AH19" s="255" t="str">
        <f>IF(INDEX('Raw Data'!$A19:$EA19,MATCH(AH$2,RawData[#Headers],))=""," ",INDEX('Raw Data'!$A19:$EA19,MATCH(AH$2,RawData[#Headers],)))</f>
        <v xml:space="preserve"> </v>
      </c>
      <c r="AI19" s="255" t="str">
        <f t="shared" si="17"/>
        <v xml:space="preserve"> </v>
      </c>
      <c r="AJ19" s="255" t="str">
        <f>IF(INDEX('Raw Data'!$A19:$EA19,MATCH(AJ$2,RawData[#Headers],))=""," ",INDEX('Raw Data'!$A19:$EA19,MATCH(AJ$2,RawData[#Headers],)))</f>
        <v xml:space="preserve"> </v>
      </c>
      <c r="AK19" s="255" t="str">
        <f t="shared" si="18"/>
        <v xml:space="preserve"> </v>
      </c>
      <c r="AL19" s="255" t="str">
        <f>IF(INDEX('Raw Data'!$A19:$EA19,MATCH(AL$2,RawData[#Headers],))=""," ",INDEX('Raw Data'!$A19:$EA19,MATCH(AL$2,RawData[#Headers],)))</f>
        <v xml:space="preserve"> </v>
      </c>
      <c r="AM19" s="255" t="str">
        <f t="shared" si="19"/>
        <v xml:space="preserve"> </v>
      </c>
      <c r="AN19" s="255" t="str">
        <f>IF(INDEX('Raw Data'!$A19:$EA19,MATCH(AN$2,RawData[#Headers],))=""," ",INDEX('Raw Data'!$A19:$EA19,MATCH(AN$2,RawData[#Headers],)))</f>
        <v xml:space="preserve"> </v>
      </c>
      <c r="AO19" s="255" t="str">
        <f t="shared" si="20"/>
        <v xml:space="preserve"> </v>
      </c>
      <c r="AP19" s="255" t="str">
        <f>IF(INDEX('Raw Data'!$A19:$EA19,MATCH(AP$2,RawData[#Headers],))=""," ",INDEX('Raw Data'!$A19:$EA19,MATCH(AP$2,RawData[#Headers],)))</f>
        <v xml:space="preserve"> </v>
      </c>
      <c r="AQ19" s="255" t="str">
        <f t="shared" si="21"/>
        <v xml:space="preserve"> </v>
      </c>
      <c r="AR19" s="255" t="str">
        <f>IF(INDEX('Raw Data'!$A19:$EA19,MATCH(AR$2,RawData[#Headers],))=""," ",INDEX('Raw Data'!$A19:$EA19,MATCH(AR$2,RawData[#Headers],)))</f>
        <v xml:space="preserve"> </v>
      </c>
      <c r="AS19" s="255" t="str">
        <f t="shared" si="22"/>
        <v xml:space="preserve"> </v>
      </c>
      <c r="AT19" s="255" t="str">
        <f>IF(INDEX('Raw Data'!$A19:$EA19,MATCH(AT$2,RawData[#Headers],))=""," ",INDEX('Raw Data'!$A19:$EA19,MATCH(AT$2,RawData[#Headers],)))</f>
        <v xml:space="preserve"> </v>
      </c>
      <c r="AU19" s="255" t="str">
        <f t="shared" si="23"/>
        <v xml:space="preserve"> </v>
      </c>
      <c r="AV19" s="255" t="str">
        <f>IF(INDEX('Raw Data'!$A19:$EA19,MATCH(AV$2,RawData[#Headers],))=""," ",INDEX('Raw Data'!$A19:$EA19,MATCH(AV$2,RawData[#Headers],)))</f>
        <v xml:space="preserve"> </v>
      </c>
      <c r="AW19" s="255" t="str">
        <f t="shared" si="24"/>
        <v xml:space="preserve"> </v>
      </c>
      <c r="AX19" s="255" t="str">
        <f>IF(INDEX('Raw Data'!$A19:$EA19,MATCH(AX$2,RawData[#Headers],))=""," ",INDEX('Raw Data'!$A19:$EA19,MATCH(AX$2,RawData[#Headers],)))</f>
        <v xml:space="preserve"> </v>
      </c>
      <c r="AY19" s="255" t="str">
        <f t="shared" si="25"/>
        <v xml:space="preserve"> </v>
      </c>
      <c r="AZ19" s="255" t="str">
        <f>IF(INDEX('Raw Data'!$A19:$EA19,MATCH(AZ$2,RawData[#Headers],))=""," ",INDEX('Raw Data'!$A19:$EA19,MATCH(AZ$2,RawData[#Headers],)))</f>
        <v xml:space="preserve"> </v>
      </c>
      <c r="BA19" s="255" t="str">
        <f t="shared" si="26"/>
        <v xml:space="preserve"> </v>
      </c>
      <c r="BB19" s="255" t="str">
        <f>IF(INDEX('Raw Data'!$A19:$EA19,MATCH(BB$2,RawData[#Headers],))=""," ",INDEX('Raw Data'!$A19:$EA19,MATCH(BB$2,RawData[#Headers],)))</f>
        <v xml:space="preserve"> </v>
      </c>
      <c r="BC19" s="255" t="str">
        <f t="shared" si="27"/>
        <v xml:space="preserve"> </v>
      </c>
      <c r="BD19" s="255" t="str">
        <f>IF(INDEX('Raw Data'!$A19:$EA19,MATCH(BD$2,RawData[#Headers],))=""," ",INDEX('Raw Data'!$A19:$EA19,MATCH(BD$2,RawData[#Headers],)))</f>
        <v xml:space="preserve"> </v>
      </c>
      <c r="BE19" s="255" t="str">
        <f t="shared" si="28"/>
        <v xml:space="preserve"> </v>
      </c>
      <c r="BF19" s="255" t="str">
        <f>IF(INDEX('Raw Data'!$A19:$EA19,MATCH(BF$2,RawData[#Headers],))=""," ",INDEX('Raw Data'!$A19:$EA19,MATCH(BF$2,RawData[#Headers],)))</f>
        <v xml:space="preserve"> </v>
      </c>
      <c r="BG19" s="255" t="str">
        <f t="shared" si="29"/>
        <v xml:space="preserve"> </v>
      </c>
      <c r="BH19" s="255" t="str">
        <f>IF(INDEX('Raw Data'!$A19:$EA19,MATCH(BH$2,RawData[#Headers],))=""," ",INDEX('Raw Data'!$A19:$EA19,MATCH(BH$2,RawData[#Headers],)))</f>
        <v xml:space="preserve"> </v>
      </c>
      <c r="BI19" s="255" t="str">
        <f t="shared" si="30"/>
        <v xml:space="preserve"> </v>
      </c>
      <c r="BJ19" s="255" t="str">
        <f>IF(INDEX('Raw Data'!$A19:$EA19,MATCH(BJ$2,RawData[#Headers],))=""," ",INDEX('Raw Data'!$A19:$EA19,MATCH(BJ$2,RawData[#Headers],)))</f>
        <v xml:space="preserve"> </v>
      </c>
      <c r="BK19" s="255" t="str">
        <f t="shared" si="31"/>
        <v xml:space="preserve"> </v>
      </c>
      <c r="BL19" s="255" t="str">
        <f>IF(INDEX('Raw Data'!$A19:$EA19,MATCH(BL$2,RawData[#Headers],))=""," ",INDEX('Raw Data'!$A19:$EA19,MATCH(BL$2,RawData[#Headers],)))</f>
        <v xml:space="preserve"> </v>
      </c>
      <c r="BM19" s="255" t="str">
        <f t="shared" si="32"/>
        <v xml:space="preserve"> </v>
      </c>
      <c r="BN19" s="255" t="str">
        <f>IF(INDEX('Raw Data'!$A19:$EA19,MATCH(BN$2,RawData[#Headers],))=""," ",INDEX('Raw Data'!$A19:$EA19,MATCH(BN$2,RawData[#Headers],)))</f>
        <v xml:space="preserve"> </v>
      </c>
      <c r="BO19" s="255" t="str">
        <f t="shared" si="33"/>
        <v xml:space="preserve"> </v>
      </c>
      <c r="BP19" s="255" t="str">
        <f>IF(INDEX('Raw Data'!$A19:$EA19,MATCH(BP$2,RawData[#Headers],))=""," ",INDEX('Raw Data'!$A19:$EA19,MATCH(BP$2,RawData[#Headers],)))</f>
        <v xml:space="preserve"> </v>
      </c>
      <c r="BQ19" s="255" t="str">
        <f t="shared" si="34"/>
        <v xml:space="preserve"> </v>
      </c>
      <c r="BR19" s="255" t="str">
        <f>IF(INDEX('Raw Data'!$A19:$EA19,MATCH(BR$2,RawData[#Headers],))=""," ",INDEX('Raw Data'!$A19:$EA19,MATCH(BR$2,RawData[#Headers],)))</f>
        <v xml:space="preserve"> </v>
      </c>
      <c r="BS19" s="255" t="str">
        <f t="shared" si="35"/>
        <v xml:space="preserve"> </v>
      </c>
      <c r="BT19" s="255" t="str">
        <f>IF(INDEX('Raw Data'!$A19:$EA19,MATCH(BT$2,RawData[#Headers],))=""," ",INDEX('Raw Data'!$A19:$EA19,MATCH(BT$2,RawData[#Headers],)))</f>
        <v xml:space="preserve"> </v>
      </c>
      <c r="BU19" s="255" t="str">
        <f t="shared" si="36"/>
        <v xml:space="preserve"> </v>
      </c>
      <c r="BV19" s="255" t="str">
        <f>IF(INDEX('Raw Data'!$A19:$EA19,MATCH(BV$2,RawData[#Headers],))=""," ",INDEX('Raw Data'!$A19:$EA19,MATCH(BV$2,RawData[#Headers],)))</f>
        <v xml:space="preserve"> </v>
      </c>
      <c r="BW19" s="255" t="str">
        <f t="shared" si="37"/>
        <v xml:space="preserve"> </v>
      </c>
      <c r="BX19" s="255" t="str">
        <f>IF(INDEX('Raw Data'!$A19:$EA19,MATCH(BX$2,RawData[#Headers],))=""," ",INDEX('Raw Data'!$A19:$EA19,MATCH(BX$2,RawData[#Headers],)))</f>
        <v xml:space="preserve"> </v>
      </c>
      <c r="BY19" s="255" t="str">
        <f t="shared" si="38"/>
        <v xml:space="preserve"> </v>
      </c>
      <c r="BZ19" s="255" t="str">
        <f>IF(INDEX('Raw Data'!$A19:$EA19,MATCH(BZ$2,RawData[#Headers],))=""," ",INDEX('Raw Data'!$A19:$EA19,MATCH(BZ$2,RawData[#Headers],)))</f>
        <v xml:space="preserve"> </v>
      </c>
      <c r="CA19" s="255" t="str">
        <f t="shared" si="39"/>
        <v xml:space="preserve"> </v>
      </c>
      <c r="CB19" s="255" t="str">
        <f>IF(INDEX('Raw Data'!$A19:$EA19,MATCH(CB$2,RawData[#Headers],))=""," ",INDEX('Raw Data'!$A19:$EA19,MATCH(CB$2,RawData[#Headers],)))</f>
        <v xml:space="preserve"> </v>
      </c>
      <c r="CC19" s="255" t="str">
        <f t="shared" si="40"/>
        <v xml:space="preserve"> </v>
      </c>
      <c r="CD19" s="255" t="str">
        <f>IF(INDEX('Raw Data'!$A19:$EA19,MATCH(CD$2,RawData[#Headers],))=""," ",INDEX('Raw Data'!$A19:$EA19,MATCH(CD$2,RawData[#Headers],)))</f>
        <v xml:space="preserve"> </v>
      </c>
      <c r="CE19" s="255" t="str">
        <f t="shared" si="41"/>
        <v xml:space="preserve"> </v>
      </c>
      <c r="CF19" s="255" t="str">
        <f>IF(INDEX('Raw Data'!$A19:$EA19,MATCH(CF$2,RawData[#Headers],))=""," ",INDEX('Raw Data'!$A19:$EA19,MATCH(CF$2,RawData[#Headers],)))</f>
        <v xml:space="preserve"> </v>
      </c>
      <c r="CG19" s="255" t="str">
        <f t="shared" si="42"/>
        <v xml:space="preserve"> </v>
      </c>
      <c r="CH19" s="255" t="str">
        <f>IF(INDEX('Raw Data'!$A19:$EA19,MATCH(CH$2,RawData[#Headers],))=""," ",INDEX('Raw Data'!$A19:$EA19,MATCH(CH$2,RawData[#Headers],)))</f>
        <v xml:space="preserve"> </v>
      </c>
      <c r="CI19" s="255" t="str">
        <f t="shared" si="43"/>
        <v xml:space="preserve"> </v>
      </c>
      <c r="CJ19" s="255" t="str">
        <f>IF(INDEX('Raw Data'!$A19:$EA19,MATCH(CJ$2,RawData[#Headers],))=""," ",INDEX('Raw Data'!$A19:$EA19,MATCH(CJ$2,RawData[#Headers],)))</f>
        <v xml:space="preserve"> </v>
      </c>
      <c r="CK19" s="255" t="str">
        <f t="shared" si="44"/>
        <v xml:space="preserve"> </v>
      </c>
      <c r="CL19" s="255" t="str">
        <f>IF(INDEX('Raw Data'!$A19:$EA19,MATCH(CL$2,RawData[#Headers],))=""," ",INDEX('Raw Data'!$A19:$EA19,MATCH(CL$2,RawData[#Headers],)))</f>
        <v xml:space="preserve"> </v>
      </c>
      <c r="CM19" s="255" t="str">
        <f t="shared" si="45"/>
        <v xml:space="preserve"> </v>
      </c>
      <c r="CN19" s="255" t="str">
        <f>IF(INDEX('Raw Data'!$A19:$EA19,MATCH(CN$2,RawData[#Headers],))=""," ",INDEX('Raw Data'!$A19:$EA19,MATCH(CN$2,RawData[#Headers],)))</f>
        <v xml:space="preserve"> </v>
      </c>
      <c r="CO19" s="255" t="str">
        <f t="shared" si="46"/>
        <v xml:space="preserve"> </v>
      </c>
      <c r="CP19" s="255" t="str">
        <f>IF(INDEX('Raw Data'!$A19:$EA19,MATCH(CP$2,RawData[#Headers],))=""," ",INDEX('Raw Data'!$A19:$EA19,MATCH(CP$2,RawData[#Headers],)))</f>
        <v xml:space="preserve"> </v>
      </c>
      <c r="CQ19" s="255" t="str">
        <f t="shared" si="47"/>
        <v xml:space="preserve"> </v>
      </c>
      <c r="CR19" s="255" t="str">
        <f>IF(INDEX('Raw Data'!$A19:$EA19,MATCH(CR$2,RawData[#Headers],))=""," ",INDEX('Raw Data'!$A19:$EA19,MATCH(CR$2,RawData[#Headers],)))</f>
        <v xml:space="preserve"> </v>
      </c>
      <c r="CS19" s="255" t="str">
        <f t="shared" si="48"/>
        <v xml:space="preserve"> </v>
      </c>
      <c r="CT19" s="255" t="str">
        <f>IF(INDEX('Raw Data'!$A19:$EA19,MATCH(CT$2,RawData[#Headers],))=""," ",INDEX('Raw Data'!$A19:$EA19,MATCH(CT$2,RawData[#Headers],)))</f>
        <v xml:space="preserve"> </v>
      </c>
      <c r="CU19" s="255" t="str">
        <f t="shared" si="49"/>
        <v xml:space="preserve"> </v>
      </c>
      <c r="CV19" s="255" t="str">
        <f>IF(INDEX('Raw Data'!$A19:$EA19,MATCH(CV$2,RawData[#Headers],))=""," ",INDEX('Raw Data'!$A19:$EA19,MATCH(CV$2,RawData[#Headers],)))</f>
        <v xml:space="preserve"> </v>
      </c>
      <c r="CW19" s="255" t="str">
        <f t="shared" si="50"/>
        <v xml:space="preserve"> </v>
      </c>
      <c r="CX19" s="255" t="str">
        <f>IF(INDEX('Raw Data'!$A19:$EA19,MATCH(CX$2,RawData[#Headers],))=""," ",INDEX('Raw Data'!$A19:$EA19,MATCH(CX$2,RawData[#Headers],)))</f>
        <v xml:space="preserve"> </v>
      </c>
      <c r="CY19" s="255" t="str">
        <f t="shared" si="51"/>
        <v xml:space="preserve"> </v>
      </c>
      <c r="CZ19" s="255" t="str">
        <f>IF(INDEX('Raw Data'!$A19:$EA19,MATCH(CZ$2,RawData[#Headers],))=""," ",INDEX('Raw Data'!$A19:$EA19,MATCH(CZ$2,RawData[#Headers],)))</f>
        <v xml:space="preserve"> </v>
      </c>
      <c r="DA19" s="255" t="str">
        <f t="shared" si="52"/>
        <v xml:space="preserve"> </v>
      </c>
      <c r="DB19" s="255" t="str">
        <f>IF(INDEX('Raw Data'!$A19:$EA19,MATCH(DB$2,RawData[#Headers],))=""," ",INDEX('Raw Data'!$A19:$EA19,MATCH(DB$2,RawData[#Headers],)))</f>
        <v xml:space="preserve"> </v>
      </c>
      <c r="DC19" s="255" t="str">
        <f t="shared" si="53"/>
        <v xml:space="preserve"> </v>
      </c>
      <c r="DD19" s="255" t="str">
        <f>IF(INDEX('Raw Data'!$A19:$EA19,MATCH(DD$2,RawData[#Headers],))=""," ",INDEX('Raw Data'!$A19:$EA19,MATCH(DD$2,RawData[#Headers],)))</f>
        <v xml:space="preserve"> </v>
      </c>
      <c r="DE19" s="255" t="str">
        <f t="shared" si="54"/>
        <v xml:space="preserve"> </v>
      </c>
      <c r="DF19" s="255" t="str">
        <f>IF(INDEX('Raw Data'!$A19:$EA19,MATCH(DF$2,RawData[#Headers],))=""," ",INDEX('Raw Data'!$A19:$EA19,MATCH(DF$2,RawData[#Headers],)))</f>
        <v xml:space="preserve"> </v>
      </c>
      <c r="DG19" s="255" t="str">
        <f t="shared" si="55"/>
        <v xml:space="preserve"> </v>
      </c>
      <c r="DH19" s="255" t="str">
        <f>IF(INDEX('Raw Data'!$A19:$EA19,MATCH(DH$2,RawData[#Headers],))=""," ",INDEX('Raw Data'!$A19:$EA19,MATCH(DH$2,RawData[#Headers],)))</f>
        <v xml:space="preserve"> </v>
      </c>
      <c r="DI19" s="255" t="str">
        <f t="shared" si="56"/>
        <v xml:space="preserve"> </v>
      </c>
      <c r="DJ19" s="255" t="str">
        <f>IF(INDEX('Raw Data'!$A19:$EA19,MATCH(DJ$2,RawData[#Headers],))=""," ",INDEX('Raw Data'!$A19:$EA19,MATCH(DJ$2,RawData[#Headers],)))</f>
        <v xml:space="preserve"> </v>
      </c>
      <c r="DK19" s="255" t="str">
        <f t="shared" si="57"/>
        <v xml:space="preserve"> </v>
      </c>
      <c r="DL19" s="255" t="str">
        <f>IF(INDEX('Raw Data'!$A19:$EA19,MATCH(DL$2,RawData[#Headers],))=""," ",INDEX('Raw Data'!$A19:$EA19,MATCH(DL$2,RawData[#Headers],)))</f>
        <v xml:space="preserve"> </v>
      </c>
      <c r="DM19" s="255" t="str">
        <f t="shared" si="58"/>
        <v xml:space="preserve"> </v>
      </c>
      <c r="DN19" s="255" t="str">
        <f>IF(INDEX('Raw Data'!$A19:$EA19,MATCH(DN$2,RawData[#Headers],))=""," ",INDEX('Raw Data'!$A19:$EA19,MATCH(DN$2,RawData[#Headers],)))</f>
        <v xml:space="preserve"> </v>
      </c>
      <c r="DO19" s="255" t="str">
        <f t="shared" si="59"/>
        <v xml:space="preserve"> </v>
      </c>
      <c r="DP19" s="255" t="str">
        <f>IF(INDEX('Raw Data'!$A19:$EA19,MATCH(DP$2,RawData[#Headers],))=""," ",INDEX('Raw Data'!$A19:$EA19,MATCH(DP$2,RawData[#Headers],)))</f>
        <v xml:space="preserve"> </v>
      </c>
      <c r="DQ19" s="255" t="str">
        <f t="shared" si="60"/>
        <v xml:space="preserve"> </v>
      </c>
      <c r="DR19" s="255" t="str">
        <f>IF(INDEX('Raw Data'!$A19:$EA19,MATCH(DR$2,RawData[#Headers],))=""," ",INDEX('Raw Data'!$A19:$EA19,MATCH(DR$2,RawData[#Headers],)))</f>
        <v xml:space="preserve"> </v>
      </c>
      <c r="DS19" s="255" t="str">
        <f t="shared" si="61"/>
        <v xml:space="preserve"> </v>
      </c>
      <c r="DT19" s="255" t="str">
        <f>IF(INDEX('Raw Data'!$A19:$EA19,MATCH(DT$2,RawData[#Headers],))=""," ",INDEX('Raw Data'!$A19:$EA19,MATCH(DT$2,RawData[#Headers],)))</f>
        <v xml:space="preserve"> </v>
      </c>
      <c r="DU19" s="255" t="str">
        <f t="shared" si="62"/>
        <v xml:space="preserve"> </v>
      </c>
      <c r="DV19" s="255" t="str">
        <f>IF(INDEX('Raw Data'!$A19:$EA19,MATCH(DV$2,RawData[#Headers],))=""," ",INDEX('Raw Data'!$A19:$EA19,MATCH(DV$2,RawData[#Headers],)))</f>
        <v xml:space="preserve"> </v>
      </c>
      <c r="DW19" s="255" t="str">
        <f t="shared" si="63"/>
        <v xml:space="preserve"> </v>
      </c>
      <c r="DX19" s="255" t="str">
        <f>IF(INDEX('Raw Data'!$A19:$EA19,MATCH(DX$2,RawData[#Headers],))=""," ",INDEX('Raw Data'!$A19:$EA19,MATCH(DX$2,RawData[#Headers],)))</f>
        <v xml:space="preserve"> </v>
      </c>
      <c r="DY19" s="255" t="str">
        <f t="shared" si="64"/>
        <v xml:space="preserve"> </v>
      </c>
      <c r="DZ19" s="255" t="str">
        <f>IF(INDEX('Raw Data'!$A19:$EA19,MATCH(DZ$2,RawData[#Headers],))=""," ",INDEX('Raw Data'!$A19:$EA19,MATCH(DZ$2,RawData[#Headers],)))</f>
        <v xml:space="preserve"> </v>
      </c>
      <c r="EA19" s="255" t="str">
        <f t="shared" si="65"/>
        <v xml:space="preserve"> </v>
      </c>
      <c r="EB19" s="255" t="str">
        <f>IF(INDEX('Raw Data'!$A19:$EA19,MATCH(EB$2,RawData[#Headers],))=""," ",INDEX('Raw Data'!$A19:$EA19,MATCH(EB$2,RawData[#Headers],)))</f>
        <v xml:space="preserve"> </v>
      </c>
      <c r="EC19" s="255" t="str">
        <f t="shared" si="66"/>
        <v xml:space="preserve"> </v>
      </c>
      <c r="ED19" s="255" t="str">
        <f>IF(INDEX('Raw Data'!$A19:$EA19,MATCH(ED$2,RawData[#Headers],))=""," ",INDEX('Raw Data'!$A19:$EA19,MATCH(ED$2,RawData[#Headers],)))</f>
        <v xml:space="preserve"> </v>
      </c>
      <c r="EE19" s="255" t="str">
        <f t="shared" si="67"/>
        <v xml:space="preserve"> </v>
      </c>
      <c r="EF19" s="255" t="str">
        <f>IF(INDEX('Raw Data'!$A19:$EA19,MATCH(EF$2,RawData[#Headers],))=""," ",INDEX('Raw Data'!$A19:$EA19,MATCH(EF$2,RawData[#Headers],)))</f>
        <v xml:space="preserve"> </v>
      </c>
      <c r="EG19" s="255" t="str">
        <f t="shared" si="68"/>
        <v xml:space="preserve"> </v>
      </c>
      <c r="EH19" s="255" t="str">
        <f>IF(INDEX('Raw Data'!$A19:$EA19,MATCH(EH$2,RawData[#Headers],))=""," ",INDEX('Raw Data'!$A19:$EA19,MATCH(EH$2,RawData[#Headers],)))</f>
        <v xml:space="preserve"> </v>
      </c>
      <c r="EI19" s="255" t="str">
        <f t="shared" si="69"/>
        <v xml:space="preserve"> </v>
      </c>
      <c r="EJ19" s="255" t="str">
        <f>IF(INDEX('Raw Data'!$A19:$EA19,MATCH(EJ$2,RawData[#Headers],))=""," ",INDEX('Raw Data'!$A19:$EA19,MATCH(EJ$2,RawData[#Headers],)))</f>
        <v xml:space="preserve"> </v>
      </c>
      <c r="EK19" s="255" t="str">
        <f t="shared" si="70"/>
        <v xml:space="preserve"> </v>
      </c>
      <c r="EL19" s="255" t="str">
        <f>IF(INDEX('Raw Data'!$A19:$EA19,MATCH(EL$2,RawData[#Headers],))=""," ",INDEX('Raw Data'!$A19:$EA19,MATCH(EL$2,RawData[#Headers],)))</f>
        <v xml:space="preserve"> </v>
      </c>
      <c r="EM19" s="255" t="str">
        <f t="shared" si="71"/>
        <v xml:space="preserve"> </v>
      </c>
      <c r="EN19" s="255" t="str">
        <f>IF(INDEX('Raw Data'!$A19:$EA19,MATCH(EN$2,RawData[#Headers],))=""," ",INDEX('Raw Data'!$A19:$EA19,MATCH(EN$2,RawData[#Headers],)))</f>
        <v xml:space="preserve"> </v>
      </c>
      <c r="EO19" s="255" t="str">
        <f t="shared" si="72"/>
        <v xml:space="preserve"> </v>
      </c>
      <c r="EP19" s="255" t="str">
        <f>IF(INDEX('Raw Data'!$A19:$EA19,MATCH(EP$2,RawData[#Headers],))=""," ",INDEX('Raw Data'!$A19:$EA19,MATCH(EP$2,RawData[#Headers],)))</f>
        <v xml:space="preserve"> </v>
      </c>
      <c r="EQ19" s="255" t="str">
        <f t="shared" si="73"/>
        <v xml:space="preserve"> </v>
      </c>
      <c r="ER19" s="255" t="str">
        <f>IF(INDEX('Raw Data'!$A19:$EA19,MATCH(ER$2,RawData[#Headers],))=""," ",INDEX('Raw Data'!$A19:$EA19,MATCH(ER$2,RawData[#Headers],)))</f>
        <v xml:space="preserve"> </v>
      </c>
      <c r="ES19" s="255" t="str">
        <f t="shared" si="2"/>
        <v xml:space="preserve"> </v>
      </c>
      <c r="ET19" s="255" t="str">
        <f>IF(INDEX('Raw Data'!$A19:$EA19,MATCH(ET$2,RawData[#Headers],))=""," ",INDEX('Raw Data'!$A19:$EA19,MATCH(ET$2,RawData[#Headers],)))</f>
        <v xml:space="preserve"> </v>
      </c>
      <c r="EU19" s="255" t="str">
        <f t="shared" si="3"/>
        <v xml:space="preserve"> </v>
      </c>
      <c r="EV19" s="255" t="str">
        <f>IF(INDEX('Raw Data'!$A19:$EA19,MATCH(EV$2,RawData[#Headers],))=""," ",INDEX('Raw Data'!$A19:$EA19,MATCH(EV$2,RawData[#Headers],)))</f>
        <v xml:space="preserve"> </v>
      </c>
      <c r="EW19" s="255" t="str">
        <f t="shared" si="4"/>
        <v xml:space="preserve"> </v>
      </c>
      <c r="EX19" s="255" t="str">
        <f>IF(INDEX('Raw Data'!$A19:$EA19,MATCH(EX$2,RawData[#Headers],))=""," ",INDEX('Raw Data'!$A19:$EA19,MATCH(EX$2,RawData[#Headers],)))</f>
        <v xml:space="preserve"> </v>
      </c>
      <c r="EY19" s="255" t="str">
        <f t="shared" si="74"/>
        <v xml:space="preserve"> </v>
      </c>
      <c r="EZ19" s="276" t="str">
        <f>IF(INDEX('Raw Data'!$A19:$EA19,MATCH(EZ$2,RawData[#Headers],))=""," ",INDEX('Raw Data'!$A19:$EA19,MATCH(EZ$2,RawData[#Headers],)))</f>
        <v xml:space="preserve"> </v>
      </c>
      <c r="FA19" s="255" t="str">
        <f t="shared" si="75"/>
        <v xml:space="preserve"> </v>
      </c>
      <c r="FB19" s="255" t="str">
        <f>IF(INDEX('Raw Data'!$A19:$EA19,MATCH(FB$2,RawData[#Headers],))=""," ",INDEX('Raw Data'!$A19:$EA19,MATCH(FB$2,RawData[#Headers],)))</f>
        <v xml:space="preserve"> </v>
      </c>
    </row>
    <row r="20" spans="1:158" x14ac:dyDescent="0.3">
      <c r="A20" s="255">
        <f>RawData[[#This Row],[Num]]</f>
        <v>0</v>
      </c>
      <c r="B20" s="255" t="str">
        <f>IF(INDEX('Raw Data'!$A20:$EA20,MATCH(B$2,RawData[#Headers],))=""," ",INDEX('Raw Data'!$A20:$EA20,MATCH(B$2,RawData[#Headers],)))</f>
        <v xml:space="preserve"> </v>
      </c>
      <c r="C20" s="326" t="str">
        <f>IFERROR(STANDARDIZE(machina[[#This Row],[Career Strike Rate]],B$30,B$31)^2," ")</f>
        <v xml:space="preserve"> </v>
      </c>
      <c r="D20" s="255" t="str">
        <f>IF(INDEX('Raw Data'!$A20:$EA20,MATCH(D$2,RawData[#Headers],))=""," ",INDEX('Raw Data'!$A20:$EA20,MATCH(D$2,RawData[#Headers],)))</f>
        <v xml:space="preserve"> </v>
      </c>
      <c r="E20" s="326" t="str">
        <f>IFERROR(STANDARDIZE(machina[[#This Row],[Career ROI]],D$30,D$31)^2," ")</f>
        <v xml:space="preserve"> </v>
      </c>
      <c r="F20" s="255" t="str">
        <f>IF(INDEX('Raw Data'!$A20:$EA20,MATCH(F$2,RawData[#Headers],))=""," ",INDEX('Raw Data'!$A20:$EA20,MATCH(F$2,RawData[#Headers],)))</f>
        <v xml:space="preserve"> </v>
      </c>
      <c r="G20" s="255" t="str">
        <f t="shared" si="5"/>
        <v xml:space="preserve"> </v>
      </c>
      <c r="H20" s="255" t="str">
        <f>IF(INDEX('Raw Data'!$A20:$EA20,MATCH(H$2,RawData[#Headers],))=""," ",INDEX('Raw Data'!$A20:$EA20,MATCH(H$2,RawData[#Headers],)))</f>
        <v xml:space="preserve"> </v>
      </c>
      <c r="I20" s="255" t="str">
        <f t="shared" si="6"/>
        <v xml:space="preserve"> </v>
      </c>
      <c r="J20" s="255" t="str">
        <f>IF(INDEX('Raw Data'!$A20:$EA20,MATCH(J$2,RawData[#Headers],))=""," ",INDEX('Raw Data'!$A20:$EA20,MATCH(J$2,RawData[#Headers],)))</f>
        <v xml:space="preserve"> </v>
      </c>
      <c r="K20" s="255" t="str">
        <f t="shared" si="7"/>
        <v xml:space="preserve"> </v>
      </c>
      <c r="L20" s="255" t="str">
        <f>IF(INDEX('Raw Data'!$A20:$EA20,MATCH(L$2,RawData[#Headers],))=""," ",INDEX('Raw Data'!$A20:$EA20,MATCH(L$2,RawData[#Headers],)))</f>
        <v xml:space="preserve"> </v>
      </c>
      <c r="M20" s="255" t="str">
        <f t="shared" si="0"/>
        <v xml:space="preserve"> </v>
      </c>
      <c r="N20" s="255" t="str">
        <f>IF(INDEX('Raw Data'!$A20:$EA20,MATCH(N$2,RawData[#Headers],))=""," ",INDEX('Raw Data'!$A20:$EA20,MATCH(N$2,RawData[#Headers],)))</f>
        <v xml:space="preserve"> </v>
      </c>
      <c r="O20" s="255" t="str">
        <f t="shared" si="0"/>
        <v xml:space="preserve"> </v>
      </c>
      <c r="P20" s="255" t="str">
        <f>IF(INDEX('Raw Data'!$A20:$EA20,MATCH(P$2,RawData[#Headers],))=""," ",INDEX('Raw Data'!$A20:$EA20,MATCH(P$2,RawData[#Headers],)))</f>
        <v xml:space="preserve"> </v>
      </c>
      <c r="Q20" s="255" t="str">
        <f t="shared" ref="Q20" si="91">IF(ISERROR(IF(P20=""," ",RANK(P20,P$3:P$28,1)))," ",IF(P20=""," ",RANK(P20,P$3:P$28,1)))</f>
        <v xml:space="preserve"> </v>
      </c>
      <c r="R20" s="255" t="str">
        <f>IF(INDEX('Raw Data'!$A20:$EA20,MATCH(R$2,RawData[#Headers],))=""," ",INDEX('Raw Data'!$A20:$EA20,MATCH(R$2,RawData[#Headers],)))</f>
        <v xml:space="preserve"> </v>
      </c>
      <c r="S20" s="255" t="str">
        <f t="shared" si="9"/>
        <v xml:space="preserve"> </v>
      </c>
      <c r="T20" s="255" t="str">
        <f>IF(INDEX('Raw Data'!$A20:$EA20,MATCH(T$2,RawData[#Headers],))=""," ",INDEX('Raw Data'!$A20:$EA20,MATCH(T$2,RawData[#Headers],)))</f>
        <v xml:space="preserve"> </v>
      </c>
      <c r="U20" s="255" t="str">
        <f t="shared" si="10"/>
        <v xml:space="preserve"> </v>
      </c>
      <c r="V20" s="255" t="str">
        <f>IF(INDEX('Raw Data'!$A20:$EA20,MATCH(V$2,RawData[#Headers],))=""," ",INDEX('Raw Data'!$A20:$EA20,MATCH(V$2,RawData[#Headers],)))</f>
        <v xml:space="preserve"> </v>
      </c>
      <c r="W20" s="255" t="str">
        <f t="shared" si="11"/>
        <v xml:space="preserve"> </v>
      </c>
      <c r="X20" s="255" t="str">
        <f>IF(INDEX('Raw Data'!$A20:$EA20,MATCH(X$2,RawData[#Headers],))=""," ",INDEX('Raw Data'!$A20:$EA20,MATCH(X$2,RawData[#Headers],)))</f>
        <v xml:space="preserve"> </v>
      </c>
      <c r="Y20" s="255" t="str">
        <f t="shared" si="12"/>
        <v xml:space="preserve"> </v>
      </c>
      <c r="Z20" s="255" t="str">
        <f>IF(INDEX('Raw Data'!$A20:$EA20,MATCH(Z$2,RawData[#Headers],))=""," ",INDEX('Raw Data'!$A20:$EA20,MATCH(Z$2,RawData[#Headers],)))</f>
        <v xml:space="preserve"> </v>
      </c>
      <c r="AA20" s="255" t="str">
        <f t="shared" si="13"/>
        <v xml:space="preserve"> </v>
      </c>
      <c r="AB20" s="255" t="str">
        <f>IF(INDEX('Raw Data'!$A20:$EA20,MATCH(AB$2,RawData[#Headers],))=""," ",INDEX('Raw Data'!$A20:$EA20,MATCH(AB$2,RawData[#Headers],)))</f>
        <v xml:space="preserve"> </v>
      </c>
      <c r="AC20" s="255" t="str">
        <f t="shared" si="14"/>
        <v xml:space="preserve"> </v>
      </c>
      <c r="AD20" s="255" t="str">
        <f>IF(INDEX('Raw Data'!$A20:$EA20,MATCH(AD$2,RawData[#Headers],))=""," ",INDEX('Raw Data'!$A20:$EA20,MATCH(AD$2,RawData[#Headers],)))</f>
        <v xml:space="preserve"> </v>
      </c>
      <c r="AE20" s="255" t="str">
        <f t="shared" si="15"/>
        <v xml:space="preserve"> </v>
      </c>
      <c r="AF20" s="255" t="str">
        <f>IF(INDEX('Raw Data'!$A20:$EA20,MATCH(AF$2,RawData[#Headers],))=""," ",INDEX('Raw Data'!$A20:$EA20,MATCH(AF$2,RawData[#Headers],)))</f>
        <v xml:space="preserve"> </v>
      </c>
      <c r="AG20" s="255" t="str">
        <f t="shared" si="16"/>
        <v xml:space="preserve"> </v>
      </c>
      <c r="AH20" s="255" t="str">
        <f>IF(INDEX('Raw Data'!$A20:$EA20,MATCH(AH$2,RawData[#Headers],))=""," ",INDEX('Raw Data'!$A20:$EA20,MATCH(AH$2,RawData[#Headers],)))</f>
        <v xml:space="preserve"> </v>
      </c>
      <c r="AI20" s="255" t="str">
        <f t="shared" si="17"/>
        <v xml:space="preserve"> </v>
      </c>
      <c r="AJ20" s="255" t="str">
        <f>IF(INDEX('Raw Data'!$A20:$EA20,MATCH(AJ$2,RawData[#Headers],))=""," ",INDEX('Raw Data'!$A20:$EA20,MATCH(AJ$2,RawData[#Headers],)))</f>
        <v xml:space="preserve"> </v>
      </c>
      <c r="AK20" s="255" t="str">
        <f t="shared" si="18"/>
        <v xml:space="preserve"> </v>
      </c>
      <c r="AL20" s="255" t="str">
        <f>IF(INDEX('Raw Data'!$A20:$EA20,MATCH(AL$2,RawData[#Headers],))=""," ",INDEX('Raw Data'!$A20:$EA20,MATCH(AL$2,RawData[#Headers],)))</f>
        <v xml:space="preserve"> </v>
      </c>
      <c r="AM20" s="255" t="str">
        <f t="shared" si="19"/>
        <v xml:space="preserve"> </v>
      </c>
      <c r="AN20" s="255" t="str">
        <f>IF(INDEX('Raw Data'!$A20:$EA20,MATCH(AN$2,RawData[#Headers],))=""," ",INDEX('Raw Data'!$A20:$EA20,MATCH(AN$2,RawData[#Headers],)))</f>
        <v xml:space="preserve"> </v>
      </c>
      <c r="AO20" s="255" t="str">
        <f t="shared" si="20"/>
        <v xml:space="preserve"> </v>
      </c>
      <c r="AP20" s="255" t="str">
        <f>IF(INDEX('Raw Data'!$A20:$EA20,MATCH(AP$2,RawData[#Headers],))=""," ",INDEX('Raw Data'!$A20:$EA20,MATCH(AP$2,RawData[#Headers],)))</f>
        <v xml:space="preserve"> </v>
      </c>
      <c r="AQ20" s="255" t="str">
        <f t="shared" si="21"/>
        <v xml:space="preserve"> </v>
      </c>
      <c r="AR20" s="255" t="str">
        <f>IF(INDEX('Raw Data'!$A20:$EA20,MATCH(AR$2,RawData[#Headers],))=""," ",INDEX('Raw Data'!$A20:$EA20,MATCH(AR$2,RawData[#Headers],)))</f>
        <v xml:space="preserve"> </v>
      </c>
      <c r="AS20" s="255" t="str">
        <f t="shared" si="22"/>
        <v xml:space="preserve"> </v>
      </c>
      <c r="AT20" s="255" t="str">
        <f>IF(INDEX('Raw Data'!$A20:$EA20,MATCH(AT$2,RawData[#Headers],))=""," ",INDEX('Raw Data'!$A20:$EA20,MATCH(AT$2,RawData[#Headers],)))</f>
        <v xml:space="preserve"> </v>
      </c>
      <c r="AU20" s="255" t="str">
        <f t="shared" si="23"/>
        <v xml:space="preserve"> </v>
      </c>
      <c r="AV20" s="255" t="str">
        <f>IF(INDEX('Raw Data'!$A20:$EA20,MATCH(AV$2,RawData[#Headers],))=""," ",INDEX('Raw Data'!$A20:$EA20,MATCH(AV$2,RawData[#Headers],)))</f>
        <v xml:space="preserve"> </v>
      </c>
      <c r="AW20" s="255" t="str">
        <f t="shared" si="24"/>
        <v xml:space="preserve"> </v>
      </c>
      <c r="AX20" s="255" t="str">
        <f>IF(INDEX('Raw Data'!$A20:$EA20,MATCH(AX$2,RawData[#Headers],))=""," ",INDEX('Raw Data'!$A20:$EA20,MATCH(AX$2,RawData[#Headers],)))</f>
        <v xml:space="preserve"> </v>
      </c>
      <c r="AY20" s="255" t="str">
        <f t="shared" si="25"/>
        <v xml:space="preserve"> </v>
      </c>
      <c r="AZ20" s="255" t="str">
        <f>IF(INDEX('Raw Data'!$A20:$EA20,MATCH(AZ$2,RawData[#Headers],))=""," ",INDEX('Raw Data'!$A20:$EA20,MATCH(AZ$2,RawData[#Headers],)))</f>
        <v xml:space="preserve"> </v>
      </c>
      <c r="BA20" s="255" t="str">
        <f t="shared" si="26"/>
        <v xml:space="preserve"> </v>
      </c>
      <c r="BB20" s="255" t="str">
        <f>IF(INDEX('Raw Data'!$A20:$EA20,MATCH(BB$2,RawData[#Headers],))=""," ",INDEX('Raw Data'!$A20:$EA20,MATCH(BB$2,RawData[#Headers],)))</f>
        <v xml:space="preserve"> </v>
      </c>
      <c r="BC20" s="255" t="str">
        <f t="shared" si="27"/>
        <v xml:space="preserve"> </v>
      </c>
      <c r="BD20" s="255" t="str">
        <f>IF(INDEX('Raw Data'!$A20:$EA20,MATCH(BD$2,RawData[#Headers],))=""," ",INDEX('Raw Data'!$A20:$EA20,MATCH(BD$2,RawData[#Headers],)))</f>
        <v xml:space="preserve"> </v>
      </c>
      <c r="BE20" s="255" t="str">
        <f t="shared" si="28"/>
        <v xml:space="preserve"> </v>
      </c>
      <c r="BF20" s="255" t="str">
        <f>IF(INDEX('Raw Data'!$A20:$EA20,MATCH(BF$2,RawData[#Headers],))=""," ",INDEX('Raw Data'!$A20:$EA20,MATCH(BF$2,RawData[#Headers],)))</f>
        <v xml:space="preserve"> </v>
      </c>
      <c r="BG20" s="255" t="str">
        <f t="shared" si="29"/>
        <v xml:space="preserve"> </v>
      </c>
      <c r="BH20" s="255" t="str">
        <f>IF(INDEX('Raw Data'!$A20:$EA20,MATCH(BH$2,RawData[#Headers],))=""," ",INDEX('Raw Data'!$A20:$EA20,MATCH(BH$2,RawData[#Headers],)))</f>
        <v xml:space="preserve"> </v>
      </c>
      <c r="BI20" s="255" t="str">
        <f t="shared" si="30"/>
        <v xml:space="preserve"> </v>
      </c>
      <c r="BJ20" s="255" t="str">
        <f>IF(INDEX('Raw Data'!$A20:$EA20,MATCH(BJ$2,RawData[#Headers],))=""," ",INDEX('Raw Data'!$A20:$EA20,MATCH(BJ$2,RawData[#Headers],)))</f>
        <v xml:space="preserve"> </v>
      </c>
      <c r="BK20" s="255" t="str">
        <f t="shared" si="31"/>
        <v xml:space="preserve"> </v>
      </c>
      <c r="BL20" s="255" t="str">
        <f>IF(INDEX('Raw Data'!$A20:$EA20,MATCH(BL$2,RawData[#Headers],))=""," ",INDEX('Raw Data'!$A20:$EA20,MATCH(BL$2,RawData[#Headers],)))</f>
        <v xml:space="preserve"> </v>
      </c>
      <c r="BM20" s="255" t="str">
        <f t="shared" si="32"/>
        <v xml:space="preserve"> </v>
      </c>
      <c r="BN20" s="255" t="str">
        <f>IF(INDEX('Raw Data'!$A20:$EA20,MATCH(BN$2,RawData[#Headers],))=""," ",INDEX('Raw Data'!$A20:$EA20,MATCH(BN$2,RawData[#Headers],)))</f>
        <v xml:space="preserve"> </v>
      </c>
      <c r="BO20" s="255" t="str">
        <f t="shared" si="33"/>
        <v xml:space="preserve"> </v>
      </c>
      <c r="BP20" s="255" t="str">
        <f>IF(INDEX('Raw Data'!$A20:$EA20,MATCH(BP$2,RawData[#Headers],))=""," ",INDEX('Raw Data'!$A20:$EA20,MATCH(BP$2,RawData[#Headers],)))</f>
        <v xml:space="preserve"> </v>
      </c>
      <c r="BQ20" s="255" t="str">
        <f t="shared" si="34"/>
        <v xml:space="preserve"> </v>
      </c>
      <c r="BR20" s="255" t="str">
        <f>IF(INDEX('Raw Data'!$A20:$EA20,MATCH(BR$2,RawData[#Headers],))=""," ",INDEX('Raw Data'!$A20:$EA20,MATCH(BR$2,RawData[#Headers],)))</f>
        <v xml:space="preserve"> </v>
      </c>
      <c r="BS20" s="255" t="str">
        <f t="shared" si="35"/>
        <v xml:space="preserve"> </v>
      </c>
      <c r="BT20" s="255" t="str">
        <f>IF(INDEX('Raw Data'!$A20:$EA20,MATCH(BT$2,RawData[#Headers],))=""," ",INDEX('Raw Data'!$A20:$EA20,MATCH(BT$2,RawData[#Headers],)))</f>
        <v xml:space="preserve"> </v>
      </c>
      <c r="BU20" s="255" t="str">
        <f t="shared" si="36"/>
        <v xml:space="preserve"> </v>
      </c>
      <c r="BV20" s="255" t="str">
        <f>IF(INDEX('Raw Data'!$A20:$EA20,MATCH(BV$2,RawData[#Headers],))=""," ",INDEX('Raw Data'!$A20:$EA20,MATCH(BV$2,RawData[#Headers],)))</f>
        <v xml:space="preserve"> </v>
      </c>
      <c r="BW20" s="255" t="str">
        <f t="shared" si="37"/>
        <v xml:space="preserve"> </v>
      </c>
      <c r="BX20" s="255" t="str">
        <f>IF(INDEX('Raw Data'!$A20:$EA20,MATCH(BX$2,RawData[#Headers],))=""," ",INDEX('Raw Data'!$A20:$EA20,MATCH(BX$2,RawData[#Headers],)))</f>
        <v xml:space="preserve"> </v>
      </c>
      <c r="BY20" s="255" t="str">
        <f t="shared" si="38"/>
        <v xml:space="preserve"> </v>
      </c>
      <c r="BZ20" s="255" t="str">
        <f>IF(INDEX('Raw Data'!$A20:$EA20,MATCH(BZ$2,RawData[#Headers],))=""," ",INDEX('Raw Data'!$A20:$EA20,MATCH(BZ$2,RawData[#Headers],)))</f>
        <v xml:space="preserve"> </v>
      </c>
      <c r="CA20" s="255" t="str">
        <f t="shared" si="39"/>
        <v xml:space="preserve"> </v>
      </c>
      <c r="CB20" s="255" t="str">
        <f>IF(INDEX('Raw Data'!$A20:$EA20,MATCH(CB$2,RawData[#Headers],))=""," ",INDEX('Raw Data'!$A20:$EA20,MATCH(CB$2,RawData[#Headers],)))</f>
        <v xml:space="preserve"> </v>
      </c>
      <c r="CC20" s="255" t="str">
        <f t="shared" si="40"/>
        <v xml:space="preserve"> </v>
      </c>
      <c r="CD20" s="255" t="str">
        <f>IF(INDEX('Raw Data'!$A20:$EA20,MATCH(CD$2,RawData[#Headers],))=""," ",INDEX('Raw Data'!$A20:$EA20,MATCH(CD$2,RawData[#Headers],)))</f>
        <v xml:space="preserve"> </v>
      </c>
      <c r="CE20" s="255" t="str">
        <f t="shared" si="41"/>
        <v xml:space="preserve"> </v>
      </c>
      <c r="CF20" s="255" t="str">
        <f>IF(INDEX('Raw Data'!$A20:$EA20,MATCH(CF$2,RawData[#Headers],))=""," ",INDEX('Raw Data'!$A20:$EA20,MATCH(CF$2,RawData[#Headers],)))</f>
        <v xml:space="preserve"> </v>
      </c>
      <c r="CG20" s="255" t="str">
        <f t="shared" si="42"/>
        <v xml:space="preserve"> </v>
      </c>
      <c r="CH20" s="255" t="str">
        <f>IF(INDEX('Raw Data'!$A20:$EA20,MATCH(CH$2,RawData[#Headers],))=""," ",INDEX('Raw Data'!$A20:$EA20,MATCH(CH$2,RawData[#Headers],)))</f>
        <v xml:space="preserve"> </v>
      </c>
      <c r="CI20" s="255" t="str">
        <f t="shared" si="43"/>
        <v xml:space="preserve"> </v>
      </c>
      <c r="CJ20" s="255" t="str">
        <f>IF(INDEX('Raw Data'!$A20:$EA20,MATCH(CJ$2,RawData[#Headers],))=""," ",INDEX('Raw Data'!$A20:$EA20,MATCH(CJ$2,RawData[#Headers],)))</f>
        <v xml:space="preserve"> </v>
      </c>
      <c r="CK20" s="255" t="str">
        <f t="shared" si="44"/>
        <v xml:space="preserve"> </v>
      </c>
      <c r="CL20" s="255" t="str">
        <f>IF(INDEX('Raw Data'!$A20:$EA20,MATCH(CL$2,RawData[#Headers],))=""," ",INDEX('Raw Data'!$A20:$EA20,MATCH(CL$2,RawData[#Headers],)))</f>
        <v xml:space="preserve"> </v>
      </c>
      <c r="CM20" s="255" t="str">
        <f t="shared" si="45"/>
        <v xml:space="preserve"> </v>
      </c>
      <c r="CN20" s="255" t="str">
        <f>IF(INDEX('Raw Data'!$A20:$EA20,MATCH(CN$2,RawData[#Headers],))=""," ",INDEX('Raw Data'!$A20:$EA20,MATCH(CN$2,RawData[#Headers],)))</f>
        <v xml:space="preserve"> </v>
      </c>
      <c r="CO20" s="255" t="str">
        <f t="shared" si="46"/>
        <v xml:space="preserve"> </v>
      </c>
      <c r="CP20" s="255" t="str">
        <f>IF(INDEX('Raw Data'!$A20:$EA20,MATCH(CP$2,RawData[#Headers],))=""," ",INDEX('Raw Data'!$A20:$EA20,MATCH(CP$2,RawData[#Headers],)))</f>
        <v xml:space="preserve"> </v>
      </c>
      <c r="CQ20" s="255" t="str">
        <f t="shared" si="47"/>
        <v xml:space="preserve"> </v>
      </c>
      <c r="CR20" s="255" t="str">
        <f>IF(INDEX('Raw Data'!$A20:$EA20,MATCH(CR$2,RawData[#Headers],))=""," ",INDEX('Raw Data'!$A20:$EA20,MATCH(CR$2,RawData[#Headers],)))</f>
        <v xml:space="preserve"> </v>
      </c>
      <c r="CS20" s="255" t="str">
        <f t="shared" si="48"/>
        <v xml:space="preserve"> </v>
      </c>
      <c r="CT20" s="255" t="str">
        <f>IF(INDEX('Raw Data'!$A20:$EA20,MATCH(CT$2,RawData[#Headers],))=""," ",INDEX('Raw Data'!$A20:$EA20,MATCH(CT$2,RawData[#Headers],)))</f>
        <v xml:space="preserve"> </v>
      </c>
      <c r="CU20" s="255" t="str">
        <f t="shared" si="49"/>
        <v xml:space="preserve"> </v>
      </c>
      <c r="CV20" s="255" t="str">
        <f>IF(INDEX('Raw Data'!$A20:$EA20,MATCH(CV$2,RawData[#Headers],))=""," ",INDEX('Raw Data'!$A20:$EA20,MATCH(CV$2,RawData[#Headers],)))</f>
        <v xml:space="preserve"> </v>
      </c>
      <c r="CW20" s="255" t="str">
        <f t="shared" si="50"/>
        <v xml:space="preserve"> </v>
      </c>
      <c r="CX20" s="255" t="str">
        <f>IF(INDEX('Raw Data'!$A20:$EA20,MATCH(CX$2,RawData[#Headers],))=""," ",INDEX('Raw Data'!$A20:$EA20,MATCH(CX$2,RawData[#Headers],)))</f>
        <v xml:space="preserve"> </v>
      </c>
      <c r="CY20" s="255" t="str">
        <f t="shared" si="51"/>
        <v xml:space="preserve"> </v>
      </c>
      <c r="CZ20" s="255" t="str">
        <f>IF(INDEX('Raw Data'!$A20:$EA20,MATCH(CZ$2,RawData[#Headers],))=""," ",INDEX('Raw Data'!$A20:$EA20,MATCH(CZ$2,RawData[#Headers],)))</f>
        <v xml:space="preserve"> </v>
      </c>
      <c r="DA20" s="255" t="str">
        <f t="shared" si="52"/>
        <v xml:space="preserve"> </v>
      </c>
      <c r="DB20" s="255" t="str">
        <f>IF(INDEX('Raw Data'!$A20:$EA20,MATCH(DB$2,RawData[#Headers],))=""," ",INDEX('Raw Data'!$A20:$EA20,MATCH(DB$2,RawData[#Headers],)))</f>
        <v xml:space="preserve"> </v>
      </c>
      <c r="DC20" s="255" t="str">
        <f t="shared" si="53"/>
        <v xml:space="preserve"> </v>
      </c>
      <c r="DD20" s="255" t="str">
        <f>IF(INDEX('Raw Data'!$A20:$EA20,MATCH(DD$2,RawData[#Headers],))=""," ",INDEX('Raw Data'!$A20:$EA20,MATCH(DD$2,RawData[#Headers],)))</f>
        <v xml:space="preserve"> </v>
      </c>
      <c r="DE20" s="255" t="str">
        <f t="shared" si="54"/>
        <v xml:space="preserve"> </v>
      </c>
      <c r="DF20" s="255" t="str">
        <f>IF(INDEX('Raw Data'!$A20:$EA20,MATCH(DF$2,RawData[#Headers],))=""," ",INDEX('Raw Data'!$A20:$EA20,MATCH(DF$2,RawData[#Headers],)))</f>
        <v xml:space="preserve"> </v>
      </c>
      <c r="DG20" s="255" t="str">
        <f t="shared" si="55"/>
        <v xml:space="preserve"> </v>
      </c>
      <c r="DH20" s="255" t="str">
        <f>IF(INDEX('Raw Data'!$A20:$EA20,MATCH(DH$2,RawData[#Headers],))=""," ",INDEX('Raw Data'!$A20:$EA20,MATCH(DH$2,RawData[#Headers],)))</f>
        <v xml:space="preserve"> </v>
      </c>
      <c r="DI20" s="255" t="str">
        <f t="shared" si="56"/>
        <v xml:space="preserve"> </v>
      </c>
      <c r="DJ20" s="255" t="str">
        <f>IF(INDEX('Raw Data'!$A20:$EA20,MATCH(DJ$2,RawData[#Headers],))=""," ",INDEX('Raw Data'!$A20:$EA20,MATCH(DJ$2,RawData[#Headers],)))</f>
        <v xml:space="preserve"> </v>
      </c>
      <c r="DK20" s="255" t="str">
        <f t="shared" si="57"/>
        <v xml:space="preserve"> </v>
      </c>
      <c r="DL20" s="255" t="str">
        <f>IF(INDEX('Raw Data'!$A20:$EA20,MATCH(DL$2,RawData[#Headers],))=""," ",INDEX('Raw Data'!$A20:$EA20,MATCH(DL$2,RawData[#Headers],)))</f>
        <v xml:space="preserve"> </v>
      </c>
      <c r="DM20" s="255" t="str">
        <f t="shared" si="58"/>
        <v xml:space="preserve"> </v>
      </c>
      <c r="DN20" s="255" t="str">
        <f>IF(INDEX('Raw Data'!$A20:$EA20,MATCH(DN$2,RawData[#Headers],))=""," ",INDEX('Raw Data'!$A20:$EA20,MATCH(DN$2,RawData[#Headers],)))</f>
        <v xml:space="preserve"> </v>
      </c>
      <c r="DO20" s="255" t="str">
        <f t="shared" si="59"/>
        <v xml:space="preserve"> </v>
      </c>
      <c r="DP20" s="255" t="str">
        <f>IF(INDEX('Raw Data'!$A20:$EA20,MATCH(DP$2,RawData[#Headers],))=""," ",INDEX('Raw Data'!$A20:$EA20,MATCH(DP$2,RawData[#Headers],)))</f>
        <v xml:space="preserve"> </v>
      </c>
      <c r="DQ20" s="255" t="str">
        <f t="shared" si="60"/>
        <v xml:space="preserve"> </v>
      </c>
      <c r="DR20" s="255" t="str">
        <f>IF(INDEX('Raw Data'!$A20:$EA20,MATCH(DR$2,RawData[#Headers],))=""," ",INDEX('Raw Data'!$A20:$EA20,MATCH(DR$2,RawData[#Headers],)))</f>
        <v xml:space="preserve"> </v>
      </c>
      <c r="DS20" s="255" t="str">
        <f t="shared" si="61"/>
        <v xml:space="preserve"> </v>
      </c>
      <c r="DT20" s="255" t="str">
        <f>IF(INDEX('Raw Data'!$A20:$EA20,MATCH(DT$2,RawData[#Headers],))=""," ",INDEX('Raw Data'!$A20:$EA20,MATCH(DT$2,RawData[#Headers],)))</f>
        <v xml:space="preserve"> </v>
      </c>
      <c r="DU20" s="255" t="str">
        <f t="shared" si="62"/>
        <v xml:space="preserve"> </v>
      </c>
      <c r="DV20" s="255" t="str">
        <f>IF(INDEX('Raw Data'!$A20:$EA20,MATCH(DV$2,RawData[#Headers],))=""," ",INDEX('Raw Data'!$A20:$EA20,MATCH(DV$2,RawData[#Headers],)))</f>
        <v xml:space="preserve"> </v>
      </c>
      <c r="DW20" s="255" t="str">
        <f t="shared" si="63"/>
        <v xml:space="preserve"> </v>
      </c>
      <c r="DX20" s="255" t="str">
        <f>IF(INDEX('Raw Data'!$A20:$EA20,MATCH(DX$2,RawData[#Headers],))=""," ",INDEX('Raw Data'!$A20:$EA20,MATCH(DX$2,RawData[#Headers],)))</f>
        <v xml:space="preserve"> </v>
      </c>
      <c r="DY20" s="255" t="str">
        <f t="shared" si="64"/>
        <v xml:space="preserve"> </v>
      </c>
      <c r="DZ20" s="255" t="str">
        <f>IF(INDEX('Raw Data'!$A20:$EA20,MATCH(DZ$2,RawData[#Headers],))=""," ",INDEX('Raw Data'!$A20:$EA20,MATCH(DZ$2,RawData[#Headers],)))</f>
        <v xml:space="preserve"> </v>
      </c>
      <c r="EA20" s="255" t="str">
        <f t="shared" si="65"/>
        <v xml:space="preserve"> </v>
      </c>
      <c r="EB20" s="255" t="str">
        <f>IF(INDEX('Raw Data'!$A20:$EA20,MATCH(EB$2,RawData[#Headers],))=""," ",INDEX('Raw Data'!$A20:$EA20,MATCH(EB$2,RawData[#Headers],)))</f>
        <v xml:space="preserve"> </v>
      </c>
      <c r="EC20" s="255" t="str">
        <f t="shared" si="66"/>
        <v xml:space="preserve"> </v>
      </c>
      <c r="ED20" s="255" t="str">
        <f>IF(INDEX('Raw Data'!$A20:$EA20,MATCH(ED$2,RawData[#Headers],))=""," ",INDEX('Raw Data'!$A20:$EA20,MATCH(ED$2,RawData[#Headers],)))</f>
        <v xml:space="preserve"> </v>
      </c>
      <c r="EE20" s="255" t="str">
        <f t="shared" si="67"/>
        <v xml:space="preserve"> </v>
      </c>
      <c r="EF20" s="255" t="str">
        <f>IF(INDEX('Raw Data'!$A20:$EA20,MATCH(EF$2,RawData[#Headers],))=""," ",INDEX('Raw Data'!$A20:$EA20,MATCH(EF$2,RawData[#Headers],)))</f>
        <v xml:space="preserve"> </v>
      </c>
      <c r="EG20" s="255" t="str">
        <f t="shared" si="68"/>
        <v xml:space="preserve"> </v>
      </c>
      <c r="EH20" s="255" t="str">
        <f>IF(INDEX('Raw Data'!$A20:$EA20,MATCH(EH$2,RawData[#Headers],))=""," ",INDEX('Raw Data'!$A20:$EA20,MATCH(EH$2,RawData[#Headers],)))</f>
        <v xml:space="preserve"> </v>
      </c>
      <c r="EI20" s="255" t="str">
        <f t="shared" si="69"/>
        <v xml:space="preserve"> </v>
      </c>
      <c r="EJ20" s="255" t="str">
        <f>IF(INDEX('Raw Data'!$A20:$EA20,MATCH(EJ$2,RawData[#Headers],))=""," ",INDEX('Raw Data'!$A20:$EA20,MATCH(EJ$2,RawData[#Headers],)))</f>
        <v xml:space="preserve"> </v>
      </c>
      <c r="EK20" s="255" t="str">
        <f t="shared" si="70"/>
        <v xml:space="preserve"> </v>
      </c>
      <c r="EL20" s="255" t="str">
        <f>IF(INDEX('Raw Data'!$A20:$EA20,MATCH(EL$2,RawData[#Headers],))=""," ",INDEX('Raw Data'!$A20:$EA20,MATCH(EL$2,RawData[#Headers],)))</f>
        <v xml:space="preserve"> </v>
      </c>
      <c r="EM20" s="255" t="str">
        <f t="shared" si="71"/>
        <v xml:space="preserve"> </v>
      </c>
      <c r="EN20" s="255" t="str">
        <f>IF(INDEX('Raw Data'!$A20:$EA20,MATCH(EN$2,RawData[#Headers],))=""," ",INDEX('Raw Data'!$A20:$EA20,MATCH(EN$2,RawData[#Headers],)))</f>
        <v xml:space="preserve"> </v>
      </c>
      <c r="EO20" s="255" t="str">
        <f t="shared" si="72"/>
        <v xml:space="preserve"> </v>
      </c>
      <c r="EP20" s="255" t="str">
        <f>IF(INDEX('Raw Data'!$A20:$EA20,MATCH(EP$2,RawData[#Headers],))=""," ",INDEX('Raw Data'!$A20:$EA20,MATCH(EP$2,RawData[#Headers],)))</f>
        <v xml:space="preserve"> </v>
      </c>
      <c r="EQ20" s="255" t="str">
        <f t="shared" si="73"/>
        <v xml:space="preserve"> </v>
      </c>
      <c r="ER20" s="255" t="str">
        <f>IF(INDEX('Raw Data'!$A20:$EA20,MATCH(ER$2,RawData[#Headers],))=""," ",INDEX('Raw Data'!$A20:$EA20,MATCH(ER$2,RawData[#Headers],)))</f>
        <v xml:space="preserve"> </v>
      </c>
      <c r="ES20" s="255" t="str">
        <f t="shared" si="2"/>
        <v xml:space="preserve"> </v>
      </c>
      <c r="ET20" s="255" t="str">
        <f>IF(INDEX('Raw Data'!$A20:$EA20,MATCH(ET$2,RawData[#Headers],))=""," ",INDEX('Raw Data'!$A20:$EA20,MATCH(ET$2,RawData[#Headers],)))</f>
        <v xml:space="preserve"> </v>
      </c>
      <c r="EU20" s="255" t="str">
        <f t="shared" si="3"/>
        <v xml:space="preserve"> </v>
      </c>
      <c r="EV20" s="255" t="str">
        <f>IF(INDEX('Raw Data'!$A20:$EA20,MATCH(EV$2,RawData[#Headers],))=""," ",INDEX('Raw Data'!$A20:$EA20,MATCH(EV$2,RawData[#Headers],)))</f>
        <v xml:space="preserve"> </v>
      </c>
      <c r="EW20" s="255" t="str">
        <f t="shared" si="4"/>
        <v xml:space="preserve"> </v>
      </c>
      <c r="EX20" s="255" t="str">
        <f>IF(INDEX('Raw Data'!$A20:$EA20,MATCH(EX$2,RawData[#Headers],))=""," ",INDEX('Raw Data'!$A20:$EA20,MATCH(EX$2,RawData[#Headers],)))</f>
        <v xml:space="preserve"> </v>
      </c>
      <c r="EY20" s="255" t="str">
        <f t="shared" si="74"/>
        <v xml:space="preserve"> </v>
      </c>
      <c r="EZ20" s="276" t="str">
        <f>IF(INDEX('Raw Data'!$A20:$EA20,MATCH(EZ$2,RawData[#Headers],))=""," ",INDEX('Raw Data'!$A20:$EA20,MATCH(EZ$2,RawData[#Headers],)))</f>
        <v xml:space="preserve"> </v>
      </c>
      <c r="FA20" s="255" t="str">
        <f t="shared" si="75"/>
        <v xml:space="preserve"> </v>
      </c>
      <c r="FB20" s="255" t="str">
        <f>IF(INDEX('Raw Data'!$A20:$EA20,MATCH(FB$2,RawData[#Headers],))=""," ",INDEX('Raw Data'!$A20:$EA20,MATCH(FB$2,RawData[#Headers],)))</f>
        <v xml:space="preserve"> </v>
      </c>
    </row>
    <row r="21" spans="1:158" x14ac:dyDescent="0.3">
      <c r="A21" s="255">
        <f>RawData[[#This Row],[Num]]</f>
        <v>0</v>
      </c>
      <c r="B21" s="255" t="str">
        <f>IF(INDEX('Raw Data'!$A21:$EA21,MATCH(B$2,RawData[#Headers],))=""," ",INDEX('Raw Data'!$A21:$EA21,MATCH(B$2,RawData[#Headers],)))</f>
        <v xml:space="preserve"> </v>
      </c>
      <c r="C21" s="326" t="str">
        <f>IFERROR(STANDARDIZE(machina[[#This Row],[Career Strike Rate]],B$30,B$31)^2," ")</f>
        <v xml:space="preserve"> </v>
      </c>
      <c r="D21" s="255" t="str">
        <f>IF(INDEX('Raw Data'!$A21:$EA21,MATCH(D$2,RawData[#Headers],))=""," ",INDEX('Raw Data'!$A21:$EA21,MATCH(D$2,RawData[#Headers],)))</f>
        <v xml:space="preserve"> </v>
      </c>
      <c r="E21" s="326" t="str">
        <f>IFERROR(STANDARDIZE(machina[[#This Row],[Career ROI]],D$30,D$31)^2," ")</f>
        <v xml:space="preserve"> </v>
      </c>
      <c r="F21" s="255" t="str">
        <f>IF(INDEX('Raw Data'!$A21:$EA21,MATCH(F$2,RawData[#Headers],))=""," ",INDEX('Raw Data'!$A21:$EA21,MATCH(F$2,RawData[#Headers],)))</f>
        <v xml:space="preserve"> </v>
      </c>
      <c r="G21" s="255" t="str">
        <f t="shared" si="5"/>
        <v xml:space="preserve"> </v>
      </c>
      <c r="H21" s="255" t="str">
        <f>IF(INDEX('Raw Data'!$A21:$EA21,MATCH(H$2,RawData[#Headers],))=""," ",INDEX('Raw Data'!$A21:$EA21,MATCH(H$2,RawData[#Headers],)))</f>
        <v xml:space="preserve"> </v>
      </c>
      <c r="I21" s="255" t="str">
        <f t="shared" si="6"/>
        <v xml:space="preserve"> </v>
      </c>
      <c r="J21" s="255" t="str">
        <f>IF(INDEX('Raw Data'!$A21:$EA21,MATCH(J$2,RawData[#Headers],))=""," ",INDEX('Raw Data'!$A21:$EA21,MATCH(J$2,RawData[#Headers],)))</f>
        <v xml:space="preserve"> </v>
      </c>
      <c r="K21" s="255" t="str">
        <f t="shared" si="7"/>
        <v xml:space="preserve"> </v>
      </c>
      <c r="L21" s="255" t="str">
        <f>IF(INDEX('Raw Data'!$A21:$EA21,MATCH(L$2,RawData[#Headers],))=""," ",INDEX('Raw Data'!$A21:$EA21,MATCH(L$2,RawData[#Headers],)))</f>
        <v xml:space="preserve"> </v>
      </c>
      <c r="M21" s="255" t="str">
        <f t="shared" si="0"/>
        <v xml:space="preserve"> </v>
      </c>
      <c r="N21" s="255" t="str">
        <f>IF(INDEX('Raw Data'!$A21:$EA21,MATCH(N$2,RawData[#Headers],))=""," ",INDEX('Raw Data'!$A21:$EA21,MATCH(N$2,RawData[#Headers],)))</f>
        <v xml:space="preserve"> </v>
      </c>
      <c r="O21" s="255" t="str">
        <f t="shared" si="0"/>
        <v xml:space="preserve"> </v>
      </c>
      <c r="P21" s="255" t="str">
        <f>IF(INDEX('Raw Data'!$A21:$EA21,MATCH(P$2,RawData[#Headers],))=""," ",INDEX('Raw Data'!$A21:$EA21,MATCH(P$2,RawData[#Headers],)))</f>
        <v xml:space="preserve"> </v>
      </c>
      <c r="Q21" s="255" t="str">
        <f t="shared" ref="Q21" si="92">IF(ISERROR(IF(P21=""," ",RANK(P21,P$3:P$28,1)))," ",IF(P21=""," ",RANK(P21,P$3:P$28,1)))</f>
        <v xml:space="preserve"> </v>
      </c>
      <c r="R21" s="255" t="str">
        <f>IF(INDEX('Raw Data'!$A21:$EA21,MATCH(R$2,RawData[#Headers],))=""," ",INDEX('Raw Data'!$A21:$EA21,MATCH(R$2,RawData[#Headers],)))</f>
        <v xml:space="preserve"> </v>
      </c>
      <c r="S21" s="255" t="str">
        <f t="shared" si="9"/>
        <v xml:space="preserve"> </v>
      </c>
      <c r="T21" s="255" t="str">
        <f>IF(INDEX('Raw Data'!$A21:$EA21,MATCH(T$2,RawData[#Headers],))=""," ",INDEX('Raw Data'!$A21:$EA21,MATCH(T$2,RawData[#Headers],)))</f>
        <v xml:space="preserve"> </v>
      </c>
      <c r="U21" s="255" t="str">
        <f t="shared" si="10"/>
        <v xml:space="preserve"> </v>
      </c>
      <c r="V21" s="255" t="str">
        <f>IF(INDEX('Raw Data'!$A21:$EA21,MATCH(V$2,RawData[#Headers],))=""," ",INDEX('Raw Data'!$A21:$EA21,MATCH(V$2,RawData[#Headers],)))</f>
        <v xml:space="preserve"> </v>
      </c>
      <c r="W21" s="255" t="str">
        <f t="shared" si="11"/>
        <v xml:space="preserve"> </v>
      </c>
      <c r="X21" s="255" t="str">
        <f>IF(INDEX('Raw Data'!$A21:$EA21,MATCH(X$2,RawData[#Headers],))=""," ",INDEX('Raw Data'!$A21:$EA21,MATCH(X$2,RawData[#Headers],)))</f>
        <v xml:space="preserve"> </v>
      </c>
      <c r="Y21" s="255" t="str">
        <f t="shared" si="12"/>
        <v xml:space="preserve"> </v>
      </c>
      <c r="Z21" s="255" t="str">
        <f>IF(INDEX('Raw Data'!$A21:$EA21,MATCH(Z$2,RawData[#Headers],))=""," ",INDEX('Raw Data'!$A21:$EA21,MATCH(Z$2,RawData[#Headers],)))</f>
        <v xml:space="preserve"> </v>
      </c>
      <c r="AA21" s="255" t="str">
        <f t="shared" si="13"/>
        <v xml:space="preserve"> </v>
      </c>
      <c r="AB21" s="255" t="str">
        <f>IF(INDEX('Raw Data'!$A21:$EA21,MATCH(AB$2,RawData[#Headers],))=""," ",INDEX('Raw Data'!$A21:$EA21,MATCH(AB$2,RawData[#Headers],)))</f>
        <v xml:space="preserve"> </v>
      </c>
      <c r="AC21" s="255" t="str">
        <f t="shared" si="14"/>
        <v xml:space="preserve"> </v>
      </c>
      <c r="AD21" s="255" t="str">
        <f>IF(INDEX('Raw Data'!$A21:$EA21,MATCH(AD$2,RawData[#Headers],))=""," ",INDEX('Raw Data'!$A21:$EA21,MATCH(AD$2,RawData[#Headers],)))</f>
        <v xml:space="preserve"> </v>
      </c>
      <c r="AE21" s="255" t="str">
        <f t="shared" si="15"/>
        <v xml:space="preserve"> </v>
      </c>
      <c r="AF21" s="255" t="str">
        <f>IF(INDEX('Raw Data'!$A21:$EA21,MATCH(AF$2,RawData[#Headers],))=""," ",INDEX('Raw Data'!$A21:$EA21,MATCH(AF$2,RawData[#Headers],)))</f>
        <v xml:space="preserve"> </v>
      </c>
      <c r="AG21" s="255" t="str">
        <f t="shared" si="16"/>
        <v xml:space="preserve"> </v>
      </c>
      <c r="AH21" s="255" t="str">
        <f>IF(INDEX('Raw Data'!$A21:$EA21,MATCH(AH$2,RawData[#Headers],))=""," ",INDEX('Raw Data'!$A21:$EA21,MATCH(AH$2,RawData[#Headers],)))</f>
        <v xml:space="preserve"> </v>
      </c>
      <c r="AI21" s="255" t="str">
        <f t="shared" si="17"/>
        <v xml:space="preserve"> </v>
      </c>
      <c r="AJ21" s="255" t="str">
        <f>IF(INDEX('Raw Data'!$A21:$EA21,MATCH(AJ$2,RawData[#Headers],))=""," ",INDEX('Raw Data'!$A21:$EA21,MATCH(AJ$2,RawData[#Headers],)))</f>
        <v xml:space="preserve"> </v>
      </c>
      <c r="AK21" s="255" t="str">
        <f t="shared" si="18"/>
        <v xml:space="preserve"> </v>
      </c>
      <c r="AL21" s="255" t="str">
        <f>IF(INDEX('Raw Data'!$A21:$EA21,MATCH(AL$2,RawData[#Headers],))=""," ",INDEX('Raw Data'!$A21:$EA21,MATCH(AL$2,RawData[#Headers],)))</f>
        <v xml:space="preserve"> </v>
      </c>
      <c r="AM21" s="255" t="str">
        <f t="shared" si="19"/>
        <v xml:space="preserve"> </v>
      </c>
      <c r="AN21" s="255" t="str">
        <f>IF(INDEX('Raw Data'!$A21:$EA21,MATCH(AN$2,RawData[#Headers],))=""," ",INDEX('Raw Data'!$A21:$EA21,MATCH(AN$2,RawData[#Headers],)))</f>
        <v xml:space="preserve"> </v>
      </c>
      <c r="AO21" s="255" t="str">
        <f t="shared" si="20"/>
        <v xml:space="preserve"> </v>
      </c>
      <c r="AP21" s="255" t="str">
        <f>IF(INDEX('Raw Data'!$A21:$EA21,MATCH(AP$2,RawData[#Headers],))=""," ",INDEX('Raw Data'!$A21:$EA21,MATCH(AP$2,RawData[#Headers],)))</f>
        <v xml:space="preserve"> </v>
      </c>
      <c r="AQ21" s="255" t="str">
        <f t="shared" si="21"/>
        <v xml:space="preserve"> </v>
      </c>
      <c r="AR21" s="255" t="str">
        <f>IF(INDEX('Raw Data'!$A21:$EA21,MATCH(AR$2,RawData[#Headers],))=""," ",INDEX('Raw Data'!$A21:$EA21,MATCH(AR$2,RawData[#Headers],)))</f>
        <v xml:space="preserve"> </v>
      </c>
      <c r="AS21" s="255" t="str">
        <f t="shared" si="22"/>
        <v xml:space="preserve"> </v>
      </c>
      <c r="AT21" s="255" t="str">
        <f>IF(INDEX('Raw Data'!$A21:$EA21,MATCH(AT$2,RawData[#Headers],))=""," ",INDEX('Raw Data'!$A21:$EA21,MATCH(AT$2,RawData[#Headers],)))</f>
        <v xml:space="preserve"> </v>
      </c>
      <c r="AU21" s="255" t="str">
        <f t="shared" si="23"/>
        <v xml:space="preserve"> </v>
      </c>
      <c r="AV21" s="255" t="str">
        <f>IF(INDEX('Raw Data'!$A21:$EA21,MATCH(AV$2,RawData[#Headers],))=""," ",INDEX('Raw Data'!$A21:$EA21,MATCH(AV$2,RawData[#Headers],)))</f>
        <v xml:space="preserve"> </v>
      </c>
      <c r="AW21" s="255" t="str">
        <f t="shared" si="24"/>
        <v xml:space="preserve"> </v>
      </c>
      <c r="AX21" s="255" t="str">
        <f>IF(INDEX('Raw Data'!$A21:$EA21,MATCH(AX$2,RawData[#Headers],))=""," ",INDEX('Raw Data'!$A21:$EA21,MATCH(AX$2,RawData[#Headers],)))</f>
        <v xml:space="preserve"> </v>
      </c>
      <c r="AY21" s="255" t="str">
        <f t="shared" si="25"/>
        <v xml:space="preserve"> </v>
      </c>
      <c r="AZ21" s="255" t="str">
        <f>IF(INDEX('Raw Data'!$A21:$EA21,MATCH(AZ$2,RawData[#Headers],))=""," ",INDEX('Raw Data'!$A21:$EA21,MATCH(AZ$2,RawData[#Headers],)))</f>
        <v xml:space="preserve"> </v>
      </c>
      <c r="BA21" s="255" t="str">
        <f t="shared" si="26"/>
        <v xml:space="preserve"> </v>
      </c>
      <c r="BB21" s="255" t="str">
        <f>IF(INDEX('Raw Data'!$A21:$EA21,MATCH(BB$2,RawData[#Headers],))=""," ",INDEX('Raw Data'!$A21:$EA21,MATCH(BB$2,RawData[#Headers],)))</f>
        <v xml:space="preserve"> </v>
      </c>
      <c r="BC21" s="255" t="str">
        <f t="shared" si="27"/>
        <v xml:space="preserve"> </v>
      </c>
      <c r="BD21" s="255" t="str">
        <f>IF(INDEX('Raw Data'!$A21:$EA21,MATCH(BD$2,RawData[#Headers],))=""," ",INDEX('Raw Data'!$A21:$EA21,MATCH(BD$2,RawData[#Headers],)))</f>
        <v xml:space="preserve"> </v>
      </c>
      <c r="BE21" s="255" t="str">
        <f t="shared" si="28"/>
        <v xml:space="preserve"> </v>
      </c>
      <c r="BF21" s="255" t="str">
        <f>IF(INDEX('Raw Data'!$A21:$EA21,MATCH(BF$2,RawData[#Headers],))=""," ",INDEX('Raw Data'!$A21:$EA21,MATCH(BF$2,RawData[#Headers],)))</f>
        <v xml:space="preserve"> </v>
      </c>
      <c r="BG21" s="255" t="str">
        <f t="shared" si="29"/>
        <v xml:space="preserve"> </v>
      </c>
      <c r="BH21" s="255" t="str">
        <f>IF(INDEX('Raw Data'!$A21:$EA21,MATCH(BH$2,RawData[#Headers],))=""," ",INDEX('Raw Data'!$A21:$EA21,MATCH(BH$2,RawData[#Headers],)))</f>
        <v xml:space="preserve"> </v>
      </c>
      <c r="BI21" s="255" t="str">
        <f t="shared" si="30"/>
        <v xml:space="preserve"> </v>
      </c>
      <c r="BJ21" s="255" t="str">
        <f>IF(INDEX('Raw Data'!$A21:$EA21,MATCH(BJ$2,RawData[#Headers],))=""," ",INDEX('Raw Data'!$A21:$EA21,MATCH(BJ$2,RawData[#Headers],)))</f>
        <v xml:space="preserve"> </v>
      </c>
      <c r="BK21" s="255" t="str">
        <f t="shared" si="31"/>
        <v xml:space="preserve"> </v>
      </c>
      <c r="BL21" s="255" t="str">
        <f>IF(INDEX('Raw Data'!$A21:$EA21,MATCH(BL$2,RawData[#Headers],))=""," ",INDEX('Raw Data'!$A21:$EA21,MATCH(BL$2,RawData[#Headers],)))</f>
        <v xml:space="preserve"> </v>
      </c>
      <c r="BM21" s="255" t="str">
        <f t="shared" si="32"/>
        <v xml:space="preserve"> </v>
      </c>
      <c r="BN21" s="255" t="str">
        <f>IF(INDEX('Raw Data'!$A21:$EA21,MATCH(BN$2,RawData[#Headers],))=""," ",INDEX('Raw Data'!$A21:$EA21,MATCH(BN$2,RawData[#Headers],)))</f>
        <v xml:space="preserve"> </v>
      </c>
      <c r="BO21" s="255" t="str">
        <f t="shared" si="33"/>
        <v xml:space="preserve"> </v>
      </c>
      <c r="BP21" s="255" t="str">
        <f>IF(INDEX('Raw Data'!$A21:$EA21,MATCH(BP$2,RawData[#Headers],))=""," ",INDEX('Raw Data'!$A21:$EA21,MATCH(BP$2,RawData[#Headers],)))</f>
        <v xml:space="preserve"> </v>
      </c>
      <c r="BQ21" s="255" t="str">
        <f t="shared" si="34"/>
        <v xml:space="preserve"> </v>
      </c>
      <c r="BR21" s="255" t="str">
        <f>IF(INDEX('Raw Data'!$A21:$EA21,MATCH(BR$2,RawData[#Headers],))=""," ",INDEX('Raw Data'!$A21:$EA21,MATCH(BR$2,RawData[#Headers],)))</f>
        <v xml:space="preserve"> </v>
      </c>
      <c r="BS21" s="255" t="str">
        <f t="shared" si="35"/>
        <v xml:space="preserve"> </v>
      </c>
      <c r="BT21" s="255" t="str">
        <f>IF(INDEX('Raw Data'!$A21:$EA21,MATCH(BT$2,RawData[#Headers],))=""," ",INDEX('Raw Data'!$A21:$EA21,MATCH(BT$2,RawData[#Headers],)))</f>
        <v xml:space="preserve"> </v>
      </c>
      <c r="BU21" s="255" t="str">
        <f t="shared" si="36"/>
        <v xml:space="preserve"> </v>
      </c>
      <c r="BV21" s="255" t="str">
        <f>IF(INDEX('Raw Data'!$A21:$EA21,MATCH(BV$2,RawData[#Headers],))=""," ",INDEX('Raw Data'!$A21:$EA21,MATCH(BV$2,RawData[#Headers],)))</f>
        <v xml:space="preserve"> </v>
      </c>
      <c r="BW21" s="255" t="str">
        <f t="shared" si="37"/>
        <v xml:space="preserve"> </v>
      </c>
      <c r="BX21" s="255" t="str">
        <f>IF(INDEX('Raw Data'!$A21:$EA21,MATCH(BX$2,RawData[#Headers],))=""," ",INDEX('Raw Data'!$A21:$EA21,MATCH(BX$2,RawData[#Headers],)))</f>
        <v xml:space="preserve"> </v>
      </c>
      <c r="BY21" s="255" t="str">
        <f t="shared" si="38"/>
        <v xml:space="preserve"> </v>
      </c>
      <c r="BZ21" s="255" t="str">
        <f>IF(INDEX('Raw Data'!$A21:$EA21,MATCH(BZ$2,RawData[#Headers],))=""," ",INDEX('Raw Data'!$A21:$EA21,MATCH(BZ$2,RawData[#Headers],)))</f>
        <v xml:space="preserve"> </v>
      </c>
      <c r="CA21" s="255" t="str">
        <f t="shared" si="39"/>
        <v xml:space="preserve"> </v>
      </c>
      <c r="CB21" s="255" t="str">
        <f>IF(INDEX('Raw Data'!$A21:$EA21,MATCH(CB$2,RawData[#Headers],))=""," ",INDEX('Raw Data'!$A21:$EA21,MATCH(CB$2,RawData[#Headers],)))</f>
        <v xml:space="preserve"> </v>
      </c>
      <c r="CC21" s="255" t="str">
        <f t="shared" si="40"/>
        <v xml:space="preserve"> </v>
      </c>
      <c r="CD21" s="255" t="str">
        <f>IF(INDEX('Raw Data'!$A21:$EA21,MATCH(CD$2,RawData[#Headers],))=""," ",INDEX('Raw Data'!$A21:$EA21,MATCH(CD$2,RawData[#Headers],)))</f>
        <v xml:space="preserve"> </v>
      </c>
      <c r="CE21" s="255" t="str">
        <f t="shared" si="41"/>
        <v xml:space="preserve"> </v>
      </c>
      <c r="CF21" s="255" t="str">
        <f>IF(INDEX('Raw Data'!$A21:$EA21,MATCH(CF$2,RawData[#Headers],))=""," ",INDEX('Raw Data'!$A21:$EA21,MATCH(CF$2,RawData[#Headers],)))</f>
        <v xml:space="preserve"> </v>
      </c>
      <c r="CG21" s="255" t="str">
        <f t="shared" si="42"/>
        <v xml:space="preserve"> </v>
      </c>
      <c r="CH21" s="255" t="str">
        <f>IF(INDEX('Raw Data'!$A21:$EA21,MATCH(CH$2,RawData[#Headers],))=""," ",INDEX('Raw Data'!$A21:$EA21,MATCH(CH$2,RawData[#Headers],)))</f>
        <v xml:space="preserve"> </v>
      </c>
      <c r="CI21" s="255" t="str">
        <f t="shared" si="43"/>
        <v xml:space="preserve"> </v>
      </c>
      <c r="CJ21" s="255" t="str">
        <f>IF(INDEX('Raw Data'!$A21:$EA21,MATCH(CJ$2,RawData[#Headers],))=""," ",INDEX('Raw Data'!$A21:$EA21,MATCH(CJ$2,RawData[#Headers],)))</f>
        <v xml:space="preserve"> </v>
      </c>
      <c r="CK21" s="255" t="str">
        <f t="shared" si="44"/>
        <v xml:space="preserve"> </v>
      </c>
      <c r="CL21" s="255" t="str">
        <f>IF(INDEX('Raw Data'!$A21:$EA21,MATCH(CL$2,RawData[#Headers],))=""," ",INDEX('Raw Data'!$A21:$EA21,MATCH(CL$2,RawData[#Headers],)))</f>
        <v xml:space="preserve"> </v>
      </c>
      <c r="CM21" s="255" t="str">
        <f t="shared" si="45"/>
        <v xml:space="preserve"> </v>
      </c>
      <c r="CN21" s="255" t="str">
        <f>IF(INDEX('Raw Data'!$A21:$EA21,MATCH(CN$2,RawData[#Headers],))=""," ",INDEX('Raw Data'!$A21:$EA21,MATCH(CN$2,RawData[#Headers],)))</f>
        <v xml:space="preserve"> </v>
      </c>
      <c r="CO21" s="255" t="str">
        <f t="shared" si="46"/>
        <v xml:space="preserve"> </v>
      </c>
      <c r="CP21" s="255" t="str">
        <f>IF(INDEX('Raw Data'!$A21:$EA21,MATCH(CP$2,RawData[#Headers],))=""," ",INDEX('Raw Data'!$A21:$EA21,MATCH(CP$2,RawData[#Headers],)))</f>
        <v xml:space="preserve"> </v>
      </c>
      <c r="CQ21" s="255" t="str">
        <f t="shared" si="47"/>
        <v xml:space="preserve"> </v>
      </c>
      <c r="CR21" s="255" t="str">
        <f>IF(INDEX('Raw Data'!$A21:$EA21,MATCH(CR$2,RawData[#Headers],))=""," ",INDEX('Raw Data'!$A21:$EA21,MATCH(CR$2,RawData[#Headers],)))</f>
        <v xml:space="preserve"> </v>
      </c>
      <c r="CS21" s="255" t="str">
        <f t="shared" si="48"/>
        <v xml:space="preserve"> </v>
      </c>
      <c r="CT21" s="255" t="str">
        <f>IF(INDEX('Raw Data'!$A21:$EA21,MATCH(CT$2,RawData[#Headers],))=""," ",INDEX('Raw Data'!$A21:$EA21,MATCH(CT$2,RawData[#Headers],)))</f>
        <v xml:space="preserve"> </v>
      </c>
      <c r="CU21" s="255" t="str">
        <f t="shared" si="49"/>
        <v xml:space="preserve"> </v>
      </c>
      <c r="CV21" s="255" t="str">
        <f>IF(INDEX('Raw Data'!$A21:$EA21,MATCH(CV$2,RawData[#Headers],))=""," ",INDEX('Raw Data'!$A21:$EA21,MATCH(CV$2,RawData[#Headers],)))</f>
        <v xml:space="preserve"> </v>
      </c>
      <c r="CW21" s="255" t="str">
        <f t="shared" si="50"/>
        <v xml:space="preserve"> </v>
      </c>
      <c r="CX21" s="255" t="str">
        <f>IF(INDEX('Raw Data'!$A21:$EA21,MATCH(CX$2,RawData[#Headers],))=""," ",INDEX('Raw Data'!$A21:$EA21,MATCH(CX$2,RawData[#Headers],)))</f>
        <v xml:space="preserve"> </v>
      </c>
      <c r="CY21" s="255" t="str">
        <f t="shared" si="51"/>
        <v xml:space="preserve"> </v>
      </c>
      <c r="CZ21" s="255" t="str">
        <f>IF(INDEX('Raw Data'!$A21:$EA21,MATCH(CZ$2,RawData[#Headers],))=""," ",INDEX('Raw Data'!$A21:$EA21,MATCH(CZ$2,RawData[#Headers],)))</f>
        <v xml:space="preserve"> </v>
      </c>
      <c r="DA21" s="255" t="str">
        <f t="shared" si="52"/>
        <v xml:space="preserve"> </v>
      </c>
      <c r="DB21" s="255" t="str">
        <f>IF(INDEX('Raw Data'!$A21:$EA21,MATCH(DB$2,RawData[#Headers],))=""," ",INDEX('Raw Data'!$A21:$EA21,MATCH(DB$2,RawData[#Headers],)))</f>
        <v xml:space="preserve"> </v>
      </c>
      <c r="DC21" s="255" t="str">
        <f t="shared" si="53"/>
        <v xml:space="preserve"> </v>
      </c>
      <c r="DD21" s="255" t="str">
        <f>IF(INDEX('Raw Data'!$A21:$EA21,MATCH(DD$2,RawData[#Headers],))=""," ",INDEX('Raw Data'!$A21:$EA21,MATCH(DD$2,RawData[#Headers],)))</f>
        <v xml:space="preserve"> </v>
      </c>
      <c r="DE21" s="255" t="str">
        <f t="shared" si="54"/>
        <v xml:space="preserve"> </v>
      </c>
      <c r="DF21" s="255" t="str">
        <f>IF(INDEX('Raw Data'!$A21:$EA21,MATCH(DF$2,RawData[#Headers],))=""," ",INDEX('Raw Data'!$A21:$EA21,MATCH(DF$2,RawData[#Headers],)))</f>
        <v xml:space="preserve"> </v>
      </c>
      <c r="DG21" s="255" t="str">
        <f t="shared" si="55"/>
        <v xml:space="preserve"> </v>
      </c>
      <c r="DH21" s="255" t="str">
        <f>IF(INDEX('Raw Data'!$A21:$EA21,MATCH(DH$2,RawData[#Headers],))=""," ",INDEX('Raw Data'!$A21:$EA21,MATCH(DH$2,RawData[#Headers],)))</f>
        <v xml:space="preserve"> </v>
      </c>
      <c r="DI21" s="255" t="str">
        <f t="shared" si="56"/>
        <v xml:space="preserve"> </v>
      </c>
      <c r="DJ21" s="255" t="str">
        <f>IF(INDEX('Raw Data'!$A21:$EA21,MATCH(DJ$2,RawData[#Headers],))=""," ",INDEX('Raw Data'!$A21:$EA21,MATCH(DJ$2,RawData[#Headers],)))</f>
        <v xml:space="preserve"> </v>
      </c>
      <c r="DK21" s="255" t="str">
        <f t="shared" si="57"/>
        <v xml:space="preserve"> </v>
      </c>
      <c r="DL21" s="255" t="str">
        <f>IF(INDEX('Raw Data'!$A21:$EA21,MATCH(DL$2,RawData[#Headers],))=""," ",INDEX('Raw Data'!$A21:$EA21,MATCH(DL$2,RawData[#Headers],)))</f>
        <v xml:space="preserve"> </v>
      </c>
      <c r="DM21" s="255" t="str">
        <f t="shared" si="58"/>
        <v xml:space="preserve"> </v>
      </c>
      <c r="DN21" s="255" t="str">
        <f>IF(INDEX('Raw Data'!$A21:$EA21,MATCH(DN$2,RawData[#Headers],))=""," ",INDEX('Raw Data'!$A21:$EA21,MATCH(DN$2,RawData[#Headers],)))</f>
        <v xml:space="preserve"> </v>
      </c>
      <c r="DO21" s="255" t="str">
        <f t="shared" si="59"/>
        <v xml:space="preserve"> </v>
      </c>
      <c r="DP21" s="255" t="str">
        <f>IF(INDEX('Raw Data'!$A21:$EA21,MATCH(DP$2,RawData[#Headers],))=""," ",INDEX('Raw Data'!$A21:$EA21,MATCH(DP$2,RawData[#Headers],)))</f>
        <v xml:space="preserve"> </v>
      </c>
      <c r="DQ21" s="255" t="str">
        <f t="shared" si="60"/>
        <v xml:space="preserve"> </v>
      </c>
      <c r="DR21" s="255" t="str">
        <f>IF(INDEX('Raw Data'!$A21:$EA21,MATCH(DR$2,RawData[#Headers],))=""," ",INDEX('Raw Data'!$A21:$EA21,MATCH(DR$2,RawData[#Headers],)))</f>
        <v xml:space="preserve"> </v>
      </c>
      <c r="DS21" s="255" t="str">
        <f t="shared" si="61"/>
        <v xml:space="preserve"> </v>
      </c>
      <c r="DT21" s="255" t="str">
        <f>IF(INDEX('Raw Data'!$A21:$EA21,MATCH(DT$2,RawData[#Headers],))=""," ",INDEX('Raw Data'!$A21:$EA21,MATCH(DT$2,RawData[#Headers],)))</f>
        <v xml:space="preserve"> </v>
      </c>
      <c r="DU21" s="255" t="str">
        <f t="shared" si="62"/>
        <v xml:space="preserve"> </v>
      </c>
      <c r="DV21" s="255" t="str">
        <f>IF(INDEX('Raw Data'!$A21:$EA21,MATCH(DV$2,RawData[#Headers],))=""," ",INDEX('Raw Data'!$A21:$EA21,MATCH(DV$2,RawData[#Headers],)))</f>
        <v xml:space="preserve"> </v>
      </c>
      <c r="DW21" s="255" t="str">
        <f t="shared" si="63"/>
        <v xml:space="preserve"> </v>
      </c>
      <c r="DX21" s="255" t="str">
        <f>IF(INDEX('Raw Data'!$A21:$EA21,MATCH(DX$2,RawData[#Headers],))=""," ",INDEX('Raw Data'!$A21:$EA21,MATCH(DX$2,RawData[#Headers],)))</f>
        <v xml:space="preserve"> </v>
      </c>
      <c r="DY21" s="255" t="str">
        <f t="shared" si="64"/>
        <v xml:space="preserve"> </v>
      </c>
      <c r="DZ21" s="255" t="str">
        <f>IF(INDEX('Raw Data'!$A21:$EA21,MATCH(DZ$2,RawData[#Headers],))=""," ",INDEX('Raw Data'!$A21:$EA21,MATCH(DZ$2,RawData[#Headers],)))</f>
        <v xml:space="preserve"> </v>
      </c>
      <c r="EA21" s="255" t="str">
        <f t="shared" si="65"/>
        <v xml:space="preserve"> </v>
      </c>
      <c r="EB21" s="255" t="str">
        <f>IF(INDEX('Raw Data'!$A21:$EA21,MATCH(EB$2,RawData[#Headers],))=""," ",INDEX('Raw Data'!$A21:$EA21,MATCH(EB$2,RawData[#Headers],)))</f>
        <v xml:space="preserve"> </v>
      </c>
      <c r="EC21" s="255" t="str">
        <f t="shared" si="66"/>
        <v xml:space="preserve"> </v>
      </c>
      <c r="ED21" s="255" t="str">
        <f>IF(INDEX('Raw Data'!$A21:$EA21,MATCH(ED$2,RawData[#Headers],))=""," ",INDEX('Raw Data'!$A21:$EA21,MATCH(ED$2,RawData[#Headers],)))</f>
        <v xml:space="preserve"> </v>
      </c>
      <c r="EE21" s="255" t="str">
        <f t="shared" si="67"/>
        <v xml:space="preserve"> </v>
      </c>
      <c r="EF21" s="255" t="str">
        <f>IF(INDEX('Raw Data'!$A21:$EA21,MATCH(EF$2,RawData[#Headers],))=""," ",INDEX('Raw Data'!$A21:$EA21,MATCH(EF$2,RawData[#Headers],)))</f>
        <v xml:space="preserve"> </v>
      </c>
      <c r="EG21" s="255" t="str">
        <f t="shared" si="68"/>
        <v xml:space="preserve"> </v>
      </c>
      <c r="EH21" s="255" t="str">
        <f>IF(INDEX('Raw Data'!$A21:$EA21,MATCH(EH$2,RawData[#Headers],))=""," ",INDEX('Raw Data'!$A21:$EA21,MATCH(EH$2,RawData[#Headers],)))</f>
        <v xml:space="preserve"> </v>
      </c>
      <c r="EI21" s="255" t="str">
        <f t="shared" si="69"/>
        <v xml:space="preserve"> </v>
      </c>
      <c r="EJ21" s="255" t="str">
        <f>IF(INDEX('Raw Data'!$A21:$EA21,MATCH(EJ$2,RawData[#Headers],))=""," ",INDEX('Raw Data'!$A21:$EA21,MATCH(EJ$2,RawData[#Headers],)))</f>
        <v xml:space="preserve"> </v>
      </c>
      <c r="EK21" s="255" t="str">
        <f t="shared" si="70"/>
        <v xml:space="preserve"> </v>
      </c>
      <c r="EL21" s="255" t="str">
        <f>IF(INDEX('Raw Data'!$A21:$EA21,MATCH(EL$2,RawData[#Headers],))=""," ",INDEX('Raw Data'!$A21:$EA21,MATCH(EL$2,RawData[#Headers],)))</f>
        <v xml:space="preserve"> </v>
      </c>
      <c r="EM21" s="255" t="str">
        <f t="shared" si="71"/>
        <v xml:space="preserve"> </v>
      </c>
      <c r="EN21" s="255" t="str">
        <f>IF(INDEX('Raw Data'!$A21:$EA21,MATCH(EN$2,RawData[#Headers],))=""," ",INDEX('Raw Data'!$A21:$EA21,MATCH(EN$2,RawData[#Headers],)))</f>
        <v xml:space="preserve"> </v>
      </c>
      <c r="EO21" s="255" t="str">
        <f t="shared" si="72"/>
        <v xml:space="preserve"> </v>
      </c>
      <c r="EP21" s="255" t="str">
        <f>IF(INDEX('Raw Data'!$A21:$EA21,MATCH(EP$2,RawData[#Headers],))=""," ",INDEX('Raw Data'!$A21:$EA21,MATCH(EP$2,RawData[#Headers],)))</f>
        <v xml:space="preserve"> </v>
      </c>
      <c r="EQ21" s="255" t="str">
        <f t="shared" si="73"/>
        <v xml:space="preserve"> </v>
      </c>
      <c r="ER21" s="255" t="str">
        <f>IF(INDEX('Raw Data'!$A21:$EA21,MATCH(ER$2,RawData[#Headers],))=""," ",INDEX('Raw Data'!$A21:$EA21,MATCH(ER$2,RawData[#Headers],)))</f>
        <v xml:space="preserve"> </v>
      </c>
      <c r="ES21" s="255" t="str">
        <f t="shared" si="2"/>
        <v xml:space="preserve"> </v>
      </c>
      <c r="ET21" s="255" t="str">
        <f>IF(INDEX('Raw Data'!$A21:$EA21,MATCH(ET$2,RawData[#Headers],))=""," ",INDEX('Raw Data'!$A21:$EA21,MATCH(ET$2,RawData[#Headers],)))</f>
        <v xml:space="preserve"> </v>
      </c>
      <c r="EU21" s="255" t="str">
        <f t="shared" si="3"/>
        <v xml:space="preserve"> </v>
      </c>
      <c r="EV21" s="255" t="str">
        <f>IF(INDEX('Raw Data'!$A21:$EA21,MATCH(EV$2,RawData[#Headers],))=""," ",INDEX('Raw Data'!$A21:$EA21,MATCH(EV$2,RawData[#Headers],)))</f>
        <v xml:space="preserve"> </v>
      </c>
      <c r="EW21" s="255" t="str">
        <f t="shared" si="4"/>
        <v xml:space="preserve"> </v>
      </c>
      <c r="EX21" s="255" t="str">
        <f>IF(INDEX('Raw Data'!$A21:$EA21,MATCH(EX$2,RawData[#Headers],))=""," ",INDEX('Raw Data'!$A21:$EA21,MATCH(EX$2,RawData[#Headers],)))</f>
        <v xml:space="preserve"> </v>
      </c>
      <c r="EY21" s="255" t="str">
        <f t="shared" si="74"/>
        <v xml:space="preserve"> </v>
      </c>
      <c r="EZ21" s="276" t="str">
        <f>IF(INDEX('Raw Data'!$A21:$EA21,MATCH(EZ$2,RawData[#Headers],))=""," ",INDEX('Raw Data'!$A21:$EA21,MATCH(EZ$2,RawData[#Headers],)))</f>
        <v xml:space="preserve"> </v>
      </c>
      <c r="FA21" s="255" t="str">
        <f t="shared" si="75"/>
        <v xml:space="preserve"> </v>
      </c>
      <c r="FB21" s="255" t="str">
        <f>IF(INDEX('Raw Data'!$A21:$EA21,MATCH(FB$2,RawData[#Headers],))=""," ",INDEX('Raw Data'!$A21:$EA21,MATCH(FB$2,RawData[#Headers],)))</f>
        <v xml:space="preserve"> </v>
      </c>
    </row>
    <row r="22" spans="1:158" x14ac:dyDescent="0.3">
      <c r="A22" s="255">
        <f>RawData[[#This Row],[Num]]</f>
        <v>0</v>
      </c>
      <c r="B22" s="255" t="str">
        <f>IF(INDEX('Raw Data'!$A22:$EA22,MATCH(B$2,RawData[#Headers],))=""," ",INDEX('Raw Data'!$A22:$EA22,MATCH(B$2,RawData[#Headers],)))</f>
        <v xml:space="preserve"> </v>
      </c>
      <c r="C22" s="326" t="str">
        <f>IFERROR(STANDARDIZE(machina[[#This Row],[Career Strike Rate]],B$30,B$31)^2," ")</f>
        <v xml:space="preserve"> </v>
      </c>
      <c r="D22" s="255" t="str">
        <f>IF(INDEX('Raw Data'!$A22:$EA22,MATCH(D$2,RawData[#Headers],))=""," ",INDEX('Raw Data'!$A22:$EA22,MATCH(D$2,RawData[#Headers],)))</f>
        <v xml:space="preserve"> </v>
      </c>
      <c r="E22" s="326" t="str">
        <f>IFERROR(STANDARDIZE(machina[[#This Row],[Career ROI]],D$30,D$31)^2," ")</f>
        <v xml:space="preserve"> </v>
      </c>
      <c r="F22" s="255" t="str">
        <f>IF(INDEX('Raw Data'!$A22:$EA22,MATCH(F$2,RawData[#Headers],))=""," ",INDEX('Raw Data'!$A22:$EA22,MATCH(F$2,RawData[#Headers],)))</f>
        <v xml:space="preserve"> </v>
      </c>
      <c r="G22" s="255" t="str">
        <f t="shared" si="5"/>
        <v xml:space="preserve"> </v>
      </c>
      <c r="H22" s="255" t="str">
        <f>IF(INDEX('Raw Data'!$A22:$EA22,MATCH(H$2,RawData[#Headers],))=""," ",INDEX('Raw Data'!$A22:$EA22,MATCH(H$2,RawData[#Headers],)))</f>
        <v xml:space="preserve"> </v>
      </c>
      <c r="I22" s="255" t="str">
        <f t="shared" si="6"/>
        <v xml:space="preserve"> </v>
      </c>
      <c r="J22" s="255" t="str">
        <f>IF(INDEX('Raw Data'!$A22:$EA22,MATCH(J$2,RawData[#Headers],))=""," ",INDEX('Raw Data'!$A22:$EA22,MATCH(J$2,RawData[#Headers],)))</f>
        <v xml:space="preserve"> </v>
      </c>
      <c r="K22" s="255" t="str">
        <f t="shared" si="7"/>
        <v xml:space="preserve"> </v>
      </c>
      <c r="L22" s="255" t="str">
        <f>IF(INDEX('Raw Data'!$A22:$EA22,MATCH(L$2,RawData[#Headers],))=""," ",INDEX('Raw Data'!$A22:$EA22,MATCH(L$2,RawData[#Headers],)))</f>
        <v xml:space="preserve"> </v>
      </c>
      <c r="M22" s="255" t="str">
        <f t="shared" si="0"/>
        <v xml:space="preserve"> </v>
      </c>
      <c r="N22" s="255" t="str">
        <f>IF(INDEX('Raw Data'!$A22:$EA22,MATCH(N$2,RawData[#Headers],))=""," ",INDEX('Raw Data'!$A22:$EA22,MATCH(N$2,RawData[#Headers],)))</f>
        <v xml:space="preserve"> </v>
      </c>
      <c r="O22" s="255" t="str">
        <f t="shared" si="0"/>
        <v xml:space="preserve"> </v>
      </c>
      <c r="P22" s="255" t="str">
        <f>IF(INDEX('Raw Data'!$A22:$EA22,MATCH(P$2,RawData[#Headers],))=""," ",INDEX('Raw Data'!$A22:$EA22,MATCH(P$2,RawData[#Headers],)))</f>
        <v xml:space="preserve"> </v>
      </c>
      <c r="Q22" s="255" t="str">
        <f t="shared" ref="Q22" si="93">IF(ISERROR(IF(P22=""," ",RANK(P22,P$3:P$28,1)))," ",IF(P22=""," ",RANK(P22,P$3:P$28,1)))</f>
        <v xml:space="preserve"> </v>
      </c>
      <c r="R22" s="255" t="str">
        <f>IF(INDEX('Raw Data'!$A22:$EA22,MATCH(R$2,RawData[#Headers],))=""," ",INDEX('Raw Data'!$A22:$EA22,MATCH(R$2,RawData[#Headers],)))</f>
        <v xml:space="preserve"> </v>
      </c>
      <c r="S22" s="255" t="str">
        <f t="shared" si="9"/>
        <v xml:space="preserve"> </v>
      </c>
      <c r="T22" s="255" t="str">
        <f>IF(INDEX('Raw Data'!$A22:$EA22,MATCH(T$2,RawData[#Headers],))=""," ",INDEX('Raw Data'!$A22:$EA22,MATCH(T$2,RawData[#Headers],)))</f>
        <v xml:space="preserve"> </v>
      </c>
      <c r="U22" s="255" t="str">
        <f t="shared" si="10"/>
        <v xml:space="preserve"> </v>
      </c>
      <c r="V22" s="255" t="str">
        <f>IF(INDEX('Raw Data'!$A22:$EA22,MATCH(V$2,RawData[#Headers],))=""," ",INDEX('Raw Data'!$A22:$EA22,MATCH(V$2,RawData[#Headers],)))</f>
        <v xml:space="preserve"> </v>
      </c>
      <c r="W22" s="255" t="str">
        <f t="shared" si="11"/>
        <v xml:space="preserve"> </v>
      </c>
      <c r="X22" s="255" t="str">
        <f>IF(INDEX('Raw Data'!$A22:$EA22,MATCH(X$2,RawData[#Headers],))=""," ",INDEX('Raw Data'!$A22:$EA22,MATCH(X$2,RawData[#Headers],)))</f>
        <v xml:space="preserve"> </v>
      </c>
      <c r="Y22" s="255" t="str">
        <f t="shared" si="12"/>
        <v xml:space="preserve"> </v>
      </c>
      <c r="Z22" s="255" t="str">
        <f>IF(INDEX('Raw Data'!$A22:$EA22,MATCH(Z$2,RawData[#Headers],))=""," ",INDEX('Raw Data'!$A22:$EA22,MATCH(Z$2,RawData[#Headers],)))</f>
        <v xml:space="preserve"> </v>
      </c>
      <c r="AA22" s="255" t="str">
        <f t="shared" si="13"/>
        <v xml:space="preserve"> </v>
      </c>
      <c r="AB22" s="255" t="str">
        <f>IF(INDEX('Raw Data'!$A22:$EA22,MATCH(AB$2,RawData[#Headers],))=""," ",INDEX('Raw Data'!$A22:$EA22,MATCH(AB$2,RawData[#Headers],)))</f>
        <v xml:space="preserve"> </v>
      </c>
      <c r="AC22" s="255" t="str">
        <f t="shared" si="14"/>
        <v xml:space="preserve"> </v>
      </c>
      <c r="AD22" s="255" t="str">
        <f>IF(INDEX('Raw Data'!$A22:$EA22,MATCH(AD$2,RawData[#Headers],))=""," ",INDEX('Raw Data'!$A22:$EA22,MATCH(AD$2,RawData[#Headers],)))</f>
        <v xml:space="preserve"> </v>
      </c>
      <c r="AE22" s="255" t="str">
        <f t="shared" si="15"/>
        <v xml:space="preserve"> </v>
      </c>
      <c r="AF22" s="255" t="str">
        <f>IF(INDEX('Raw Data'!$A22:$EA22,MATCH(AF$2,RawData[#Headers],))=""," ",INDEX('Raw Data'!$A22:$EA22,MATCH(AF$2,RawData[#Headers],)))</f>
        <v xml:space="preserve"> </v>
      </c>
      <c r="AG22" s="255" t="str">
        <f t="shared" si="16"/>
        <v xml:space="preserve"> </v>
      </c>
      <c r="AH22" s="255" t="str">
        <f>IF(INDEX('Raw Data'!$A22:$EA22,MATCH(AH$2,RawData[#Headers],))=""," ",INDEX('Raw Data'!$A22:$EA22,MATCH(AH$2,RawData[#Headers],)))</f>
        <v xml:space="preserve"> </v>
      </c>
      <c r="AI22" s="255" t="str">
        <f t="shared" si="17"/>
        <v xml:space="preserve"> </v>
      </c>
      <c r="AJ22" s="255" t="str">
        <f>IF(INDEX('Raw Data'!$A22:$EA22,MATCH(AJ$2,RawData[#Headers],))=""," ",INDEX('Raw Data'!$A22:$EA22,MATCH(AJ$2,RawData[#Headers],)))</f>
        <v xml:space="preserve"> </v>
      </c>
      <c r="AK22" s="255" t="str">
        <f t="shared" si="18"/>
        <v xml:space="preserve"> </v>
      </c>
      <c r="AL22" s="255" t="str">
        <f>IF(INDEX('Raw Data'!$A22:$EA22,MATCH(AL$2,RawData[#Headers],))=""," ",INDEX('Raw Data'!$A22:$EA22,MATCH(AL$2,RawData[#Headers],)))</f>
        <v xml:space="preserve"> </v>
      </c>
      <c r="AM22" s="255" t="str">
        <f t="shared" si="19"/>
        <v xml:space="preserve"> </v>
      </c>
      <c r="AN22" s="255" t="str">
        <f>IF(INDEX('Raw Data'!$A22:$EA22,MATCH(AN$2,RawData[#Headers],))=""," ",INDEX('Raw Data'!$A22:$EA22,MATCH(AN$2,RawData[#Headers],)))</f>
        <v xml:space="preserve"> </v>
      </c>
      <c r="AO22" s="255" t="str">
        <f t="shared" si="20"/>
        <v xml:space="preserve"> </v>
      </c>
      <c r="AP22" s="255" t="str">
        <f>IF(INDEX('Raw Data'!$A22:$EA22,MATCH(AP$2,RawData[#Headers],))=""," ",INDEX('Raw Data'!$A22:$EA22,MATCH(AP$2,RawData[#Headers],)))</f>
        <v xml:space="preserve"> </v>
      </c>
      <c r="AQ22" s="255" t="str">
        <f t="shared" si="21"/>
        <v xml:space="preserve"> </v>
      </c>
      <c r="AR22" s="255" t="str">
        <f>IF(INDEX('Raw Data'!$A22:$EA22,MATCH(AR$2,RawData[#Headers],))=""," ",INDEX('Raw Data'!$A22:$EA22,MATCH(AR$2,RawData[#Headers],)))</f>
        <v xml:space="preserve"> </v>
      </c>
      <c r="AS22" s="255" t="str">
        <f t="shared" si="22"/>
        <v xml:space="preserve"> </v>
      </c>
      <c r="AT22" s="255" t="str">
        <f>IF(INDEX('Raw Data'!$A22:$EA22,MATCH(AT$2,RawData[#Headers],))=""," ",INDEX('Raw Data'!$A22:$EA22,MATCH(AT$2,RawData[#Headers],)))</f>
        <v xml:space="preserve"> </v>
      </c>
      <c r="AU22" s="255" t="str">
        <f t="shared" si="23"/>
        <v xml:space="preserve"> </v>
      </c>
      <c r="AV22" s="255" t="str">
        <f>IF(INDEX('Raw Data'!$A22:$EA22,MATCH(AV$2,RawData[#Headers],))=""," ",INDEX('Raw Data'!$A22:$EA22,MATCH(AV$2,RawData[#Headers],)))</f>
        <v xml:space="preserve"> </v>
      </c>
      <c r="AW22" s="255" t="str">
        <f t="shared" si="24"/>
        <v xml:space="preserve"> </v>
      </c>
      <c r="AX22" s="255" t="str">
        <f>IF(INDEX('Raw Data'!$A22:$EA22,MATCH(AX$2,RawData[#Headers],))=""," ",INDEX('Raw Data'!$A22:$EA22,MATCH(AX$2,RawData[#Headers],)))</f>
        <v xml:space="preserve"> </v>
      </c>
      <c r="AY22" s="255" t="str">
        <f t="shared" si="25"/>
        <v xml:space="preserve"> </v>
      </c>
      <c r="AZ22" s="255" t="str">
        <f>IF(INDEX('Raw Data'!$A22:$EA22,MATCH(AZ$2,RawData[#Headers],))=""," ",INDEX('Raw Data'!$A22:$EA22,MATCH(AZ$2,RawData[#Headers],)))</f>
        <v xml:space="preserve"> </v>
      </c>
      <c r="BA22" s="255" t="str">
        <f t="shared" si="26"/>
        <v xml:space="preserve"> </v>
      </c>
      <c r="BB22" s="255" t="str">
        <f>IF(INDEX('Raw Data'!$A22:$EA22,MATCH(BB$2,RawData[#Headers],))=""," ",INDEX('Raw Data'!$A22:$EA22,MATCH(BB$2,RawData[#Headers],)))</f>
        <v xml:space="preserve"> </v>
      </c>
      <c r="BC22" s="255" t="str">
        <f t="shared" si="27"/>
        <v xml:space="preserve"> </v>
      </c>
      <c r="BD22" s="255" t="str">
        <f>IF(INDEX('Raw Data'!$A22:$EA22,MATCH(BD$2,RawData[#Headers],))=""," ",INDEX('Raw Data'!$A22:$EA22,MATCH(BD$2,RawData[#Headers],)))</f>
        <v xml:space="preserve"> </v>
      </c>
      <c r="BE22" s="255" t="str">
        <f t="shared" si="28"/>
        <v xml:space="preserve"> </v>
      </c>
      <c r="BF22" s="255" t="str">
        <f>IF(INDEX('Raw Data'!$A22:$EA22,MATCH(BF$2,RawData[#Headers],))=""," ",INDEX('Raw Data'!$A22:$EA22,MATCH(BF$2,RawData[#Headers],)))</f>
        <v xml:space="preserve"> </v>
      </c>
      <c r="BG22" s="255" t="str">
        <f t="shared" si="29"/>
        <v xml:space="preserve"> </v>
      </c>
      <c r="BH22" s="255" t="str">
        <f>IF(INDEX('Raw Data'!$A22:$EA22,MATCH(BH$2,RawData[#Headers],))=""," ",INDEX('Raw Data'!$A22:$EA22,MATCH(BH$2,RawData[#Headers],)))</f>
        <v xml:space="preserve"> </v>
      </c>
      <c r="BI22" s="255" t="str">
        <f t="shared" si="30"/>
        <v xml:space="preserve"> </v>
      </c>
      <c r="BJ22" s="255" t="str">
        <f>IF(INDEX('Raw Data'!$A22:$EA22,MATCH(BJ$2,RawData[#Headers],))=""," ",INDEX('Raw Data'!$A22:$EA22,MATCH(BJ$2,RawData[#Headers],)))</f>
        <v xml:space="preserve"> </v>
      </c>
      <c r="BK22" s="255" t="str">
        <f t="shared" si="31"/>
        <v xml:space="preserve"> </v>
      </c>
      <c r="BL22" s="255" t="str">
        <f>IF(INDEX('Raw Data'!$A22:$EA22,MATCH(BL$2,RawData[#Headers],))=""," ",INDEX('Raw Data'!$A22:$EA22,MATCH(BL$2,RawData[#Headers],)))</f>
        <v xml:space="preserve"> </v>
      </c>
      <c r="BM22" s="255" t="str">
        <f t="shared" si="32"/>
        <v xml:space="preserve"> </v>
      </c>
      <c r="BN22" s="255" t="str">
        <f>IF(INDEX('Raw Data'!$A22:$EA22,MATCH(BN$2,RawData[#Headers],))=""," ",INDEX('Raw Data'!$A22:$EA22,MATCH(BN$2,RawData[#Headers],)))</f>
        <v xml:space="preserve"> </v>
      </c>
      <c r="BO22" s="255" t="str">
        <f t="shared" si="33"/>
        <v xml:space="preserve"> </v>
      </c>
      <c r="BP22" s="255" t="str">
        <f>IF(INDEX('Raw Data'!$A22:$EA22,MATCH(BP$2,RawData[#Headers],))=""," ",INDEX('Raw Data'!$A22:$EA22,MATCH(BP$2,RawData[#Headers],)))</f>
        <v xml:space="preserve"> </v>
      </c>
      <c r="BQ22" s="255" t="str">
        <f t="shared" si="34"/>
        <v xml:space="preserve"> </v>
      </c>
      <c r="BR22" s="255" t="str">
        <f>IF(INDEX('Raw Data'!$A22:$EA22,MATCH(BR$2,RawData[#Headers],))=""," ",INDEX('Raw Data'!$A22:$EA22,MATCH(BR$2,RawData[#Headers],)))</f>
        <v xml:space="preserve"> </v>
      </c>
      <c r="BS22" s="255" t="str">
        <f t="shared" si="35"/>
        <v xml:space="preserve"> </v>
      </c>
      <c r="BT22" s="255" t="str">
        <f>IF(INDEX('Raw Data'!$A22:$EA22,MATCH(BT$2,RawData[#Headers],))=""," ",INDEX('Raw Data'!$A22:$EA22,MATCH(BT$2,RawData[#Headers],)))</f>
        <v xml:space="preserve"> </v>
      </c>
      <c r="BU22" s="255" t="str">
        <f t="shared" si="36"/>
        <v xml:space="preserve"> </v>
      </c>
      <c r="BV22" s="255" t="str">
        <f>IF(INDEX('Raw Data'!$A22:$EA22,MATCH(BV$2,RawData[#Headers],))=""," ",INDEX('Raw Data'!$A22:$EA22,MATCH(BV$2,RawData[#Headers],)))</f>
        <v xml:space="preserve"> </v>
      </c>
      <c r="BW22" s="255" t="str">
        <f t="shared" si="37"/>
        <v xml:space="preserve"> </v>
      </c>
      <c r="BX22" s="255" t="str">
        <f>IF(INDEX('Raw Data'!$A22:$EA22,MATCH(BX$2,RawData[#Headers],))=""," ",INDEX('Raw Data'!$A22:$EA22,MATCH(BX$2,RawData[#Headers],)))</f>
        <v xml:space="preserve"> </v>
      </c>
      <c r="BY22" s="255" t="str">
        <f t="shared" si="38"/>
        <v xml:space="preserve"> </v>
      </c>
      <c r="BZ22" s="255" t="str">
        <f>IF(INDEX('Raw Data'!$A22:$EA22,MATCH(BZ$2,RawData[#Headers],))=""," ",INDEX('Raw Data'!$A22:$EA22,MATCH(BZ$2,RawData[#Headers],)))</f>
        <v xml:space="preserve"> </v>
      </c>
      <c r="CA22" s="255" t="str">
        <f t="shared" si="39"/>
        <v xml:space="preserve"> </v>
      </c>
      <c r="CB22" s="255" t="str">
        <f>IF(INDEX('Raw Data'!$A22:$EA22,MATCH(CB$2,RawData[#Headers],))=""," ",INDEX('Raw Data'!$A22:$EA22,MATCH(CB$2,RawData[#Headers],)))</f>
        <v xml:space="preserve"> </v>
      </c>
      <c r="CC22" s="255" t="str">
        <f t="shared" si="40"/>
        <v xml:space="preserve"> </v>
      </c>
      <c r="CD22" s="255" t="str">
        <f>IF(INDEX('Raw Data'!$A22:$EA22,MATCH(CD$2,RawData[#Headers],))=""," ",INDEX('Raw Data'!$A22:$EA22,MATCH(CD$2,RawData[#Headers],)))</f>
        <v xml:space="preserve"> </v>
      </c>
      <c r="CE22" s="255" t="str">
        <f t="shared" si="41"/>
        <v xml:space="preserve"> </v>
      </c>
      <c r="CF22" s="255" t="str">
        <f>IF(INDEX('Raw Data'!$A22:$EA22,MATCH(CF$2,RawData[#Headers],))=""," ",INDEX('Raw Data'!$A22:$EA22,MATCH(CF$2,RawData[#Headers],)))</f>
        <v xml:space="preserve"> </v>
      </c>
      <c r="CG22" s="255" t="str">
        <f t="shared" si="42"/>
        <v xml:space="preserve"> </v>
      </c>
      <c r="CH22" s="255" t="str">
        <f>IF(INDEX('Raw Data'!$A22:$EA22,MATCH(CH$2,RawData[#Headers],))=""," ",INDEX('Raw Data'!$A22:$EA22,MATCH(CH$2,RawData[#Headers],)))</f>
        <v xml:space="preserve"> </v>
      </c>
      <c r="CI22" s="255" t="str">
        <f t="shared" si="43"/>
        <v xml:space="preserve"> </v>
      </c>
      <c r="CJ22" s="255" t="str">
        <f>IF(INDEX('Raw Data'!$A22:$EA22,MATCH(CJ$2,RawData[#Headers],))=""," ",INDEX('Raw Data'!$A22:$EA22,MATCH(CJ$2,RawData[#Headers],)))</f>
        <v xml:space="preserve"> </v>
      </c>
      <c r="CK22" s="255" t="str">
        <f t="shared" si="44"/>
        <v xml:space="preserve"> </v>
      </c>
      <c r="CL22" s="255" t="str">
        <f>IF(INDEX('Raw Data'!$A22:$EA22,MATCH(CL$2,RawData[#Headers],))=""," ",INDEX('Raw Data'!$A22:$EA22,MATCH(CL$2,RawData[#Headers],)))</f>
        <v xml:space="preserve"> </v>
      </c>
      <c r="CM22" s="255" t="str">
        <f t="shared" si="45"/>
        <v xml:space="preserve"> </v>
      </c>
      <c r="CN22" s="255" t="str">
        <f>IF(INDEX('Raw Data'!$A22:$EA22,MATCH(CN$2,RawData[#Headers],))=""," ",INDEX('Raw Data'!$A22:$EA22,MATCH(CN$2,RawData[#Headers],)))</f>
        <v xml:space="preserve"> </v>
      </c>
      <c r="CO22" s="255" t="str">
        <f t="shared" si="46"/>
        <v xml:space="preserve"> </v>
      </c>
      <c r="CP22" s="255" t="str">
        <f>IF(INDEX('Raw Data'!$A22:$EA22,MATCH(CP$2,RawData[#Headers],))=""," ",INDEX('Raw Data'!$A22:$EA22,MATCH(CP$2,RawData[#Headers],)))</f>
        <v xml:space="preserve"> </v>
      </c>
      <c r="CQ22" s="255" t="str">
        <f t="shared" si="47"/>
        <v xml:space="preserve"> </v>
      </c>
      <c r="CR22" s="255" t="str">
        <f>IF(INDEX('Raw Data'!$A22:$EA22,MATCH(CR$2,RawData[#Headers],))=""," ",INDEX('Raw Data'!$A22:$EA22,MATCH(CR$2,RawData[#Headers],)))</f>
        <v xml:space="preserve"> </v>
      </c>
      <c r="CS22" s="255" t="str">
        <f t="shared" si="48"/>
        <v xml:space="preserve"> </v>
      </c>
      <c r="CT22" s="255" t="str">
        <f>IF(INDEX('Raw Data'!$A22:$EA22,MATCH(CT$2,RawData[#Headers],))=""," ",INDEX('Raw Data'!$A22:$EA22,MATCH(CT$2,RawData[#Headers],)))</f>
        <v xml:space="preserve"> </v>
      </c>
      <c r="CU22" s="255" t="str">
        <f t="shared" si="49"/>
        <v xml:space="preserve"> </v>
      </c>
      <c r="CV22" s="255" t="str">
        <f>IF(INDEX('Raw Data'!$A22:$EA22,MATCH(CV$2,RawData[#Headers],))=""," ",INDEX('Raw Data'!$A22:$EA22,MATCH(CV$2,RawData[#Headers],)))</f>
        <v xml:space="preserve"> </v>
      </c>
      <c r="CW22" s="255" t="str">
        <f t="shared" si="50"/>
        <v xml:space="preserve"> </v>
      </c>
      <c r="CX22" s="255" t="str">
        <f>IF(INDEX('Raw Data'!$A22:$EA22,MATCH(CX$2,RawData[#Headers],))=""," ",INDEX('Raw Data'!$A22:$EA22,MATCH(CX$2,RawData[#Headers],)))</f>
        <v xml:space="preserve"> </v>
      </c>
      <c r="CY22" s="255" t="str">
        <f t="shared" si="51"/>
        <v xml:space="preserve"> </v>
      </c>
      <c r="CZ22" s="255" t="str">
        <f>IF(INDEX('Raw Data'!$A22:$EA22,MATCH(CZ$2,RawData[#Headers],))=""," ",INDEX('Raw Data'!$A22:$EA22,MATCH(CZ$2,RawData[#Headers],)))</f>
        <v xml:space="preserve"> </v>
      </c>
      <c r="DA22" s="255" t="str">
        <f t="shared" si="52"/>
        <v xml:space="preserve"> </v>
      </c>
      <c r="DB22" s="255" t="str">
        <f>IF(INDEX('Raw Data'!$A22:$EA22,MATCH(DB$2,RawData[#Headers],))=""," ",INDEX('Raw Data'!$A22:$EA22,MATCH(DB$2,RawData[#Headers],)))</f>
        <v xml:space="preserve"> </v>
      </c>
      <c r="DC22" s="255" t="str">
        <f t="shared" si="53"/>
        <v xml:space="preserve"> </v>
      </c>
      <c r="DD22" s="255" t="str">
        <f>IF(INDEX('Raw Data'!$A22:$EA22,MATCH(DD$2,RawData[#Headers],))=""," ",INDEX('Raw Data'!$A22:$EA22,MATCH(DD$2,RawData[#Headers],)))</f>
        <v xml:space="preserve"> </v>
      </c>
      <c r="DE22" s="255" t="str">
        <f t="shared" si="54"/>
        <v xml:space="preserve"> </v>
      </c>
      <c r="DF22" s="255" t="str">
        <f>IF(INDEX('Raw Data'!$A22:$EA22,MATCH(DF$2,RawData[#Headers],))=""," ",INDEX('Raw Data'!$A22:$EA22,MATCH(DF$2,RawData[#Headers],)))</f>
        <v xml:space="preserve"> </v>
      </c>
      <c r="DG22" s="255" t="str">
        <f t="shared" si="55"/>
        <v xml:space="preserve"> </v>
      </c>
      <c r="DH22" s="255" t="str">
        <f>IF(INDEX('Raw Data'!$A22:$EA22,MATCH(DH$2,RawData[#Headers],))=""," ",INDEX('Raw Data'!$A22:$EA22,MATCH(DH$2,RawData[#Headers],)))</f>
        <v xml:space="preserve"> </v>
      </c>
      <c r="DI22" s="255" t="str">
        <f t="shared" si="56"/>
        <v xml:space="preserve"> </v>
      </c>
      <c r="DJ22" s="255" t="str">
        <f>IF(INDEX('Raw Data'!$A22:$EA22,MATCH(DJ$2,RawData[#Headers],))=""," ",INDEX('Raw Data'!$A22:$EA22,MATCH(DJ$2,RawData[#Headers],)))</f>
        <v xml:space="preserve"> </v>
      </c>
      <c r="DK22" s="255" t="str">
        <f t="shared" si="57"/>
        <v xml:space="preserve"> </v>
      </c>
      <c r="DL22" s="255" t="str">
        <f>IF(INDEX('Raw Data'!$A22:$EA22,MATCH(DL$2,RawData[#Headers],))=""," ",INDEX('Raw Data'!$A22:$EA22,MATCH(DL$2,RawData[#Headers],)))</f>
        <v xml:space="preserve"> </v>
      </c>
      <c r="DM22" s="255" t="str">
        <f t="shared" si="58"/>
        <v xml:space="preserve"> </v>
      </c>
      <c r="DN22" s="255" t="str">
        <f>IF(INDEX('Raw Data'!$A22:$EA22,MATCH(DN$2,RawData[#Headers],))=""," ",INDEX('Raw Data'!$A22:$EA22,MATCH(DN$2,RawData[#Headers],)))</f>
        <v xml:space="preserve"> </v>
      </c>
      <c r="DO22" s="255" t="str">
        <f t="shared" si="59"/>
        <v xml:space="preserve"> </v>
      </c>
      <c r="DP22" s="255" t="str">
        <f>IF(INDEX('Raw Data'!$A22:$EA22,MATCH(DP$2,RawData[#Headers],))=""," ",INDEX('Raw Data'!$A22:$EA22,MATCH(DP$2,RawData[#Headers],)))</f>
        <v xml:space="preserve"> </v>
      </c>
      <c r="DQ22" s="255" t="str">
        <f t="shared" si="60"/>
        <v xml:space="preserve"> </v>
      </c>
      <c r="DR22" s="255" t="str">
        <f>IF(INDEX('Raw Data'!$A22:$EA22,MATCH(DR$2,RawData[#Headers],))=""," ",INDEX('Raw Data'!$A22:$EA22,MATCH(DR$2,RawData[#Headers],)))</f>
        <v xml:space="preserve"> </v>
      </c>
      <c r="DS22" s="255" t="str">
        <f t="shared" si="61"/>
        <v xml:space="preserve"> </v>
      </c>
      <c r="DT22" s="255" t="str">
        <f>IF(INDEX('Raw Data'!$A22:$EA22,MATCH(DT$2,RawData[#Headers],))=""," ",INDEX('Raw Data'!$A22:$EA22,MATCH(DT$2,RawData[#Headers],)))</f>
        <v xml:space="preserve"> </v>
      </c>
      <c r="DU22" s="255" t="str">
        <f t="shared" si="62"/>
        <v xml:space="preserve"> </v>
      </c>
      <c r="DV22" s="255" t="str">
        <f>IF(INDEX('Raw Data'!$A22:$EA22,MATCH(DV$2,RawData[#Headers],))=""," ",INDEX('Raw Data'!$A22:$EA22,MATCH(DV$2,RawData[#Headers],)))</f>
        <v xml:space="preserve"> </v>
      </c>
      <c r="DW22" s="255" t="str">
        <f t="shared" si="63"/>
        <v xml:space="preserve"> </v>
      </c>
      <c r="DX22" s="255" t="str">
        <f>IF(INDEX('Raw Data'!$A22:$EA22,MATCH(DX$2,RawData[#Headers],))=""," ",INDEX('Raw Data'!$A22:$EA22,MATCH(DX$2,RawData[#Headers],)))</f>
        <v xml:space="preserve"> </v>
      </c>
      <c r="DY22" s="255" t="str">
        <f t="shared" si="64"/>
        <v xml:space="preserve"> </v>
      </c>
      <c r="DZ22" s="255" t="str">
        <f>IF(INDEX('Raw Data'!$A22:$EA22,MATCH(DZ$2,RawData[#Headers],))=""," ",INDEX('Raw Data'!$A22:$EA22,MATCH(DZ$2,RawData[#Headers],)))</f>
        <v xml:space="preserve"> </v>
      </c>
      <c r="EA22" s="255" t="str">
        <f t="shared" si="65"/>
        <v xml:space="preserve"> </v>
      </c>
      <c r="EB22" s="255" t="str">
        <f>IF(INDEX('Raw Data'!$A22:$EA22,MATCH(EB$2,RawData[#Headers],))=""," ",INDEX('Raw Data'!$A22:$EA22,MATCH(EB$2,RawData[#Headers],)))</f>
        <v xml:space="preserve"> </v>
      </c>
      <c r="EC22" s="255" t="str">
        <f t="shared" si="66"/>
        <v xml:space="preserve"> </v>
      </c>
      <c r="ED22" s="255" t="str">
        <f>IF(INDEX('Raw Data'!$A22:$EA22,MATCH(ED$2,RawData[#Headers],))=""," ",INDEX('Raw Data'!$A22:$EA22,MATCH(ED$2,RawData[#Headers],)))</f>
        <v xml:space="preserve"> </v>
      </c>
      <c r="EE22" s="255" t="str">
        <f t="shared" si="67"/>
        <v xml:space="preserve"> </v>
      </c>
      <c r="EF22" s="255" t="str">
        <f>IF(INDEX('Raw Data'!$A22:$EA22,MATCH(EF$2,RawData[#Headers],))=""," ",INDEX('Raw Data'!$A22:$EA22,MATCH(EF$2,RawData[#Headers],)))</f>
        <v xml:space="preserve"> </v>
      </c>
      <c r="EG22" s="255" t="str">
        <f t="shared" si="68"/>
        <v xml:space="preserve"> </v>
      </c>
      <c r="EH22" s="255" t="str">
        <f>IF(INDEX('Raw Data'!$A22:$EA22,MATCH(EH$2,RawData[#Headers],))=""," ",INDEX('Raw Data'!$A22:$EA22,MATCH(EH$2,RawData[#Headers],)))</f>
        <v xml:space="preserve"> </v>
      </c>
      <c r="EI22" s="255" t="str">
        <f t="shared" si="69"/>
        <v xml:space="preserve"> </v>
      </c>
      <c r="EJ22" s="255" t="str">
        <f>IF(INDEX('Raw Data'!$A22:$EA22,MATCH(EJ$2,RawData[#Headers],))=""," ",INDEX('Raw Data'!$A22:$EA22,MATCH(EJ$2,RawData[#Headers],)))</f>
        <v xml:space="preserve"> </v>
      </c>
      <c r="EK22" s="255" t="str">
        <f t="shared" si="70"/>
        <v xml:space="preserve"> </v>
      </c>
      <c r="EL22" s="255" t="str">
        <f>IF(INDEX('Raw Data'!$A22:$EA22,MATCH(EL$2,RawData[#Headers],))=""," ",INDEX('Raw Data'!$A22:$EA22,MATCH(EL$2,RawData[#Headers],)))</f>
        <v xml:space="preserve"> </v>
      </c>
      <c r="EM22" s="255" t="str">
        <f t="shared" si="71"/>
        <v xml:space="preserve"> </v>
      </c>
      <c r="EN22" s="255" t="str">
        <f>IF(INDEX('Raw Data'!$A22:$EA22,MATCH(EN$2,RawData[#Headers],))=""," ",INDEX('Raw Data'!$A22:$EA22,MATCH(EN$2,RawData[#Headers],)))</f>
        <v xml:space="preserve"> </v>
      </c>
      <c r="EO22" s="255" t="str">
        <f t="shared" si="72"/>
        <v xml:space="preserve"> </v>
      </c>
      <c r="EP22" s="255" t="str">
        <f>IF(INDEX('Raw Data'!$A22:$EA22,MATCH(EP$2,RawData[#Headers],))=""," ",INDEX('Raw Data'!$A22:$EA22,MATCH(EP$2,RawData[#Headers],)))</f>
        <v xml:space="preserve"> </v>
      </c>
      <c r="EQ22" s="255" t="str">
        <f t="shared" si="73"/>
        <v xml:space="preserve"> </v>
      </c>
      <c r="ER22" s="255" t="str">
        <f>IF(INDEX('Raw Data'!$A22:$EA22,MATCH(ER$2,RawData[#Headers],))=""," ",INDEX('Raw Data'!$A22:$EA22,MATCH(ER$2,RawData[#Headers],)))</f>
        <v xml:space="preserve"> </v>
      </c>
      <c r="ES22" s="255" t="str">
        <f t="shared" si="2"/>
        <v xml:space="preserve"> </v>
      </c>
      <c r="ET22" s="255" t="str">
        <f>IF(INDEX('Raw Data'!$A22:$EA22,MATCH(ET$2,RawData[#Headers],))=""," ",INDEX('Raw Data'!$A22:$EA22,MATCH(ET$2,RawData[#Headers],)))</f>
        <v xml:space="preserve"> </v>
      </c>
      <c r="EU22" s="255" t="str">
        <f t="shared" si="3"/>
        <v xml:space="preserve"> </v>
      </c>
      <c r="EV22" s="255" t="str">
        <f>IF(INDEX('Raw Data'!$A22:$EA22,MATCH(EV$2,RawData[#Headers],))=""," ",INDEX('Raw Data'!$A22:$EA22,MATCH(EV$2,RawData[#Headers],)))</f>
        <v xml:space="preserve"> </v>
      </c>
      <c r="EW22" s="255" t="str">
        <f t="shared" si="4"/>
        <v xml:space="preserve"> </v>
      </c>
      <c r="EX22" s="255" t="str">
        <f>IF(INDEX('Raw Data'!$A22:$EA22,MATCH(EX$2,RawData[#Headers],))=""," ",INDEX('Raw Data'!$A22:$EA22,MATCH(EX$2,RawData[#Headers],)))</f>
        <v xml:space="preserve"> </v>
      </c>
      <c r="EY22" s="255" t="str">
        <f t="shared" si="74"/>
        <v xml:space="preserve"> </v>
      </c>
      <c r="EZ22" s="276" t="str">
        <f>IF(INDEX('Raw Data'!$A22:$EA22,MATCH(EZ$2,RawData[#Headers],))=""," ",INDEX('Raw Data'!$A22:$EA22,MATCH(EZ$2,RawData[#Headers],)))</f>
        <v xml:space="preserve"> </v>
      </c>
      <c r="FA22" s="255" t="str">
        <f t="shared" si="75"/>
        <v xml:space="preserve"> </v>
      </c>
      <c r="FB22" s="255" t="str">
        <f>IF(INDEX('Raw Data'!$A22:$EA22,MATCH(FB$2,RawData[#Headers],))=""," ",INDEX('Raw Data'!$A22:$EA22,MATCH(FB$2,RawData[#Headers],)))</f>
        <v xml:space="preserve"> </v>
      </c>
    </row>
    <row r="23" spans="1:158" x14ac:dyDescent="0.3">
      <c r="A23" s="255">
        <f>RawData[[#This Row],[Num]]</f>
        <v>0</v>
      </c>
      <c r="B23" s="255" t="str">
        <f>IF(INDEX('Raw Data'!$A23:$EA23,MATCH(B$2,RawData[#Headers],))=""," ",INDEX('Raw Data'!$A23:$EA23,MATCH(B$2,RawData[#Headers],)))</f>
        <v xml:space="preserve"> </v>
      </c>
      <c r="C23" s="326" t="str">
        <f>IFERROR(STANDARDIZE(machina[[#This Row],[Career Strike Rate]],B$30,B$31)^2," ")</f>
        <v xml:space="preserve"> </v>
      </c>
      <c r="D23" s="255" t="str">
        <f>IF(INDEX('Raw Data'!$A23:$EA23,MATCH(D$2,RawData[#Headers],))=""," ",INDEX('Raw Data'!$A23:$EA23,MATCH(D$2,RawData[#Headers],)))</f>
        <v xml:space="preserve"> </v>
      </c>
      <c r="E23" s="326" t="str">
        <f>IFERROR(STANDARDIZE(machina[[#This Row],[Career ROI]],D$30,D$31)^2," ")</f>
        <v xml:space="preserve"> </v>
      </c>
      <c r="F23" s="255" t="str">
        <f>IF(INDEX('Raw Data'!$A23:$EA23,MATCH(F$2,RawData[#Headers],))=""," ",INDEX('Raw Data'!$A23:$EA23,MATCH(F$2,RawData[#Headers],)))</f>
        <v xml:space="preserve"> </v>
      </c>
      <c r="G23" s="255" t="str">
        <f t="shared" si="5"/>
        <v xml:space="preserve"> </v>
      </c>
      <c r="H23" s="255" t="str">
        <f>IF(INDEX('Raw Data'!$A23:$EA23,MATCH(H$2,RawData[#Headers],))=""," ",INDEX('Raw Data'!$A23:$EA23,MATCH(H$2,RawData[#Headers],)))</f>
        <v xml:space="preserve"> </v>
      </c>
      <c r="I23" s="255" t="str">
        <f t="shared" si="6"/>
        <v xml:space="preserve"> </v>
      </c>
      <c r="J23" s="255" t="str">
        <f>IF(INDEX('Raw Data'!$A23:$EA23,MATCH(J$2,RawData[#Headers],))=""," ",INDEX('Raw Data'!$A23:$EA23,MATCH(J$2,RawData[#Headers],)))</f>
        <v xml:space="preserve"> </v>
      </c>
      <c r="K23" s="255" t="str">
        <f t="shared" si="7"/>
        <v xml:space="preserve"> </v>
      </c>
      <c r="L23" s="255" t="str">
        <f>IF(INDEX('Raw Data'!$A23:$EA23,MATCH(L$2,RawData[#Headers],))=""," ",INDEX('Raw Data'!$A23:$EA23,MATCH(L$2,RawData[#Headers],)))</f>
        <v xml:space="preserve"> </v>
      </c>
      <c r="M23" s="255" t="str">
        <f t="shared" si="0"/>
        <v xml:space="preserve"> </v>
      </c>
      <c r="N23" s="255" t="str">
        <f>IF(INDEX('Raw Data'!$A23:$EA23,MATCH(N$2,RawData[#Headers],))=""," ",INDEX('Raw Data'!$A23:$EA23,MATCH(N$2,RawData[#Headers],)))</f>
        <v xml:space="preserve"> </v>
      </c>
      <c r="O23" s="255" t="str">
        <f t="shared" si="0"/>
        <v xml:space="preserve"> </v>
      </c>
      <c r="P23" s="255" t="str">
        <f>IF(INDEX('Raw Data'!$A23:$EA23,MATCH(P$2,RawData[#Headers],))=""," ",INDEX('Raw Data'!$A23:$EA23,MATCH(P$2,RawData[#Headers],)))</f>
        <v xml:space="preserve"> </v>
      </c>
      <c r="Q23" s="255" t="str">
        <f t="shared" ref="Q23" si="94">IF(ISERROR(IF(P23=""," ",RANK(P23,P$3:P$28,1)))," ",IF(P23=""," ",RANK(P23,P$3:P$28,1)))</f>
        <v xml:space="preserve"> </v>
      </c>
      <c r="R23" s="255" t="str">
        <f>IF(INDEX('Raw Data'!$A23:$EA23,MATCH(R$2,RawData[#Headers],))=""," ",INDEX('Raw Data'!$A23:$EA23,MATCH(R$2,RawData[#Headers],)))</f>
        <v xml:space="preserve"> </v>
      </c>
      <c r="S23" s="255" t="str">
        <f t="shared" si="9"/>
        <v xml:space="preserve"> </v>
      </c>
      <c r="T23" s="255" t="str">
        <f>IF(INDEX('Raw Data'!$A23:$EA23,MATCH(T$2,RawData[#Headers],))=""," ",INDEX('Raw Data'!$A23:$EA23,MATCH(T$2,RawData[#Headers],)))</f>
        <v xml:space="preserve"> </v>
      </c>
      <c r="U23" s="255" t="str">
        <f t="shared" si="10"/>
        <v xml:space="preserve"> </v>
      </c>
      <c r="V23" s="255" t="str">
        <f>IF(INDEX('Raw Data'!$A23:$EA23,MATCH(V$2,RawData[#Headers],))=""," ",INDEX('Raw Data'!$A23:$EA23,MATCH(V$2,RawData[#Headers],)))</f>
        <v xml:space="preserve"> </v>
      </c>
      <c r="W23" s="255" t="str">
        <f t="shared" si="11"/>
        <v xml:space="preserve"> </v>
      </c>
      <c r="X23" s="255" t="str">
        <f>IF(INDEX('Raw Data'!$A23:$EA23,MATCH(X$2,RawData[#Headers],))=""," ",INDEX('Raw Data'!$A23:$EA23,MATCH(X$2,RawData[#Headers],)))</f>
        <v xml:space="preserve"> </v>
      </c>
      <c r="Y23" s="255" t="str">
        <f t="shared" si="12"/>
        <v xml:space="preserve"> </v>
      </c>
      <c r="Z23" s="255" t="str">
        <f>IF(INDEX('Raw Data'!$A23:$EA23,MATCH(Z$2,RawData[#Headers],))=""," ",INDEX('Raw Data'!$A23:$EA23,MATCH(Z$2,RawData[#Headers],)))</f>
        <v xml:space="preserve"> </v>
      </c>
      <c r="AA23" s="255" t="str">
        <f t="shared" si="13"/>
        <v xml:space="preserve"> </v>
      </c>
      <c r="AB23" s="255" t="str">
        <f>IF(INDEX('Raw Data'!$A23:$EA23,MATCH(AB$2,RawData[#Headers],))=""," ",INDEX('Raw Data'!$A23:$EA23,MATCH(AB$2,RawData[#Headers],)))</f>
        <v xml:space="preserve"> </v>
      </c>
      <c r="AC23" s="255" t="str">
        <f t="shared" si="14"/>
        <v xml:space="preserve"> </v>
      </c>
      <c r="AD23" s="255" t="str">
        <f>IF(INDEX('Raw Data'!$A23:$EA23,MATCH(AD$2,RawData[#Headers],))=""," ",INDEX('Raw Data'!$A23:$EA23,MATCH(AD$2,RawData[#Headers],)))</f>
        <v xml:space="preserve"> </v>
      </c>
      <c r="AE23" s="255" t="str">
        <f t="shared" si="15"/>
        <v xml:space="preserve"> </v>
      </c>
      <c r="AF23" s="255" t="str">
        <f>IF(INDEX('Raw Data'!$A23:$EA23,MATCH(AF$2,RawData[#Headers],))=""," ",INDEX('Raw Data'!$A23:$EA23,MATCH(AF$2,RawData[#Headers],)))</f>
        <v xml:space="preserve"> </v>
      </c>
      <c r="AG23" s="255" t="str">
        <f t="shared" si="16"/>
        <v xml:space="preserve"> </v>
      </c>
      <c r="AH23" s="255" t="str">
        <f>IF(INDEX('Raw Data'!$A23:$EA23,MATCH(AH$2,RawData[#Headers],))=""," ",INDEX('Raw Data'!$A23:$EA23,MATCH(AH$2,RawData[#Headers],)))</f>
        <v xml:space="preserve"> </v>
      </c>
      <c r="AI23" s="255" t="str">
        <f t="shared" si="17"/>
        <v xml:space="preserve"> </v>
      </c>
      <c r="AJ23" s="255" t="str">
        <f>IF(INDEX('Raw Data'!$A23:$EA23,MATCH(AJ$2,RawData[#Headers],))=""," ",INDEX('Raw Data'!$A23:$EA23,MATCH(AJ$2,RawData[#Headers],)))</f>
        <v xml:space="preserve"> </v>
      </c>
      <c r="AK23" s="255" t="str">
        <f t="shared" si="18"/>
        <v xml:space="preserve"> </v>
      </c>
      <c r="AL23" s="255" t="str">
        <f>IF(INDEX('Raw Data'!$A23:$EA23,MATCH(AL$2,RawData[#Headers],))=""," ",INDEX('Raw Data'!$A23:$EA23,MATCH(AL$2,RawData[#Headers],)))</f>
        <v xml:space="preserve"> </v>
      </c>
      <c r="AM23" s="255" t="str">
        <f t="shared" si="19"/>
        <v xml:space="preserve"> </v>
      </c>
      <c r="AN23" s="255" t="str">
        <f>IF(INDEX('Raw Data'!$A23:$EA23,MATCH(AN$2,RawData[#Headers],))=""," ",INDEX('Raw Data'!$A23:$EA23,MATCH(AN$2,RawData[#Headers],)))</f>
        <v xml:space="preserve"> </v>
      </c>
      <c r="AO23" s="255" t="str">
        <f t="shared" si="20"/>
        <v xml:space="preserve"> </v>
      </c>
      <c r="AP23" s="255" t="str">
        <f>IF(INDEX('Raw Data'!$A23:$EA23,MATCH(AP$2,RawData[#Headers],))=""," ",INDEX('Raw Data'!$A23:$EA23,MATCH(AP$2,RawData[#Headers],)))</f>
        <v xml:space="preserve"> </v>
      </c>
      <c r="AQ23" s="255" t="str">
        <f t="shared" si="21"/>
        <v xml:space="preserve"> </v>
      </c>
      <c r="AR23" s="255" t="str">
        <f>IF(INDEX('Raw Data'!$A23:$EA23,MATCH(AR$2,RawData[#Headers],))=""," ",INDEX('Raw Data'!$A23:$EA23,MATCH(AR$2,RawData[#Headers],)))</f>
        <v xml:space="preserve"> </v>
      </c>
      <c r="AS23" s="255" t="str">
        <f t="shared" si="22"/>
        <v xml:space="preserve"> </v>
      </c>
      <c r="AT23" s="255" t="str">
        <f>IF(INDEX('Raw Data'!$A23:$EA23,MATCH(AT$2,RawData[#Headers],))=""," ",INDEX('Raw Data'!$A23:$EA23,MATCH(AT$2,RawData[#Headers],)))</f>
        <v xml:space="preserve"> </v>
      </c>
      <c r="AU23" s="255" t="str">
        <f t="shared" si="23"/>
        <v xml:space="preserve"> </v>
      </c>
      <c r="AV23" s="255" t="str">
        <f>IF(INDEX('Raw Data'!$A23:$EA23,MATCH(AV$2,RawData[#Headers],))=""," ",INDEX('Raw Data'!$A23:$EA23,MATCH(AV$2,RawData[#Headers],)))</f>
        <v xml:space="preserve"> </v>
      </c>
      <c r="AW23" s="255" t="str">
        <f t="shared" si="24"/>
        <v xml:space="preserve"> </v>
      </c>
      <c r="AX23" s="255" t="str">
        <f>IF(INDEX('Raw Data'!$A23:$EA23,MATCH(AX$2,RawData[#Headers],))=""," ",INDEX('Raw Data'!$A23:$EA23,MATCH(AX$2,RawData[#Headers],)))</f>
        <v xml:space="preserve"> </v>
      </c>
      <c r="AY23" s="255" t="str">
        <f t="shared" si="25"/>
        <v xml:space="preserve"> </v>
      </c>
      <c r="AZ23" s="255" t="str">
        <f>IF(INDEX('Raw Data'!$A23:$EA23,MATCH(AZ$2,RawData[#Headers],))=""," ",INDEX('Raw Data'!$A23:$EA23,MATCH(AZ$2,RawData[#Headers],)))</f>
        <v xml:space="preserve"> </v>
      </c>
      <c r="BA23" s="255" t="str">
        <f t="shared" si="26"/>
        <v xml:space="preserve"> </v>
      </c>
      <c r="BB23" s="255" t="str">
        <f>IF(INDEX('Raw Data'!$A23:$EA23,MATCH(BB$2,RawData[#Headers],))=""," ",INDEX('Raw Data'!$A23:$EA23,MATCH(BB$2,RawData[#Headers],)))</f>
        <v xml:space="preserve"> </v>
      </c>
      <c r="BC23" s="255" t="str">
        <f t="shared" si="27"/>
        <v xml:space="preserve"> </v>
      </c>
      <c r="BD23" s="255" t="str">
        <f>IF(INDEX('Raw Data'!$A23:$EA23,MATCH(BD$2,RawData[#Headers],))=""," ",INDEX('Raw Data'!$A23:$EA23,MATCH(BD$2,RawData[#Headers],)))</f>
        <v xml:space="preserve"> </v>
      </c>
      <c r="BE23" s="255" t="str">
        <f t="shared" si="28"/>
        <v xml:space="preserve"> </v>
      </c>
      <c r="BF23" s="255" t="str">
        <f>IF(INDEX('Raw Data'!$A23:$EA23,MATCH(BF$2,RawData[#Headers],))=""," ",INDEX('Raw Data'!$A23:$EA23,MATCH(BF$2,RawData[#Headers],)))</f>
        <v xml:space="preserve"> </v>
      </c>
      <c r="BG23" s="255" t="str">
        <f t="shared" si="29"/>
        <v xml:space="preserve"> </v>
      </c>
      <c r="BH23" s="255" t="str">
        <f>IF(INDEX('Raw Data'!$A23:$EA23,MATCH(BH$2,RawData[#Headers],))=""," ",INDEX('Raw Data'!$A23:$EA23,MATCH(BH$2,RawData[#Headers],)))</f>
        <v xml:space="preserve"> </v>
      </c>
      <c r="BI23" s="255" t="str">
        <f t="shared" si="30"/>
        <v xml:space="preserve"> </v>
      </c>
      <c r="BJ23" s="255" t="str">
        <f>IF(INDEX('Raw Data'!$A23:$EA23,MATCH(BJ$2,RawData[#Headers],))=""," ",INDEX('Raw Data'!$A23:$EA23,MATCH(BJ$2,RawData[#Headers],)))</f>
        <v xml:space="preserve"> </v>
      </c>
      <c r="BK23" s="255" t="str">
        <f t="shared" si="31"/>
        <v xml:space="preserve"> </v>
      </c>
      <c r="BL23" s="255" t="str">
        <f>IF(INDEX('Raw Data'!$A23:$EA23,MATCH(BL$2,RawData[#Headers],))=""," ",INDEX('Raw Data'!$A23:$EA23,MATCH(BL$2,RawData[#Headers],)))</f>
        <v xml:space="preserve"> </v>
      </c>
      <c r="BM23" s="255" t="str">
        <f t="shared" si="32"/>
        <v xml:space="preserve"> </v>
      </c>
      <c r="BN23" s="255" t="str">
        <f>IF(INDEX('Raw Data'!$A23:$EA23,MATCH(BN$2,RawData[#Headers],))=""," ",INDEX('Raw Data'!$A23:$EA23,MATCH(BN$2,RawData[#Headers],)))</f>
        <v xml:space="preserve"> </v>
      </c>
      <c r="BO23" s="255" t="str">
        <f t="shared" si="33"/>
        <v xml:space="preserve"> </v>
      </c>
      <c r="BP23" s="255" t="str">
        <f>IF(INDEX('Raw Data'!$A23:$EA23,MATCH(BP$2,RawData[#Headers],))=""," ",INDEX('Raw Data'!$A23:$EA23,MATCH(BP$2,RawData[#Headers],)))</f>
        <v xml:space="preserve"> </v>
      </c>
      <c r="BQ23" s="255" t="str">
        <f t="shared" si="34"/>
        <v xml:space="preserve"> </v>
      </c>
      <c r="BR23" s="255" t="str">
        <f>IF(INDEX('Raw Data'!$A23:$EA23,MATCH(BR$2,RawData[#Headers],))=""," ",INDEX('Raw Data'!$A23:$EA23,MATCH(BR$2,RawData[#Headers],)))</f>
        <v xml:space="preserve"> </v>
      </c>
      <c r="BS23" s="255" t="str">
        <f t="shared" si="35"/>
        <v xml:space="preserve"> </v>
      </c>
      <c r="BT23" s="255" t="str">
        <f>IF(INDEX('Raw Data'!$A23:$EA23,MATCH(BT$2,RawData[#Headers],))=""," ",INDEX('Raw Data'!$A23:$EA23,MATCH(BT$2,RawData[#Headers],)))</f>
        <v xml:space="preserve"> </v>
      </c>
      <c r="BU23" s="255" t="str">
        <f t="shared" si="36"/>
        <v xml:space="preserve"> </v>
      </c>
      <c r="BV23" s="255" t="str">
        <f>IF(INDEX('Raw Data'!$A23:$EA23,MATCH(BV$2,RawData[#Headers],))=""," ",INDEX('Raw Data'!$A23:$EA23,MATCH(BV$2,RawData[#Headers],)))</f>
        <v xml:space="preserve"> </v>
      </c>
      <c r="BW23" s="255" t="str">
        <f t="shared" si="37"/>
        <v xml:space="preserve"> </v>
      </c>
      <c r="BX23" s="255" t="str">
        <f>IF(INDEX('Raw Data'!$A23:$EA23,MATCH(BX$2,RawData[#Headers],))=""," ",INDEX('Raw Data'!$A23:$EA23,MATCH(BX$2,RawData[#Headers],)))</f>
        <v xml:space="preserve"> </v>
      </c>
      <c r="BY23" s="255" t="str">
        <f t="shared" si="38"/>
        <v xml:space="preserve"> </v>
      </c>
      <c r="BZ23" s="255" t="str">
        <f>IF(INDEX('Raw Data'!$A23:$EA23,MATCH(BZ$2,RawData[#Headers],))=""," ",INDEX('Raw Data'!$A23:$EA23,MATCH(BZ$2,RawData[#Headers],)))</f>
        <v xml:space="preserve"> </v>
      </c>
      <c r="CA23" s="255" t="str">
        <f t="shared" si="39"/>
        <v xml:space="preserve"> </v>
      </c>
      <c r="CB23" s="255" t="str">
        <f>IF(INDEX('Raw Data'!$A23:$EA23,MATCH(CB$2,RawData[#Headers],))=""," ",INDEX('Raw Data'!$A23:$EA23,MATCH(CB$2,RawData[#Headers],)))</f>
        <v xml:space="preserve"> </v>
      </c>
      <c r="CC23" s="255" t="str">
        <f t="shared" si="40"/>
        <v xml:space="preserve"> </v>
      </c>
      <c r="CD23" s="255" t="str">
        <f>IF(INDEX('Raw Data'!$A23:$EA23,MATCH(CD$2,RawData[#Headers],))=""," ",INDEX('Raw Data'!$A23:$EA23,MATCH(CD$2,RawData[#Headers],)))</f>
        <v xml:space="preserve"> </v>
      </c>
      <c r="CE23" s="255" t="str">
        <f t="shared" si="41"/>
        <v xml:space="preserve"> </v>
      </c>
      <c r="CF23" s="255" t="str">
        <f>IF(INDEX('Raw Data'!$A23:$EA23,MATCH(CF$2,RawData[#Headers],))=""," ",INDEX('Raw Data'!$A23:$EA23,MATCH(CF$2,RawData[#Headers],)))</f>
        <v xml:space="preserve"> </v>
      </c>
      <c r="CG23" s="255" t="str">
        <f t="shared" si="42"/>
        <v xml:space="preserve"> </v>
      </c>
      <c r="CH23" s="255" t="str">
        <f>IF(INDEX('Raw Data'!$A23:$EA23,MATCH(CH$2,RawData[#Headers],))=""," ",INDEX('Raw Data'!$A23:$EA23,MATCH(CH$2,RawData[#Headers],)))</f>
        <v xml:space="preserve"> </v>
      </c>
      <c r="CI23" s="255" t="str">
        <f t="shared" si="43"/>
        <v xml:space="preserve"> </v>
      </c>
      <c r="CJ23" s="255" t="str">
        <f>IF(INDEX('Raw Data'!$A23:$EA23,MATCH(CJ$2,RawData[#Headers],))=""," ",INDEX('Raw Data'!$A23:$EA23,MATCH(CJ$2,RawData[#Headers],)))</f>
        <v xml:space="preserve"> </v>
      </c>
      <c r="CK23" s="255" t="str">
        <f t="shared" si="44"/>
        <v xml:space="preserve"> </v>
      </c>
      <c r="CL23" s="255" t="str">
        <f>IF(INDEX('Raw Data'!$A23:$EA23,MATCH(CL$2,RawData[#Headers],))=""," ",INDEX('Raw Data'!$A23:$EA23,MATCH(CL$2,RawData[#Headers],)))</f>
        <v xml:space="preserve"> </v>
      </c>
      <c r="CM23" s="255" t="str">
        <f t="shared" si="45"/>
        <v xml:space="preserve"> </v>
      </c>
      <c r="CN23" s="255" t="str">
        <f>IF(INDEX('Raw Data'!$A23:$EA23,MATCH(CN$2,RawData[#Headers],))=""," ",INDEX('Raw Data'!$A23:$EA23,MATCH(CN$2,RawData[#Headers],)))</f>
        <v xml:space="preserve"> </v>
      </c>
      <c r="CO23" s="255" t="str">
        <f t="shared" si="46"/>
        <v xml:space="preserve"> </v>
      </c>
      <c r="CP23" s="255" t="str">
        <f>IF(INDEX('Raw Data'!$A23:$EA23,MATCH(CP$2,RawData[#Headers],))=""," ",INDEX('Raw Data'!$A23:$EA23,MATCH(CP$2,RawData[#Headers],)))</f>
        <v xml:space="preserve"> </v>
      </c>
      <c r="CQ23" s="255" t="str">
        <f t="shared" si="47"/>
        <v xml:space="preserve"> </v>
      </c>
      <c r="CR23" s="255" t="str">
        <f>IF(INDEX('Raw Data'!$A23:$EA23,MATCH(CR$2,RawData[#Headers],))=""," ",INDEX('Raw Data'!$A23:$EA23,MATCH(CR$2,RawData[#Headers],)))</f>
        <v xml:space="preserve"> </v>
      </c>
      <c r="CS23" s="255" t="str">
        <f t="shared" si="48"/>
        <v xml:space="preserve"> </v>
      </c>
      <c r="CT23" s="255" t="str">
        <f>IF(INDEX('Raw Data'!$A23:$EA23,MATCH(CT$2,RawData[#Headers],))=""," ",INDEX('Raw Data'!$A23:$EA23,MATCH(CT$2,RawData[#Headers],)))</f>
        <v xml:space="preserve"> </v>
      </c>
      <c r="CU23" s="255" t="str">
        <f t="shared" si="49"/>
        <v xml:space="preserve"> </v>
      </c>
      <c r="CV23" s="255" t="str">
        <f>IF(INDEX('Raw Data'!$A23:$EA23,MATCH(CV$2,RawData[#Headers],))=""," ",INDEX('Raw Data'!$A23:$EA23,MATCH(CV$2,RawData[#Headers],)))</f>
        <v xml:space="preserve"> </v>
      </c>
      <c r="CW23" s="255" t="str">
        <f t="shared" si="50"/>
        <v xml:space="preserve"> </v>
      </c>
      <c r="CX23" s="255" t="str">
        <f>IF(INDEX('Raw Data'!$A23:$EA23,MATCH(CX$2,RawData[#Headers],))=""," ",INDEX('Raw Data'!$A23:$EA23,MATCH(CX$2,RawData[#Headers],)))</f>
        <v xml:space="preserve"> </v>
      </c>
      <c r="CY23" s="255" t="str">
        <f t="shared" si="51"/>
        <v xml:space="preserve"> </v>
      </c>
      <c r="CZ23" s="255" t="str">
        <f>IF(INDEX('Raw Data'!$A23:$EA23,MATCH(CZ$2,RawData[#Headers],))=""," ",INDEX('Raw Data'!$A23:$EA23,MATCH(CZ$2,RawData[#Headers],)))</f>
        <v xml:space="preserve"> </v>
      </c>
      <c r="DA23" s="255" t="str">
        <f t="shared" si="52"/>
        <v xml:space="preserve"> </v>
      </c>
      <c r="DB23" s="255" t="str">
        <f>IF(INDEX('Raw Data'!$A23:$EA23,MATCH(DB$2,RawData[#Headers],))=""," ",INDEX('Raw Data'!$A23:$EA23,MATCH(DB$2,RawData[#Headers],)))</f>
        <v xml:space="preserve"> </v>
      </c>
      <c r="DC23" s="255" t="str">
        <f t="shared" si="53"/>
        <v xml:space="preserve"> </v>
      </c>
      <c r="DD23" s="255" t="str">
        <f>IF(INDEX('Raw Data'!$A23:$EA23,MATCH(DD$2,RawData[#Headers],))=""," ",INDEX('Raw Data'!$A23:$EA23,MATCH(DD$2,RawData[#Headers],)))</f>
        <v xml:space="preserve"> </v>
      </c>
      <c r="DE23" s="255" t="str">
        <f t="shared" si="54"/>
        <v xml:space="preserve"> </v>
      </c>
      <c r="DF23" s="255" t="str">
        <f>IF(INDEX('Raw Data'!$A23:$EA23,MATCH(DF$2,RawData[#Headers],))=""," ",INDEX('Raw Data'!$A23:$EA23,MATCH(DF$2,RawData[#Headers],)))</f>
        <v xml:space="preserve"> </v>
      </c>
      <c r="DG23" s="255" t="str">
        <f t="shared" si="55"/>
        <v xml:space="preserve"> </v>
      </c>
      <c r="DH23" s="255" t="str">
        <f>IF(INDEX('Raw Data'!$A23:$EA23,MATCH(DH$2,RawData[#Headers],))=""," ",INDEX('Raw Data'!$A23:$EA23,MATCH(DH$2,RawData[#Headers],)))</f>
        <v xml:space="preserve"> </v>
      </c>
      <c r="DI23" s="255" t="str">
        <f t="shared" si="56"/>
        <v xml:space="preserve"> </v>
      </c>
      <c r="DJ23" s="255" t="str">
        <f>IF(INDEX('Raw Data'!$A23:$EA23,MATCH(DJ$2,RawData[#Headers],))=""," ",INDEX('Raw Data'!$A23:$EA23,MATCH(DJ$2,RawData[#Headers],)))</f>
        <v xml:space="preserve"> </v>
      </c>
      <c r="DK23" s="255" t="str">
        <f t="shared" si="57"/>
        <v xml:space="preserve"> </v>
      </c>
      <c r="DL23" s="255" t="str">
        <f>IF(INDEX('Raw Data'!$A23:$EA23,MATCH(DL$2,RawData[#Headers],))=""," ",INDEX('Raw Data'!$A23:$EA23,MATCH(DL$2,RawData[#Headers],)))</f>
        <v xml:space="preserve"> </v>
      </c>
      <c r="DM23" s="255" t="str">
        <f t="shared" si="58"/>
        <v xml:space="preserve"> </v>
      </c>
      <c r="DN23" s="255" t="str">
        <f>IF(INDEX('Raw Data'!$A23:$EA23,MATCH(DN$2,RawData[#Headers],))=""," ",INDEX('Raw Data'!$A23:$EA23,MATCH(DN$2,RawData[#Headers],)))</f>
        <v xml:space="preserve"> </v>
      </c>
      <c r="DO23" s="255" t="str">
        <f t="shared" si="59"/>
        <v xml:space="preserve"> </v>
      </c>
      <c r="DP23" s="255" t="str">
        <f>IF(INDEX('Raw Data'!$A23:$EA23,MATCH(DP$2,RawData[#Headers],))=""," ",INDEX('Raw Data'!$A23:$EA23,MATCH(DP$2,RawData[#Headers],)))</f>
        <v xml:space="preserve"> </v>
      </c>
      <c r="DQ23" s="255" t="str">
        <f t="shared" si="60"/>
        <v xml:space="preserve"> </v>
      </c>
      <c r="DR23" s="255" t="str">
        <f>IF(INDEX('Raw Data'!$A23:$EA23,MATCH(DR$2,RawData[#Headers],))=""," ",INDEX('Raw Data'!$A23:$EA23,MATCH(DR$2,RawData[#Headers],)))</f>
        <v xml:space="preserve"> </v>
      </c>
      <c r="DS23" s="255" t="str">
        <f t="shared" si="61"/>
        <v xml:space="preserve"> </v>
      </c>
      <c r="DT23" s="255" t="str">
        <f>IF(INDEX('Raw Data'!$A23:$EA23,MATCH(DT$2,RawData[#Headers],))=""," ",INDEX('Raw Data'!$A23:$EA23,MATCH(DT$2,RawData[#Headers],)))</f>
        <v xml:space="preserve"> </v>
      </c>
      <c r="DU23" s="255" t="str">
        <f t="shared" si="62"/>
        <v xml:space="preserve"> </v>
      </c>
      <c r="DV23" s="255" t="str">
        <f>IF(INDEX('Raw Data'!$A23:$EA23,MATCH(DV$2,RawData[#Headers],))=""," ",INDEX('Raw Data'!$A23:$EA23,MATCH(DV$2,RawData[#Headers],)))</f>
        <v xml:space="preserve"> </v>
      </c>
      <c r="DW23" s="255" t="str">
        <f t="shared" si="63"/>
        <v xml:space="preserve"> </v>
      </c>
      <c r="DX23" s="255" t="str">
        <f>IF(INDEX('Raw Data'!$A23:$EA23,MATCH(DX$2,RawData[#Headers],))=""," ",INDEX('Raw Data'!$A23:$EA23,MATCH(DX$2,RawData[#Headers],)))</f>
        <v xml:space="preserve"> </v>
      </c>
      <c r="DY23" s="255" t="str">
        <f t="shared" si="64"/>
        <v xml:space="preserve"> </v>
      </c>
      <c r="DZ23" s="255" t="str">
        <f>IF(INDEX('Raw Data'!$A23:$EA23,MATCH(DZ$2,RawData[#Headers],))=""," ",INDEX('Raw Data'!$A23:$EA23,MATCH(DZ$2,RawData[#Headers],)))</f>
        <v xml:space="preserve"> </v>
      </c>
      <c r="EA23" s="255" t="str">
        <f t="shared" si="65"/>
        <v xml:space="preserve"> </v>
      </c>
      <c r="EB23" s="255" t="str">
        <f>IF(INDEX('Raw Data'!$A23:$EA23,MATCH(EB$2,RawData[#Headers],))=""," ",INDEX('Raw Data'!$A23:$EA23,MATCH(EB$2,RawData[#Headers],)))</f>
        <v xml:space="preserve"> </v>
      </c>
      <c r="EC23" s="255" t="str">
        <f t="shared" si="66"/>
        <v xml:space="preserve"> </v>
      </c>
      <c r="ED23" s="255" t="str">
        <f>IF(INDEX('Raw Data'!$A23:$EA23,MATCH(ED$2,RawData[#Headers],))=""," ",INDEX('Raw Data'!$A23:$EA23,MATCH(ED$2,RawData[#Headers],)))</f>
        <v xml:space="preserve"> </v>
      </c>
      <c r="EE23" s="255" t="str">
        <f t="shared" si="67"/>
        <v xml:space="preserve"> </v>
      </c>
      <c r="EF23" s="255" t="str">
        <f>IF(INDEX('Raw Data'!$A23:$EA23,MATCH(EF$2,RawData[#Headers],))=""," ",INDEX('Raw Data'!$A23:$EA23,MATCH(EF$2,RawData[#Headers],)))</f>
        <v xml:space="preserve"> </v>
      </c>
      <c r="EG23" s="255" t="str">
        <f t="shared" si="68"/>
        <v xml:space="preserve"> </v>
      </c>
      <c r="EH23" s="255" t="str">
        <f>IF(INDEX('Raw Data'!$A23:$EA23,MATCH(EH$2,RawData[#Headers],))=""," ",INDEX('Raw Data'!$A23:$EA23,MATCH(EH$2,RawData[#Headers],)))</f>
        <v xml:space="preserve"> </v>
      </c>
      <c r="EI23" s="255" t="str">
        <f t="shared" si="69"/>
        <v xml:space="preserve"> </v>
      </c>
      <c r="EJ23" s="255" t="str">
        <f>IF(INDEX('Raw Data'!$A23:$EA23,MATCH(EJ$2,RawData[#Headers],))=""," ",INDEX('Raw Data'!$A23:$EA23,MATCH(EJ$2,RawData[#Headers],)))</f>
        <v xml:space="preserve"> </v>
      </c>
      <c r="EK23" s="255" t="str">
        <f t="shared" si="70"/>
        <v xml:space="preserve"> </v>
      </c>
      <c r="EL23" s="255" t="str">
        <f>IF(INDEX('Raw Data'!$A23:$EA23,MATCH(EL$2,RawData[#Headers],))=""," ",INDEX('Raw Data'!$A23:$EA23,MATCH(EL$2,RawData[#Headers],)))</f>
        <v xml:space="preserve"> </v>
      </c>
      <c r="EM23" s="255" t="str">
        <f t="shared" si="71"/>
        <v xml:space="preserve"> </v>
      </c>
      <c r="EN23" s="255" t="str">
        <f>IF(INDEX('Raw Data'!$A23:$EA23,MATCH(EN$2,RawData[#Headers],))=""," ",INDEX('Raw Data'!$A23:$EA23,MATCH(EN$2,RawData[#Headers],)))</f>
        <v xml:space="preserve"> </v>
      </c>
      <c r="EO23" s="255" t="str">
        <f t="shared" si="72"/>
        <v xml:space="preserve"> </v>
      </c>
      <c r="EP23" s="255" t="str">
        <f>IF(INDEX('Raw Data'!$A23:$EA23,MATCH(EP$2,RawData[#Headers],))=""," ",INDEX('Raw Data'!$A23:$EA23,MATCH(EP$2,RawData[#Headers],)))</f>
        <v xml:space="preserve"> </v>
      </c>
      <c r="EQ23" s="255" t="str">
        <f t="shared" si="73"/>
        <v xml:space="preserve"> </v>
      </c>
      <c r="ER23" s="255" t="str">
        <f>IF(INDEX('Raw Data'!$A23:$EA23,MATCH(ER$2,RawData[#Headers],))=""," ",INDEX('Raw Data'!$A23:$EA23,MATCH(ER$2,RawData[#Headers],)))</f>
        <v xml:space="preserve"> </v>
      </c>
      <c r="ES23" s="255" t="str">
        <f t="shared" si="2"/>
        <v xml:space="preserve"> </v>
      </c>
      <c r="ET23" s="255" t="str">
        <f>IF(INDEX('Raw Data'!$A23:$EA23,MATCH(ET$2,RawData[#Headers],))=""," ",INDEX('Raw Data'!$A23:$EA23,MATCH(ET$2,RawData[#Headers],)))</f>
        <v xml:space="preserve"> </v>
      </c>
      <c r="EU23" s="255" t="str">
        <f t="shared" si="3"/>
        <v xml:space="preserve"> </v>
      </c>
      <c r="EV23" s="255" t="str">
        <f>IF(INDEX('Raw Data'!$A23:$EA23,MATCH(EV$2,RawData[#Headers],))=""," ",INDEX('Raw Data'!$A23:$EA23,MATCH(EV$2,RawData[#Headers],)))</f>
        <v xml:space="preserve"> </v>
      </c>
      <c r="EW23" s="255" t="str">
        <f t="shared" si="4"/>
        <v xml:space="preserve"> </v>
      </c>
      <c r="EX23" s="255" t="str">
        <f>IF(INDEX('Raw Data'!$A23:$EA23,MATCH(EX$2,RawData[#Headers],))=""," ",INDEX('Raw Data'!$A23:$EA23,MATCH(EX$2,RawData[#Headers],)))</f>
        <v xml:space="preserve"> </v>
      </c>
      <c r="EY23" s="255" t="str">
        <f t="shared" si="74"/>
        <v xml:space="preserve"> </v>
      </c>
      <c r="EZ23" s="276" t="str">
        <f>IF(INDEX('Raw Data'!$A23:$EA23,MATCH(EZ$2,RawData[#Headers],))=""," ",INDEX('Raw Data'!$A23:$EA23,MATCH(EZ$2,RawData[#Headers],)))</f>
        <v xml:space="preserve"> </v>
      </c>
      <c r="FA23" s="255" t="str">
        <f t="shared" si="75"/>
        <v xml:space="preserve"> </v>
      </c>
      <c r="FB23" s="255" t="str">
        <f>IF(INDEX('Raw Data'!$A23:$EA23,MATCH(FB$2,RawData[#Headers],))=""," ",INDEX('Raw Data'!$A23:$EA23,MATCH(FB$2,RawData[#Headers],)))</f>
        <v xml:space="preserve"> </v>
      </c>
    </row>
    <row r="24" spans="1:158" x14ac:dyDescent="0.3">
      <c r="A24" s="255">
        <f>RawData[[#This Row],[Num]]</f>
        <v>0</v>
      </c>
      <c r="B24" s="255" t="str">
        <f>IF(INDEX('Raw Data'!$A24:$EA24,MATCH(B$2,RawData[#Headers],))=""," ",INDEX('Raw Data'!$A24:$EA24,MATCH(B$2,RawData[#Headers],)))</f>
        <v xml:space="preserve"> </v>
      </c>
      <c r="C24" s="326" t="str">
        <f>IFERROR(STANDARDIZE(machina[[#This Row],[Career Strike Rate]],B$30,B$31)^2," ")</f>
        <v xml:space="preserve"> </v>
      </c>
      <c r="D24" s="255" t="str">
        <f>IF(INDEX('Raw Data'!$A24:$EA24,MATCH(D$2,RawData[#Headers],))=""," ",INDEX('Raw Data'!$A24:$EA24,MATCH(D$2,RawData[#Headers],)))</f>
        <v xml:space="preserve"> </v>
      </c>
      <c r="E24" s="326" t="str">
        <f>IFERROR(STANDARDIZE(machina[[#This Row],[Career ROI]],D$30,D$31)^2," ")</f>
        <v xml:space="preserve"> </v>
      </c>
      <c r="F24" s="255" t="str">
        <f>IF(INDEX('Raw Data'!$A24:$EA24,MATCH(F$2,RawData[#Headers],))=""," ",INDEX('Raw Data'!$A24:$EA24,MATCH(F$2,RawData[#Headers],)))</f>
        <v xml:space="preserve"> </v>
      </c>
      <c r="G24" s="255" t="str">
        <f t="shared" si="5"/>
        <v xml:space="preserve"> </v>
      </c>
      <c r="H24" s="255" t="str">
        <f>IF(INDEX('Raw Data'!$A24:$EA24,MATCH(H$2,RawData[#Headers],))=""," ",INDEX('Raw Data'!$A24:$EA24,MATCH(H$2,RawData[#Headers],)))</f>
        <v xml:space="preserve"> </v>
      </c>
      <c r="I24" s="255" t="str">
        <f t="shared" si="6"/>
        <v xml:space="preserve"> </v>
      </c>
      <c r="J24" s="255" t="str">
        <f>IF(INDEX('Raw Data'!$A24:$EA24,MATCH(J$2,RawData[#Headers],))=""," ",INDEX('Raw Data'!$A24:$EA24,MATCH(J$2,RawData[#Headers],)))</f>
        <v xml:space="preserve"> </v>
      </c>
      <c r="K24" s="255" t="str">
        <f t="shared" si="7"/>
        <v xml:space="preserve"> </v>
      </c>
      <c r="L24" s="255" t="str">
        <f>IF(INDEX('Raw Data'!$A24:$EA24,MATCH(L$2,RawData[#Headers],))=""," ",INDEX('Raw Data'!$A24:$EA24,MATCH(L$2,RawData[#Headers],)))</f>
        <v xml:space="preserve"> </v>
      </c>
      <c r="M24" s="255" t="str">
        <f t="shared" si="0"/>
        <v xml:space="preserve"> </v>
      </c>
      <c r="N24" s="255" t="str">
        <f>IF(INDEX('Raw Data'!$A24:$EA24,MATCH(N$2,RawData[#Headers],))=""," ",INDEX('Raw Data'!$A24:$EA24,MATCH(N$2,RawData[#Headers],)))</f>
        <v xml:space="preserve"> </v>
      </c>
      <c r="O24" s="255" t="str">
        <f t="shared" si="0"/>
        <v xml:space="preserve"> </v>
      </c>
      <c r="P24" s="255" t="str">
        <f>IF(INDEX('Raw Data'!$A24:$EA24,MATCH(P$2,RawData[#Headers],))=""," ",INDEX('Raw Data'!$A24:$EA24,MATCH(P$2,RawData[#Headers],)))</f>
        <v xml:space="preserve"> </v>
      </c>
      <c r="Q24" s="255" t="str">
        <f t="shared" ref="Q24" si="95">IF(ISERROR(IF(P24=""," ",RANK(P24,P$3:P$28,1)))," ",IF(P24=""," ",RANK(P24,P$3:P$28,1)))</f>
        <v xml:space="preserve"> </v>
      </c>
      <c r="R24" s="255" t="str">
        <f>IF(INDEX('Raw Data'!$A24:$EA24,MATCH(R$2,RawData[#Headers],))=""," ",INDEX('Raw Data'!$A24:$EA24,MATCH(R$2,RawData[#Headers],)))</f>
        <v xml:space="preserve"> </v>
      </c>
      <c r="S24" s="255" t="str">
        <f t="shared" si="9"/>
        <v xml:space="preserve"> </v>
      </c>
      <c r="T24" s="255" t="str">
        <f>IF(INDEX('Raw Data'!$A24:$EA24,MATCH(T$2,RawData[#Headers],))=""," ",INDEX('Raw Data'!$A24:$EA24,MATCH(T$2,RawData[#Headers],)))</f>
        <v xml:space="preserve"> </v>
      </c>
      <c r="U24" s="255" t="str">
        <f t="shared" si="10"/>
        <v xml:space="preserve"> </v>
      </c>
      <c r="V24" s="255" t="str">
        <f>IF(INDEX('Raw Data'!$A24:$EA24,MATCH(V$2,RawData[#Headers],))=""," ",INDEX('Raw Data'!$A24:$EA24,MATCH(V$2,RawData[#Headers],)))</f>
        <v xml:space="preserve"> </v>
      </c>
      <c r="W24" s="255" t="str">
        <f t="shared" si="11"/>
        <v xml:space="preserve"> </v>
      </c>
      <c r="X24" s="255" t="str">
        <f>IF(INDEX('Raw Data'!$A24:$EA24,MATCH(X$2,RawData[#Headers],))=""," ",INDEX('Raw Data'!$A24:$EA24,MATCH(X$2,RawData[#Headers],)))</f>
        <v xml:space="preserve"> </v>
      </c>
      <c r="Y24" s="255" t="str">
        <f t="shared" si="12"/>
        <v xml:space="preserve"> </v>
      </c>
      <c r="Z24" s="255" t="str">
        <f>IF(INDEX('Raw Data'!$A24:$EA24,MATCH(Z$2,RawData[#Headers],))=""," ",INDEX('Raw Data'!$A24:$EA24,MATCH(Z$2,RawData[#Headers],)))</f>
        <v xml:space="preserve"> </v>
      </c>
      <c r="AA24" s="255" t="str">
        <f t="shared" si="13"/>
        <v xml:space="preserve"> </v>
      </c>
      <c r="AB24" s="255" t="str">
        <f>IF(INDEX('Raw Data'!$A24:$EA24,MATCH(AB$2,RawData[#Headers],))=""," ",INDEX('Raw Data'!$A24:$EA24,MATCH(AB$2,RawData[#Headers],)))</f>
        <v xml:space="preserve"> </v>
      </c>
      <c r="AC24" s="255" t="str">
        <f t="shared" si="14"/>
        <v xml:space="preserve"> </v>
      </c>
      <c r="AD24" s="255" t="str">
        <f>IF(INDEX('Raw Data'!$A24:$EA24,MATCH(AD$2,RawData[#Headers],))=""," ",INDEX('Raw Data'!$A24:$EA24,MATCH(AD$2,RawData[#Headers],)))</f>
        <v xml:space="preserve"> </v>
      </c>
      <c r="AE24" s="255" t="str">
        <f t="shared" si="15"/>
        <v xml:space="preserve"> </v>
      </c>
      <c r="AF24" s="255" t="str">
        <f>IF(INDEX('Raw Data'!$A24:$EA24,MATCH(AF$2,RawData[#Headers],))=""," ",INDEX('Raw Data'!$A24:$EA24,MATCH(AF$2,RawData[#Headers],)))</f>
        <v xml:space="preserve"> </v>
      </c>
      <c r="AG24" s="255" t="str">
        <f t="shared" si="16"/>
        <v xml:space="preserve"> </v>
      </c>
      <c r="AH24" s="255" t="str">
        <f>IF(INDEX('Raw Data'!$A24:$EA24,MATCH(AH$2,RawData[#Headers],))=""," ",INDEX('Raw Data'!$A24:$EA24,MATCH(AH$2,RawData[#Headers],)))</f>
        <v xml:space="preserve"> </v>
      </c>
      <c r="AI24" s="255" t="str">
        <f t="shared" si="17"/>
        <v xml:space="preserve"> </v>
      </c>
      <c r="AJ24" s="255" t="str">
        <f>IF(INDEX('Raw Data'!$A24:$EA24,MATCH(AJ$2,RawData[#Headers],))=""," ",INDEX('Raw Data'!$A24:$EA24,MATCH(AJ$2,RawData[#Headers],)))</f>
        <v xml:space="preserve"> </v>
      </c>
      <c r="AK24" s="255" t="str">
        <f t="shared" si="18"/>
        <v xml:space="preserve"> </v>
      </c>
      <c r="AL24" s="255" t="str">
        <f>IF(INDEX('Raw Data'!$A24:$EA24,MATCH(AL$2,RawData[#Headers],))=""," ",INDEX('Raw Data'!$A24:$EA24,MATCH(AL$2,RawData[#Headers],)))</f>
        <v xml:space="preserve"> </v>
      </c>
      <c r="AM24" s="255" t="str">
        <f t="shared" si="19"/>
        <v xml:space="preserve"> </v>
      </c>
      <c r="AN24" s="255" t="str">
        <f>IF(INDEX('Raw Data'!$A24:$EA24,MATCH(AN$2,RawData[#Headers],))=""," ",INDEX('Raw Data'!$A24:$EA24,MATCH(AN$2,RawData[#Headers],)))</f>
        <v xml:space="preserve"> </v>
      </c>
      <c r="AO24" s="255" t="str">
        <f t="shared" si="20"/>
        <v xml:space="preserve"> </v>
      </c>
      <c r="AP24" s="255" t="str">
        <f>IF(INDEX('Raw Data'!$A24:$EA24,MATCH(AP$2,RawData[#Headers],))=""," ",INDEX('Raw Data'!$A24:$EA24,MATCH(AP$2,RawData[#Headers],)))</f>
        <v xml:space="preserve"> </v>
      </c>
      <c r="AQ24" s="255" t="str">
        <f t="shared" si="21"/>
        <v xml:space="preserve"> </v>
      </c>
      <c r="AR24" s="255" t="str">
        <f>IF(INDEX('Raw Data'!$A24:$EA24,MATCH(AR$2,RawData[#Headers],))=""," ",INDEX('Raw Data'!$A24:$EA24,MATCH(AR$2,RawData[#Headers],)))</f>
        <v xml:space="preserve"> </v>
      </c>
      <c r="AS24" s="255" t="str">
        <f t="shared" si="22"/>
        <v xml:space="preserve"> </v>
      </c>
      <c r="AT24" s="255" t="str">
        <f>IF(INDEX('Raw Data'!$A24:$EA24,MATCH(AT$2,RawData[#Headers],))=""," ",INDEX('Raw Data'!$A24:$EA24,MATCH(AT$2,RawData[#Headers],)))</f>
        <v xml:space="preserve"> </v>
      </c>
      <c r="AU24" s="255" t="str">
        <f t="shared" si="23"/>
        <v xml:space="preserve"> </v>
      </c>
      <c r="AV24" s="255" t="str">
        <f>IF(INDEX('Raw Data'!$A24:$EA24,MATCH(AV$2,RawData[#Headers],))=""," ",INDEX('Raw Data'!$A24:$EA24,MATCH(AV$2,RawData[#Headers],)))</f>
        <v xml:space="preserve"> </v>
      </c>
      <c r="AW24" s="255" t="str">
        <f t="shared" si="24"/>
        <v xml:space="preserve"> </v>
      </c>
      <c r="AX24" s="255" t="str">
        <f>IF(INDEX('Raw Data'!$A24:$EA24,MATCH(AX$2,RawData[#Headers],))=""," ",INDEX('Raw Data'!$A24:$EA24,MATCH(AX$2,RawData[#Headers],)))</f>
        <v xml:space="preserve"> </v>
      </c>
      <c r="AY24" s="255" t="str">
        <f t="shared" si="25"/>
        <v xml:space="preserve"> </v>
      </c>
      <c r="AZ24" s="255" t="str">
        <f>IF(INDEX('Raw Data'!$A24:$EA24,MATCH(AZ$2,RawData[#Headers],))=""," ",INDEX('Raw Data'!$A24:$EA24,MATCH(AZ$2,RawData[#Headers],)))</f>
        <v xml:space="preserve"> </v>
      </c>
      <c r="BA24" s="255" t="str">
        <f t="shared" si="26"/>
        <v xml:space="preserve"> </v>
      </c>
      <c r="BB24" s="255" t="str">
        <f>IF(INDEX('Raw Data'!$A24:$EA24,MATCH(BB$2,RawData[#Headers],))=""," ",INDEX('Raw Data'!$A24:$EA24,MATCH(BB$2,RawData[#Headers],)))</f>
        <v xml:space="preserve"> </v>
      </c>
      <c r="BC24" s="255" t="str">
        <f t="shared" si="27"/>
        <v xml:space="preserve"> </v>
      </c>
      <c r="BD24" s="255" t="str">
        <f>IF(INDEX('Raw Data'!$A24:$EA24,MATCH(BD$2,RawData[#Headers],))=""," ",INDEX('Raw Data'!$A24:$EA24,MATCH(BD$2,RawData[#Headers],)))</f>
        <v xml:space="preserve"> </v>
      </c>
      <c r="BE24" s="255" t="str">
        <f t="shared" si="28"/>
        <v xml:space="preserve"> </v>
      </c>
      <c r="BF24" s="255" t="str">
        <f>IF(INDEX('Raw Data'!$A24:$EA24,MATCH(BF$2,RawData[#Headers],))=""," ",INDEX('Raw Data'!$A24:$EA24,MATCH(BF$2,RawData[#Headers],)))</f>
        <v xml:space="preserve"> </v>
      </c>
      <c r="BG24" s="255" t="str">
        <f t="shared" si="29"/>
        <v xml:space="preserve"> </v>
      </c>
      <c r="BH24" s="255" t="str">
        <f>IF(INDEX('Raw Data'!$A24:$EA24,MATCH(BH$2,RawData[#Headers],))=""," ",INDEX('Raw Data'!$A24:$EA24,MATCH(BH$2,RawData[#Headers],)))</f>
        <v xml:space="preserve"> </v>
      </c>
      <c r="BI24" s="255" t="str">
        <f t="shared" si="30"/>
        <v xml:space="preserve"> </v>
      </c>
      <c r="BJ24" s="255" t="str">
        <f>IF(INDEX('Raw Data'!$A24:$EA24,MATCH(BJ$2,RawData[#Headers],))=""," ",INDEX('Raw Data'!$A24:$EA24,MATCH(BJ$2,RawData[#Headers],)))</f>
        <v xml:space="preserve"> </v>
      </c>
      <c r="BK24" s="255" t="str">
        <f t="shared" si="31"/>
        <v xml:space="preserve"> </v>
      </c>
      <c r="BL24" s="255" t="str">
        <f>IF(INDEX('Raw Data'!$A24:$EA24,MATCH(BL$2,RawData[#Headers],))=""," ",INDEX('Raw Data'!$A24:$EA24,MATCH(BL$2,RawData[#Headers],)))</f>
        <v xml:space="preserve"> </v>
      </c>
      <c r="BM24" s="255" t="str">
        <f t="shared" si="32"/>
        <v xml:space="preserve"> </v>
      </c>
      <c r="BN24" s="255" t="str">
        <f>IF(INDEX('Raw Data'!$A24:$EA24,MATCH(BN$2,RawData[#Headers],))=""," ",INDEX('Raw Data'!$A24:$EA24,MATCH(BN$2,RawData[#Headers],)))</f>
        <v xml:space="preserve"> </v>
      </c>
      <c r="BO24" s="255" t="str">
        <f t="shared" si="33"/>
        <v xml:space="preserve"> </v>
      </c>
      <c r="BP24" s="255" t="str">
        <f>IF(INDEX('Raw Data'!$A24:$EA24,MATCH(BP$2,RawData[#Headers],))=""," ",INDEX('Raw Data'!$A24:$EA24,MATCH(BP$2,RawData[#Headers],)))</f>
        <v xml:space="preserve"> </v>
      </c>
      <c r="BQ24" s="255" t="str">
        <f t="shared" si="34"/>
        <v xml:space="preserve"> </v>
      </c>
      <c r="BR24" s="255" t="str">
        <f>IF(INDEX('Raw Data'!$A24:$EA24,MATCH(BR$2,RawData[#Headers],))=""," ",INDEX('Raw Data'!$A24:$EA24,MATCH(BR$2,RawData[#Headers],)))</f>
        <v xml:space="preserve"> </v>
      </c>
      <c r="BS24" s="255" t="str">
        <f t="shared" si="35"/>
        <v xml:space="preserve"> </v>
      </c>
      <c r="BT24" s="255" t="str">
        <f>IF(INDEX('Raw Data'!$A24:$EA24,MATCH(BT$2,RawData[#Headers],))=""," ",INDEX('Raw Data'!$A24:$EA24,MATCH(BT$2,RawData[#Headers],)))</f>
        <v xml:space="preserve"> </v>
      </c>
      <c r="BU24" s="255" t="str">
        <f t="shared" si="36"/>
        <v xml:space="preserve"> </v>
      </c>
      <c r="BV24" s="255" t="str">
        <f>IF(INDEX('Raw Data'!$A24:$EA24,MATCH(BV$2,RawData[#Headers],))=""," ",INDEX('Raw Data'!$A24:$EA24,MATCH(BV$2,RawData[#Headers],)))</f>
        <v xml:space="preserve"> </v>
      </c>
      <c r="BW24" s="255" t="str">
        <f t="shared" si="37"/>
        <v xml:space="preserve"> </v>
      </c>
      <c r="BX24" s="255" t="str">
        <f>IF(INDEX('Raw Data'!$A24:$EA24,MATCH(BX$2,RawData[#Headers],))=""," ",INDEX('Raw Data'!$A24:$EA24,MATCH(BX$2,RawData[#Headers],)))</f>
        <v xml:space="preserve"> </v>
      </c>
      <c r="BY24" s="255" t="str">
        <f t="shared" si="38"/>
        <v xml:space="preserve"> </v>
      </c>
      <c r="BZ24" s="255" t="str">
        <f>IF(INDEX('Raw Data'!$A24:$EA24,MATCH(BZ$2,RawData[#Headers],))=""," ",INDEX('Raw Data'!$A24:$EA24,MATCH(BZ$2,RawData[#Headers],)))</f>
        <v xml:space="preserve"> </v>
      </c>
      <c r="CA24" s="255" t="str">
        <f t="shared" si="39"/>
        <v xml:space="preserve"> </v>
      </c>
      <c r="CB24" s="255" t="str">
        <f>IF(INDEX('Raw Data'!$A24:$EA24,MATCH(CB$2,RawData[#Headers],))=""," ",INDEX('Raw Data'!$A24:$EA24,MATCH(CB$2,RawData[#Headers],)))</f>
        <v xml:space="preserve"> </v>
      </c>
      <c r="CC24" s="255" t="str">
        <f t="shared" si="40"/>
        <v xml:space="preserve"> </v>
      </c>
      <c r="CD24" s="255" t="str">
        <f>IF(INDEX('Raw Data'!$A24:$EA24,MATCH(CD$2,RawData[#Headers],))=""," ",INDEX('Raw Data'!$A24:$EA24,MATCH(CD$2,RawData[#Headers],)))</f>
        <v xml:space="preserve"> </v>
      </c>
      <c r="CE24" s="255" t="str">
        <f t="shared" si="41"/>
        <v xml:space="preserve"> </v>
      </c>
      <c r="CF24" s="255" t="str">
        <f>IF(INDEX('Raw Data'!$A24:$EA24,MATCH(CF$2,RawData[#Headers],))=""," ",INDEX('Raw Data'!$A24:$EA24,MATCH(CF$2,RawData[#Headers],)))</f>
        <v xml:space="preserve"> </v>
      </c>
      <c r="CG24" s="255" t="str">
        <f t="shared" si="42"/>
        <v xml:space="preserve"> </v>
      </c>
      <c r="CH24" s="255" t="str">
        <f>IF(INDEX('Raw Data'!$A24:$EA24,MATCH(CH$2,RawData[#Headers],))=""," ",INDEX('Raw Data'!$A24:$EA24,MATCH(CH$2,RawData[#Headers],)))</f>
        <v xml:space="preserve"> </v>
      </c>
      <c r="CI24" s="255" t="str">
        <f t="shared" si="43"/>
        <v xml:space="preserve"> </v>
      </c>
      <c r="CJ24" s="255" t="str">
        <f>IF(INDEX('Raw Data'!$A24:$EA24,MATCH(CJ$2,RawData[#Headers],))=""," ",INDEX('Raw Data'!$A24:$EA24,MATCH(CJ$2,RawData[#Headers],)))</f>
        <v xml:space="preserve"> </v>
      </c>
      <c r="CK24" s="255" t="str">
        <f t="shared" si="44"/>
        <v xml:space="preserve"> </v>
      </c>
      <c r="CL24" s="255" t="str">
        <f>IF(INDEX('Raw Data'!$A24:$EA24,MATCH(CL$2,RawData[#Headers],))=""," ",INDEX('Raw Data'!$A24:$EA24,MATCH(CL$2,RawData[#Headers],)))</f>
        <v xml:space="preserve"> </v>
      </c>
      <c r="CM24" s="255" t="str">
        <f t="shared" si="45"/>
        <v xml:space="preserve"> </v>
      </c>
      <c r="CN24" s="255" t="str">
        <f>IF(INDEX('Raw Data'!$A24:$EA24,MATCH(CN$2,RawData[#Headers],))=""," ",INDEX('Raw Data'!$A24:$EA24,MATCH(CN$2,RawData[#Headers],)))</f>
        <v xml:space="preserve"> </v>
      </c>
      <c r="CO24" s="255" t="str">
        <f t="shared" si="46"/>
        <v xml:space="preserve"> </v>
      </c>
      <c r="CP24" s="255" t="str">
        <f>IF(INDEX('Raw Data'!$A24:$EA24,MATCH(CP$2,RawData[#Headers],))=""," ",INDEX('Raw Data'!$A24:$EA24,MATCH(CP$2,RawData[#Headers],)))</f>
        <v xml:space="preserve"> </v>
      </c>
      <c r="CQ24" s="255" t="str">
        <f t="shared" si="47"/>
        <v xml:space="preserve"> </v>
      </c>
      <c r="CR24" s="255" t="str">
        <f>IF(INDEX('Raw Data'!$A24:$EA24,MATCH(CR$2,RawData[#Headers],))=""," ",INDEX('Raw Data'!$A24:$EA24,MATCH(CR$2,RawData[#Headers],)))</f>
        <v xml:space="preserve"> </v>
      </c>
      <c r="CS24" s="255" t="str">
        <f t="shared" si="48"/>
        <v xml:space="preserve"> </v>
      </c>
      <c r="CT24" s="255" t="str">
        <f>IF(INDEX('Raw Data'!$A24:$EA24,MATCH(CT$2,RawData[#Headers],))=""," ",INDEX('Raw Data'!$A24:$EA24,MATCH(CT$2,RawData[#Headers],)))</f>
        <v xml:space="preserve"> </v>
      </c>
      <c r="CU24" s="255" t="str">
        <f t="shared" si="49"/>
        <v xml:space="preserve"> </v>
      </c>
      <c r="CV24" s="255" t="str">
        <f>IF(INDEX('Raw Data'!$A24:$EA24,MATCH(CV$2,RawData[#Headers],))=""," ",INDEX('Raw Data'!$A24:$EA24,MATCH(CV$2,RawData[#Headers],)))</f>
        <v xml:space="preserve"> </v>
      </c>
      <c r="CW24" s="255" t="str">
        <f t="shared" si="50"/>
        <v xml:space="preserve"> </v>
      </c>
      <c r="CX24" s="255" t="str">
        <f>IF(INDEX('Raw Data'!$A24:$EA24,MATCH(CX$2,RawData[#Headers],))=""," ",INDEX('Raw Data'!$A24:$EA24,MATCH(CX$2,RawData[#Headers],)))</f>
        <v xml:space="preserve"> </v>
      </c>
      <c r="CY24" s="255" t="str">
        <f t="shared" si="51"/>
        <v xml:space="preserve"> </v>
      </c>
      <c r="CZ24" s="255" t="str">
        <f>IF(INDEX('Raw Data'!$A24:$EA24,MATCH(CZ$2,RawData[#Headers],))=""," ",INDEX('Raw Data'!$A24:$EA24,MATCH(CZ$2,RawData[#Headers],)))</f>
        <v xml:space="preserve"> </v>
      </c>
      <c r="DA24" s="255" t="str">
        <f t="shared" si="52"/>
        <v xml:space="preserve"> </v>
      </c>
      <c r="DB24" s="255" t="str">
        <f>IF(INDEX('Raw Data'!$A24:$EA24,MATCH(DB$2,RawData[#Headers],))=""," ",INDEX('Raw Data'!$A24:$EA24,MATCH(DB$2,RawData[#Headers],)))</f>
        <v xml:space="preserve"> </v>
      </c>
      <c r="DC24" s="255" t="str">
        <f t="shared" si="53"/>
        <v xml:space="preserve"> </v>
      </c>
      <c r="DD24" s="255" t="str">
        <f>IF(INDEX('Raw Data'!$A24:$EA24,MATCH(DD$2,RawData[#Headers],))=""," ",INDEX('Raw Data'!$A24:$EA24,MATCH(DD$2,RawData[#Headers],)))</f>
        <v xml:space="preserve"> </v>
      </c>
      <c r="DE24" s="255" t="str">
        <f t="shared" si="54"/>
        <v xml:space="preserve"> </v>
      </c>
      <c r="DF24" s="255" t="str">
        <f>IF(INDEX('Raw Data'!$A24:$EA24,MATCH(DF$2,RawData[#Headers],))=""," ",INDEX('Raw Data'!$A24:$EA24,MATCH(DF$2,RawData[#Headers],)))</f>
        <v xml:space="preserve"> </v>
      </c>
      <c r="DG24" s="255" t="str">
        <f t="shared" si="55"/>
        <v xml:space="preserve"> </v>
      </c>
      <c r="DH24" s="255" t="str">
        <f>IF(INDEX('Raw Data'!$A24:$EA24,MATCH(DH$2,RawData[#Headers],))=""," ",INDEX('Raw Data'!$A24:$EA24,MATCH(DH$2,RawData[#Headers],)))</f>
        <v xml:space="preserve"> </v>
      </c>
      <c r="DI24" s="255" t="str">
        <f t="shared" si="56"/>
        <v xml:space="preserve"> </v>
      </c>
      <c r="DJ24" s="255" t="str">
        <f>IF(INDEX('Raw Data'!$A24:$EA24,MATCH(DJ$2,RawData[#Headers],))=""," ",INDEX('Raw Data'!$A24:$EA24,MATCH(DJ$2,RawData[#Headers],)))</f>
        <v xml:space="preserve"> </v>
      </c>
      <c r="DK24" s="255" t="str">
        <f t="shared" si="57"/>
        <v xml:space="preserve"> </v>
      </c>
      <c r="DL24" s="255" t="str">
        <f>IF(INDEX('Raw Data'!$A24:$EA24,MATCH(DL$2,RawData[#Headers],))=""," ",INDEX('Raw Data'!$A24:$EA24,MATCH(DL$2,RawData[#Headers],)))</f>
        <v xml:space="preserve"> </v>
      </c>
      <c r="DM24" s="255" t="str">
        <f t="shared" si="58"/>
        <v xml:space="preserve"> </v>
      </c>
      <c r="DN24" s="255" t="str">
        <f>IF(INDEX('Raw Data'!$A24:$EA24,MATCH(DN$2,RawData[#Headers],))=""," ",INDEX('Raw Data'!$A24:$EA24,MATCH(DN$2,RawData[#Headers],)))</f>
        <v xml:space="preserve"> </v>
      </c>
      <c r="DO24" s="255" t="str">
        <f t="shared" si="59"/>
        <v xml:space="preserve"> </v>
      </c>
      <c r="DP24" s="255" t="str">
        <f>IF(INDEX('Raw Data'!$A24:$EA24,MATCH(DP$2,RawData[#Headers],))=""," ",INDEX('Raw Data'!$A24:$EA24,MATCH(DP$2,RawData[#Headers],)))</f>
        <v xml:space="preserve"> </v>
      </c>
      <c r="DQ24" s="255" t="str">
        <f t="shared" si="60"/>
        <v xml:space="preserve"> </v>
      </c>
      <c r="DR24" s="255" t="str">
        <f>IF(INDEX('Raw Data'!$A24:$EA24,MATCH(DR$2,RawData[#Headers],))=""," ",INDEX('Raw Data'!$A24:$EA24,MATCH(DR$2,RawData[#Headers],)))</f>
        <v xml:space="preserve"> </v>
      </c>
      <c r="DS24" s="255" t="str">
        <f t="shared" si="61"/>
        <v xml:space="preserve"> </v>
      </c>
      <c r="DT24" s="255" t="str">
        <f>IF(INDEX('Raw Data'!$A24:$EA24,MATCH(DT$2,RawData[#Headers],))=""," ",INDEX('Raw Data'!$A24:$EA24,MATCH(DT$2,RawData[#Headers],)))</f>
        <v xml:space="preserve"> </v>
      </c>
      <c r="DU24" s="255" t="str">
        <f t="shared" si="62"/>
        <v xml:space="preserve"> </v>
      </c>
      <c r="DV24" s="255" t="str">
        <f>IF(INDEX('Raw Data'!$A24:$EA24,MATCH(DV$2,RawData[#Headers],))=""," ",INDEX('Raw Data'!$A24:$EA24,MATCH(DV$2,RawData[#Headers],)))</f>
        <v xml:space="preserve"> </v>
      </c>
      <c r="DW24" s="255" t="str">
        <f t="shared" si="63"/>
        <v xml:space="preserve"> </v>
      </c>
      <c r="DX24" s="255" t="str">
        <f>IF(INDEX('Raw Data'!$A24:$EA24,MATCH(DX$2,RawData[#Headers],))=""," ",INDEX('Raw Data'!$A24:$EA24,MATCH(DX$2,RawData[#Headers],)))</f>
        <v xml:space="preserve"> </v>
      </c>
      <c r="DY24" s="255" t="str">
        <f t="shared" si="64"/>
        <v xml:space="preserve"> </v>
      </c>
      <c r="DZ24" s="255" t="str">
        <f>IF(INDEX('Raw Data'!$A24:$EA24,MATCH(DZ$2,RawData[#Headers],))=""," ",INDEX('Raw Data'!$A24:$EA24,MATCH(DZ$2,RawData[#Headers],)))</f>
        <v xml:space="preserve"> </v>
      </c>
      <c r="EA24" s="255" t="str">
        <f t="shared" si="65"/>
        <v xml:space="preserve"> </v>
      </c>
      <c r="EB24" s="255" t="str">
        <f>IF(INDEX('Raw Data'!$A24:$EA24,MATCH(EB$2,RawData[#Headers],))=""," ",INDEX('Raw Data'!$A24:$EA24,MATCH(EB$2,RawData[#Headers],)))</f>
        <v xml:space="preserve"> </v>
      </c>
      <c r="EC24" s="255" t="str">
        <f t="shared" si="66"/>
        <v xml:space="preserve"> </v>
      </c>
      <c r="ED24" s="255" t="str">
        <f>IF(INDEX('Raw Data'!$A24:$EA24,MATCH(ED$2,RawData[#Headers],))=""," ",INDEX('Raw Data'!$A24:$EA24,MATCH(ED$2,RawData[#Headers],)))</f>
        <v xml:space="preserve"> </v>
      </c>
      <c r="EE24" s="255" t="str">
        <f t="shared" si="67"/>
        <v xml:space="preserve"> </v>
      </c>
      <c r="EF24" s="255" t="str">
        <f>IF(INDEX('Raw Data'!$A24:$EA24,MATCH(EF$2,RawData[#Headers],))=""," ",INDEX('Raw Data'!$A24:$EA24,MATCH(EF$2,RawData[#Headers],)))</f>
        <v xml:space="preserve"> </v>
      </c>
      <c r="EG24" s="255" t="str">
        <f t="shared" si="68"/>
        <v xml:space="preserve"> </v>
      </c>
      <c r="EH24" s="255" t="str">
        <f>IF(INDEX('Raw Data'!$A24:$EA24,MATCH(EH$2,RawData[#Headers],))=""," ",INDEX('Raw Data'!$A24:$EA24,MATCH(EH$2,RawData[#Headers],)))</f>
        <v xml:space="preserve"> </v>
      </c>
      <c r="EI24" s="255" t="str">
        <f t="shared" si="69"/>
        <v xml:space="preserve"> </v>
      </c>
      <c r="EJ24" s="255" t="str">
        <f>IF(INDEX('Raw Data'!$A24:$EA24,MATCH(EJ$2,RawData[#Headers],))=""," ",INDEX('Raw Data'!$A24:$EA24,MATCH(EJ$2,RawData[#Headers],)))</f>
        <v xml:space="preserve"> </v>
      </c>
      <c r="EK24" s="255" t="str">
        <f t="shared" si="70"/>
        <v xml:space="preserve"> </v>
      </c>
      <c r="EL24" s="255" t="str">
        <f>IF(INDEX('Raw Data'!$A24:$EA24,MATCH(EL$2,RawData[#Headers],))=""," ",INDEX('Raw Data'!$A24:$EA24,MATCH(EL$2,RawData[#Headers],)))</f>
        <v xml:space="preserve"> </v>
      </c>
      <c r="EM24" s="255" t="str">
        <f t="shared" si="71"/>
        <v xml:space="preserve"> </v>
      </c>
      <c r="EN24" s="255" t="str">
        <f>IF(INDEX('Raw Data'!$A24:$EA24,MATCH(EN$2,RawData[#Headers],))=""," ",INDEX('Raw Data'!$A24:$EA24,MATCH(EN$2,RawData[#Headers],)))</f>
        <v xml:space="preserve"> </v>
      </c>
      <c r="EO24" s="255" t="str">
        <f t="shared" si="72"/>
        <v xml:space="preserve"> </v>
      </c>
      <c r="EP24" s="255" t="str">
        <f>IF(INDEX('Raw Data'!$A24:$EA24,MATCH(EP$2,RawData[#Headers],))=""," ",INDEX('Raw Data'!$A24:$EA24,MATCH(EP$2,RawData[#Headers],)))</f>
        <v xml:space="preserve"> </v>
      </c>
      <c r="EQ24" s="255" t="str">
        <f t="shared" si="73"/>
        <v xml:space="preserve"> </v>
      </c>
      <c r="ER24" s="255" t="str">
        <f>IF(INDEX('Raw Data'!$A24:$EA24,MATCH(ER$2,RawData[#Headers],))=""," ",INDEX('Raw Data'!$A24:$EA24,MATCH(ER$2,RawData[#Headers],)))</f>
        <v xml:space="preserve"> </v>
      </c>
      <c r="ES24" s="255" t="str">
        <f t="shared" si="2"/>
        <v xml:space="preserve"> </v>
      </c>
      <c r="ET24" s="255" t="str">
        <f>IF(INDEX('Raw Data'!$A24:$EA24,MATCH(ET$2,RawData[#Headers],))=""," ",INDEX('Raw Data'!$A24:$EA24,MATCH(ET$2,RawData[#Headers],)))</f>
        <v xml:space="preserve"> </v>
      </c>
      <c r="EU24" s="255" t="str">
        <f t="shared" si="3"/>
        <v xml:space="preserve"> </v>
      </c>
      <c r="EV24" s="255" t="str">
        <f>IF(INDEX('Raw Data'!$A24:$EA24,MATCH(EV$2,RawData[#Headers],))=""," ",INDEX('Raw Data'!$A24:$EA24,MATCH(EV$2,RawData[#Headers],)))</f>
        <v xml:space="preserve"> </v>
      </c>
      <c r="EW24" s="255" t="str">
        <f t="shared" si="4"/>
        <v xml:space="preserve"> </v>
      </c>
      <c r="EX24" s="255" t="str">
        <f>IF(INDEX('Raw Data'!$A24:$EA24,MATCH(EX$2,RawData[#Headers],))=""," ",INDEX('Raw Data'!$A24:$EA24,MATCH(EX$2,RawData[#Headers],)))</f>
        <v xml:space="preserve"> </v>
      </c>
      <c r="EY24" s="255" t="str">
        <f t="shared" si="74"/>
        <v xml:space="preserve"> </v>
      </c>
      <c r="EZ24" s="276" t="str">
        <f>IF(INDEX('Raw Data'!$A24:$EA24,MATCH(EZ$2,RawData[#Headers],))=""," ",INDEX('Raw Data'!$A24:$EA24,MATCH(EZ$2,RawData[#Headers],)))</f>
        <v xml:space="preserve"> </v>
      </c>
      <c r="FA24" s="255" t="str">
        <f t="shared" si="75"/>
        <v xml:space="preserve"> </v>
      </c>
      <c r="FB24" s="255" t="str">
        <f>IF(INDEX('Raw Data'!$A24:$EA24,MATCH(FB$2,RawData[#Headers],))=""," ",INDEX('Raw Data'!$A24:$EA24,MATCH(FB$2,RawData[#Headers],)))</f>
        <v xml:space="preserve"> </v>
      </c>
    </row>
    <row r="25" spans="1:158" x14ac:dyDescent="0.3">
      <c r="A25" s="255">
        <f>RawData[[#This Row],[Num]]</f>
        <v>0</v>
      </c>
      <c r="B25" s="255" t="str">
        <f>IF(INDEX('Raw Data'!$A25:$EA25,MATCH(B$2,RawData[#Headers],))=""," ",INDEX('Raw Data'!$A25:$EA25,MATCH(B$2,RawData[#Headers],)))</f>
        <v xml:space="preserve"> </v>
      </c>
      <c r="C25" s="326" t="str">
        <f>IFERROR(STANDARDIZE(machina[[#This Row],[Career Strike Rate]],B$30,B$31)^2," ")</f>
        <v xml:space="preserve"> </v>
      </c>
      <c r="D25" s="255" t="str">
        <f>IF(INDEX('Raw Data'!$A25:$EA25,MATCH(D$2,RawData[#Headers],))=""," ",INDEX('Raw Data'!$A25:$EA25,MATCH(D$2,RawData[#Headers],)))</f>
        <v xml:space="preserve"> </v>
      </c>
      <c r="E25" s="326" t="str">
        <f>IFERROR(STANDARDIZE(machina[[#This Row],[Career ROI]],D$30,D$31)^2," ")</f>
        <v xml:space="preserve"> </v>
      </c>
      <c r="F25" s="255" t="str">
        <f>IF(INDEX('Raw Data'!$A25:$EA25,MATCH(F$2,RawData[#Headers],))=""," ",INDEX('Raw Data'!$A25:$EA25,MATCH(F$2,RawData[#Headers],)))</f>
        <v xml:space="preserve"> </v>
      </c>
      <c r="G25" s="255" t="str">
        <f t="shared" si="5"/>
        <v xml:space="preserve"> </v>
      </c>
      <c r="H25" s="255" t="str">
        <f>IF(INDEX('Raw Data'!$A25:$EA25,MATCH(H$2,RawData[#Headers],))=""," ",INDEX('Raw Data'!$A25:$EA25,MATCH(H$2,RawData[#Headers],)))</f>
        <v xml:space="preserve"> </v>
      </c>
      <c r="I25" s="255" t="str">
        <f t="shared" si="6"/>
        <v xml:space="preserve"> </v>
      </c>
      <c r="J25" s="255" t="str">
        <f>IF(INDEX('Raw Data'!$A25:$EA25,MATCH(J$2,RawData[#Headers],))=""," ",INDEX('Raw Data'!$A25:$EA25,MATCH(J$2,RawData[#Headers],)))</f>
        <v xml:space="preserve"> </v>
      </c>
      <c r="K25" s="255" t="str">
        <f t="shared" si="7"/>
        <v xml:space="preserve"> </v>
      </c>
      <c r="L25" s="255" t="str">
        <f>IF(INDEX('Raw Data'!$A25:$EA25,MATCH(L$2,RawData[#Headers],))=""," ",INDEX('Raw Data'!$A25:$EA25,MATCH(L$2,RawData[#Headers],)))</f>
        <v xml:space="preserve"> </v>
      </c>
      <c r="M25" s="255" t="str">
        <f t="shared" si="0"/>
        <v xml:space="preserve"> </v>
      </c>
      <c r="N25" s="255" t="str">
        <f>IF(INDEX('Raw Data'!$A25:$EA25,MATCH(N$2,RawData[#Headers],))=""," ",INDEX('Raw Data'!$A25:$EA25,MATCH(N$2,RawData[#Headers],)))</f>
        <v xml:space="preserve"> </v>
      </c>
      <c r="O25" s="255" t="str">
        <f t="shared" si="0"/>
        <v xml:space="preserve"> </v>
      </c>
      <c r="P25" s="255" t="str">
        <f>IF(INDEX('Raw Data'!$A25:$EA25,MATCH(P$2,RawData[#Headers],))=""," ",INDEX('Raw Data'!$A25:$EA25,MATCH(P$2,RawData[#Headers],)))</f>
        <v xml:space="preserve"> </v>
      </c>
      <c r="Q25" s="255" t="str">
        <f t="shared" ref="Q25" si="96">IF(ISERROR(IF(P25=""," ",RANK(P25,P$3:P$28,1)))," ",IF(P25=""," ",RANK(P25,P$3:P$28,1)))</f>
        <v xml:space="preserve"> </v>
      </c>
      <c r="R25" s="255" t="str">
        <f>IF(INDEX('Raw Data'!$A25:$EA25,MATCH(R$2,RawData[#Headers],))=""," ",INDEX('Raw Data'!$A25:$EA25,MATCH(R$2,RawData[#Headers],)))</f>
        <v xml:space="preserve"> </v>
      </c>
      <c r="S25" s="255" t="str">
        <f t="shared" si="9"/>
        <v xml:space="preserve"> </v>
      </c>
      <c r="T25" s="255" t="str">
        <f>IF(INDEX('Raw Data'!$A25:$EA25,MATCH(T$2,RawData[#Headers],))=""," ",INDEX('Raw Data'!$A25:$EA25,MATCH(T$2,RawData[#Headers],)))</f>
        <v xml:space="preserve"> </v>
      </c>
      <c r="U25" s="255" t="str">
        <f t="shared" si="10"/>
        <v xml:space="preserve"> </v>
      </c>
      <c r="V25" s="255" t="str">
        <f>IF(INDEX('Raw Data'!$A25:$EA25,MATCH(V$2,RawData[#Headers],))=""," ",INDEX('Raw Data'!$A25:$EA25,MATCH(V$2,RawData[#Headers],)))</f>
        <v xml:space="preserve"> </v>
      </c>
      <c r="W25" s="255" t="str">
        <f t="shared" si="11"/>
        <v xml:space="preserve"> </v>
      </c>
      <c r="X25" s="255" t="str">
        <f>IF(INDEX('Raw Data'!$A25:$EA25,MATCH(X$2,RawData[#Headers],))=""," ",INDEX('Raw Data'!$A25:$EA25,MATCH(X$2,RawData[#Headers],)))</f>
        <v xml:space="preserve"> </v>
      </c>
      <c r="Y25" s="255" t="str">
        <f t="shared" si="12"/>
        <v xml:space="preserve"> </v>
      </c>
      <c r="Z25" s="255" t="str">
        <f>IF(INDEX('Raw Data'!$A25:$EA25,MATCH(Z$2,RawData[#Headers],))=""," ",INDEX('Raw Data'!$A25:$EA25,MATCH(Z$2,RawData[#Headers],)))</f>
        <v xml:space="preserve"> </v>
      </c>
      <c r="AA25" s="255" t="str">
        <f t="shared" si="13"/>
        <v xml:space="preserve"> </v>
      </c>
      <c r="AB25" s="255" t="str">
        <f>IF(INDEX('Raw Data'!$A25:$EA25,MATCH(AB$2,RawData[#Headers],))=""," ",INDEX('Raw Data'!$A25:$EA25,MATCH(AB$2,RawData[#Headers],)))</f>
        <v xml:space="preserve"> </v>
      </c>
      <c r="AC25" s="255" t="str">
        <f t="shared" si="14"/>
        <v xml:space="preserve"> </v>
      </c>
      <c r="AD25" s="255" t="str">
        <f>IF(INDEX('Raw Data'!$A25:$EA25,MATCH(AD$2,RawData[#Headers],))=""," ",INDEX('Raw Data'!$A25:$EA25,MATCH(AD$2,RawData[#Headers],)))</f>
        <v xml:space="preserve"> </v>
      </c>
      <c r="AE25" s="255" t="str">
        <f t="shared" si="15"/>
        <v xml:space="preserve"> </v>
      </c>
      <c r="AF25" s="255" t="str">
        <f>IF(INDEX('Raw Data'!$A25:$EA25,MATCH(AF$2,RawData[#Headers],))=""," ",INDEX('Raw Data'!$A25:$EA25,MATCH(AF$2,RawData[#Headers],)))</f>
        <v xml:space="preserve"> </v>
      </c>
      <c r="AG25" s="255" t="str">
        <f t="shared" si="16"/>
        <v xml:space="preserve"> </v>
      </c>
      <c r="AH25" s="255" t="str">
        <f>IF(INDEX('Raw Data'!$A25:$EA25,MATCH(AH$2,RawData[#Headers],))=""," ",INDEX('Raw Data'!$A25:$EA25,MATCH(AH$2,RawData[#Headers],)))</f>
        <v xml:space="preserve"> </v>
      </c>
      <c r="AI25" s="255" t="str">
        <f t="shared" si="17"/>
        <v xml:space="preserve"> </v>
      </c>
      <c r="AJ25" s="255" t="str">
        <f>IF(INDEX('Raw Data'!$A25:$EA25,MATCH(AJ$2,RawData[#Headers],))=""," ",INDEX('Raw Data'!$A25:$EA25,MATCH(AJ$2,RawData[#Headers],)))</f>
        <v xml:space="preserve"> </v>
      </c>
      <c r="AK25" s="255" t="str">
        <f t="shared" si="18"/>
        <v xml:space="preserve"> </v>
      </c>
      <c r="AL25" s="255" t="str">
        <f>IF(INDEX('Raw Data'!$A25:$EA25,MATCH(AL$2,RawData[#Headers],))=""," ",INDEX('Raw Data'!$A25:$EA25,MATCH(AL$2,RawData[#Headers],)))</f>
        <v xml:space="preserve"> </v>
      </c>
      <c r="AM25" s="255" t="str">
        <f t="shared" si="19"/>
        <v xml:space="preserve"> </v>
      </c>
      <c r="AN25" s="255" t="str">
        <f>IF(INDEX('Raw Data'!$A25:$EA25,MATCH(AN$2,RawData[#Headers],))=""," ",INDEX('Raw Data'!$A25:$EA25,MATCH(AN$2,RawData[#Headers],)))</f>
        <v xml:space="preserve"> </v>
      </c>
      <c r="AO25" s="255" t="str">
        <f t="shared" si="20"/>
        <v xml:space="preserve"> </v>
      </c>
      <c r="AP25" s="255" t="str">
        <f>IF(INDEX('Raw Data'!$A25:$EA25,MATCH(AP$2,RawData[#Headers],))=""," ",INDEX('Raw Data'!$A25:$EA25,MATCH(AP$2,RawData[#Headers],)))</f>
        <v xml:space="preserve"> </v>
      </c>
      <c r="AQ25" s="255" t="str">
        <f t="shared" si="21"/>
        <v xml:space="preserve"> </v>
      </c>
      <c r="AR25" s="255" t="str">
        <f>IF(INDEX('Raw Data'!$A25:$EA25,MATCH(AR$2,RawData[#Headers],))=""," ",INDEX('Raw Data'!$A25:$EA25,MATCH(AR$2,RawData[#Headers],)))</f>
        <v xml:space="preserve"> </v>
      </c>
      <c r="AS25" s="255" t="str">
        <f t="shared" si="22"/>
        <v xml:space="preserve"> </v>
      </c>
      <c r="AT25" s="255" t="str">
        <f>IF(INDEX('Raw Data'!$A25:$EA25,MATCH(AT$2,RawData[#Headers],))=""," ",INDEX('Raw Data'!$A25:$EA25,MATCH(AT$2,RawData[#Headers],)))</f>
        <v xml:space="preserve"> </v>
      </c>
      <c r="AU25" s="255" t="str">
        <f t="shared" si="23"/>
        <v xml:space="preserve"> </v>
      </c>
      <c r="AV25" s="255" t="str">
        <f>IF(INDEX('Raw Data'!$A25:$EA25,MATCH(AV$2,RawData[#Headers],))=""," ",INDEX('Raw Data'!$A25:$EA25,MATCH(AV$2,RawData[#Headers],)))</f>
        <v xml:space="preserve"> </v>
      </c>
      <c r="AW25" s="255" t="str">
        <f t="shared" si="24"/>
        <v xml:space="preserve"> </v>
      </c>
      <c r="AX25" s="255" t="str">
        <f>IF(INDEX('Raw Data'!$A25:$EA25,MATCH(AX$2,RawData[#Headers],))=""," ",INDEX('Raw Data'!$A25:$EA25,MATCH(AX$2,RawData[#Headers],)))</f>
        <v xml:space="preserve"> </v>
      </c>
      <c r="AY25" s="255" t="str">
        <f t="shared" si="25"/>
        <v xml:space="preserve"> </v>
      </c>
      <c r="AZ25" s="255" t="str">
        <f>IF(INDEX('Raw Data'!$A25:$EA25,MATCH(AZ$2,RawData[#Headers],))=""," ",INDEX('Raw Data'!$A25:$EA25,MATCH(AZ$2,RawData[#Headers],)))</f>
        <v xml:space="preserve"> </v>
      </c>
      <c r="BA25" s="255" t="str">
        <f t="shared" si="26"/>
        <v xml:space="preserve"> </v>
      </c>
      <c r="BB25" s="255" t="str">
        <f>IF(INDEX('Raw Data'!$A25:$EA25,MATCH(BB$2,RawData[#Headers],))=""," ",INDEX('Raw Data'!$A25:$EA25,MATCH(BB$2,RawData[#Headers],)))</f>
        <v xml:space="preserve"> </v>
      </c>
      <c r="BC25" s="255" t="str">
        <f t="shared" si="27"/>
        <v xml:space="preserve"> </v>
      </c>
      <c r="BD25" s="255" t="str">
        <f>IF(INDEX('Raw Data'!$A25:$EA25,MATCH(BD$2,RawData[#Headers],))=""," ",INDEX('Raw Data'!$A25:$EA25,MATCH(BD$2,RawData[#Headers],)))</f>
        <v xml:space="preserve"> </v>
      </c>
      <c r="BE25" s="255" t="str">
        <f t="shared" si="28"/>
        <v xml:space="preserve"> </v>
      </c>
      <c r="BF25" s="255" t="str">
        <f>IF(INDEX('Raw Data'!$A25:$EA25,MATCH(BF$2,RawData[#Headers],))=""," ",INDEX('Raw Data'!$A25:$EA25,MATCH(BF$2,RawData[#Headers],)))</f>
        <v xml:space="preserve"> </v>
      </c>
      <c r="BG25" s="255" t="str">
        <f t="shared" si="29"/>
        <v xml:space="preserve"> </v>
      </c>
      <c r="BH25" s="255" t="str">
        <f>IF(INDEX('Raw Data'!$A25:$EA25,MATCH(BH$2,RawData[#Headers],))=""," ",INDEX('Raw Data'!$A25:$EA25,MATCH(BH$2,RawData[#Headers],)))</f>
        <v xml:space="preserve"> </v>
      </c>
      <c r="BI25" s="255" t="str">
        <f t="shared" si="30"/>
        <v xml:space="preserve"> </v>
      </c>
      <c r="BJ25" s="255" t="str">
        <f>IF(INDEX('Raw Data'!$A25:$EA25,MATCH(BJ$2,RawData[#Headers],))=""," ",INDEX('Raw Data'!$A25:$EA25,MATCH(BJ$2,RawData[#Headers],)))</f>
        <v xml:space="preserve"> </v>
      </c>
      <c r="BK25" s="255" t="str">
        <f t="shared" si="31"/>
        <v xml:space="preserve"> </v>
      </c>
      <c r="BL25" s="255" t="str">
        <f>IF(INDEX('Raw Data'!$A25:$EA25,MATCH(BL$2,RawData[#Headers],))=""," ",INDEX('Raw Data'!$A25:$EA25,MATCH(BL$2,RawData[#Headers],)))</f>
        <v xml:space="preserve"> </v>
      </c>
      <c r="BM25" s="255" t="str">
        <f t="shared" si="32"/>
        <v xml:space="preserve"> </v>
      </c>
      <c r="BN25" s="255" t="str">
        <f>IF(INDEX('Raw Data'!$A25:$EA25,MATCH(BN$2,RawData[#Headers],))=""," ",INDEX('Raw Data'!$A25:$EA25,MATCH(BN$2,RawData[#Headers],)))</f>
        <v xml:space="preserve"> </v>
      </c>
      <c r="BO25" s="255" t="str">
        <f t="shared" si="33"/>
        <v xml:space="preserve"> </v>
      </c>
      <c r="BP25" s="255" t="str">
        <f>IF(INDEX('Raw Data'!$A25:$EA25,MATCH(BP$2,RawData[#Headers],))=""," ",INDEX('Raw Data'!$A25:$EA25,MATCH(BP$2,RawData[#Headers],)))</f>
        <v xml:space="preserve"> </v>
      </c>
      <c r="BQ25" s="255" t="str">
        <f t="shared" si="34"/>
        <v xml:space="preserve"> </v>
      </c>
      <c r="BR25" s="255" t="str">
        <f>IF(INDEX('Raw Data'!$A25:$EA25,MATCH(BR$2,RawData[#Headers],))=""," ",INDEX('Raw Data'!$A25:$EA25,MATCH(BR$2,RawData[#Headers],)))</f>
        <v xml:space="preserve"> </v>
      </c>
      <c r="BS25" s="255" t="str">
        <f t="shared" si="35"/>
        <v xml:space="preserve"> </v>
      </c>
      <c r="BT25" s="255" t="str">
        <f>IF(INDEX('Raw Data'!$A25:$EA25,MATCH(BT$2,RawData[#Headers],))=""," ",INDEX('Raw Data'!$A25:$EA25,MATCH(BT$2,RawData[#Headers],)))</f>
        <v xml:space="preserve"> </v>
      </c>
      <c r="BU25" s="255" t="str">
        <f t="shared" si="36"/>
        <v xml:space="preserve"> </v>
      </c>
      <c r="BV25" s="255" t="str">
        <f>IF(INDEX('Raw Data'!$A25:$EA25,MATCH(BV$2,RawData[#Headers],))=""," ",INDEX('Raw Data'!$A25:$EA25,MATCH(BV$2,RawData[#Headers],)))</f>
        <v xml:space="preserve"> </v>
      </c>
      <c r="BW25" s="255" t="str">
        <f t="shared" si="37"/>
        <v xml:space="preserve"> </v>
      </c>
      <c r="BX25" s="255" t="str">
        <f>IF(INDEX('Raw Data'!$A25:$EA25,MATCH(BX$2,RawData[#Headers],))=""," ",INDEX('Raw Data'!$A25:$EA25,MATCH(BX$2,RawData[#Headers],)))</f>
        <v xml:space="preserve"> </v>
      </c>
      <c r="BY25" s="255" t="str">
        <f t="shared" si="38"/>
        <v xml:space="preserve"> </v>
      </c>
      <c r="BZ25" s="255" t="str">
        <f>IF(INDEX('Raw Data'!$A25:$EA25,MATCH(BZ$2,RawData[#Headers],))=""," ",INDEX('Raw Data'!$A25:$EA25,MATCH(BZ$2,RawData[#Headers],)))</f>
        <v xml:space="preserve"> </v>
      </c>
      <c r="CA25" s="255" t="str">
        <f t="shared" si="39"/>
        <v xml:space="preserve"> </v>
      </c>
      <c r="CB25" s="255" t="str">
        <f>IF(INDEX('Raw Data'!$A25:$EA25,MATCH(CB$2,RawData[#Headers],))=""," ",INDEX('Raw Data'!$A25:$EA25,MATCH(CB$2,RawData[#Headers],)))</f>
        <v xml:space="preserve"> </v>
      </c>
      <c r="CC25" s="255" t="str">
        <f t="shared" si="40"/>
        <v xml:space="preserve"> </v>
      </c>
      <c r="CD25" s="255" t="str">
        <f>IF(INDEX('Raw Data'!$A25:$EA25,MATCH(CD$2,RawData[#Headers],))=""," ",INDEX('Raw Data'!$A25:$EA25,MATCH(CD$2,RawData[#Headers],)))</f>
        <v xml:space="preserve"> </v>
      </c>
      <c r="CE25" s="255" t="str">
        <f t="shared" si="41"/>
        <v xml:space="preserve"> </v>
      </c>
      <c r="CF25" s="255" t="str">
        <f>IF(INDEX('Raw Data'!$A25:$EA25,MATCH(CF$2,RawData[#Headers],))=""," ",INDEX('Raw Data'!$A25:$EA25,MATCH(CF$2,RawData[#Headers],)))</f>
        <v xml:space="preserve"> </v>
      </c>
      <c r="CG25" s="255" t="str">
        <f t="shared" si="42"/>
        <v xml:space="preserve"> </v>
      </c>
      <c r="CH25" s="255" t="str">
        <f>IF(INDEX('Raw Data'!$A25:$EA25,MATCH(CH$2,RawData[#Headers],))=""," ",INDEX('Raw Data'!$A25:$EA25,MATCH(CH$2,RawData[#Headers],)))</f>
        <v xml:space="preserve"> </v>
      </c>
      <c r="CI25" s="255" t="str">
        <f t="shared" si="43"/>
        <v xml:space="preserve"> </v>
      </c>
      <c r="CJ25" s="255" t="str">
        <f>IF(INDEX('Raw Data'!$A25:$EA25,MATCH(CJ$2,RawData[#Headers],))=""," ",INDEX('Raw Data'!$A25:$EA25,MATCH(CJ$2,RawData[#Headers],)))</f>
        <v xml:space="preserve"> </v>
      </c>
      <c r="CK25" s="255" t="str">
        <f t="shared" si="44"/>
        <v xml:space="preserve"> </v>
      </c>
      <c r="CL25" s="255" t="str">
        <f>IF(INDEX('Raw Data'!$A25:$EA25,MATCH(CL$2,RawData[#Headers],))=""," ",INDEX('Raw Data'!$A25:$EA25,MATCH(CL$2,RawData[#Headers],)))</f>
        <v xml:space="preserve"> </v>
      </c>
      <c r="CM25" s="255" t="str">
        <f t="shared" si="45"/>
        <v xml:space="preserve"> </v>
      </c>
      <c r="CN25" s="255" t="str">
        <f>IF(INDEX('Raw Data'!$A25:$EA25,MATCH(CN$2,RawData[#Headers],))=""," ",INDEX('Raw Data'!$A25:$EA25,MATCH(CN$2,RawData[#Headers],)))</f>
        <v xml:space="preserve"> </v>
      </c>
      <c r="CO25" s="255" t="str">
        <f t="shared" si="46"/>
        <v xml:space="preserve"> </v>
      </c>
      <c r="CP25" s="255" t="str">
        <f>IF(INDEX('Raw Data'!$A25:$EA25,MATCH(CP$2,RawData[#Headers],))=""," ",INDEX('Raw Data'!$A25:$EA25,MATCH(CP$2,RawData[#Headers],)))</f>
        <v xml:space="preserve"> </v>
      </c>
      <c r="CQ25" s="255" t="str">
        <f t="shared" si="47"/>
        <v xml:space="preserve"> </v>
      </c>
      <c r="CR25" s="255" t="str">
        <f>IF(INDEX('Raw Data'!$A25:$EA25,MATCH(CR$2,RawData[#Headers],))=""," ",INDEX('Raw Data'!$A25:$EA25,MATCH(CR$2,RawData[#Headers],)))</f>
        <v xml:space="preserve"> </v>
      </c>
      <c r="CS25" s="255" t="str">
        <f t="shared" si="48"/>
        <v xml:space="preserve"> </v>
      </c>
      <c r="CT25" s="255" t="str">
        <f>IF(INDEX('Raw Data'!$A25:$EA25,MATCH(CT$2,RawData[#Headers],))=""," ",INDEX('Raw Data'!$A25:$EA25,MATCH(CT$2,RawData[#Headers],)))</f>
        <v xml:space="preserve"> </v>
      </c>
      <c r="CU25" s="255" t="str">
        <f t="shared" si="49"/>
        <v xml:space="preserve"> </v>
      </c>
      <c r="CV25" s="255" t="str">
        <f>IF(INDEX('Raw Data'!$A25:$EA25,MATCH(CV$2,RawData[#Headers],))=""," ",INDEX('Raw Data'!$A25:$EA25,MATCH(CV$2,RawData[#Headers],)))</f>
        <v xml:space="preserve"> </v>
      </c>
      <c r="CW25" s="255" t="str">
        <f t="shared" si="50"/>
        <v xml:space="preserve"> </v>
      </c>
      <c r="CX25" s="255" t="str">
        <f>IF(INDEX('Raw Data'!$A25:$EA25,MATCH(CX$2,RawData[#Headers],))=""," ",INDEX('Raw Data'!$A25:$EA25,MATCH(CX$2,RawData[#Headers],)))</f>
        <v xml:space="preserve"> </v>
      </c>
      <c r="CY25" s="255" t="str">
        <f t="shared" si="51"/>
        <v xml:space="preserve"> </v>
      </c>
      <c r="CZ25" s="255" t="str">
        <f>IF(INDEX('Raw Data'!$A25:$EA25,MATCH(CZ$2,RawData[#Headers],))=""," ",INDEX('Raw Data'!$A25:$EA25,MATCH(CZ$2,RawData[#Headers],)))</f>
        <v xml:space="preserve"> </v>
      </c>
      <c r="DA25" s="255" t="str">
        <f t="shared" si="52"/>
        <v xml:space="preserve"> </v>
      </c>
      <c r="DB25" s="255" t="str">
        <f>IF(INDEX('Raw Data'!$A25:$EA25,MATCH(DB$2,RawData[#Headers],))=""," ",INDEX('Raw Data'!$A25:$EA25,MATCH(DB$2,RawData[#Headers],)))</f>
        <v xml:space="preserve"> </v>
      </c>
      <c r="DC25" s="255" t="str">
        <f t="shared" si="53"/>
        <v xml:space="preserve"> </v>
      </c>
      <c r="DD25" s="255" t="str">
        <f>IF(INDEX('Raw Data'!$A25:$EA25,MATCH(DD$2,RawData[#Headers],))=""," ",INDEX('Raw Data'!$A25:$EA25,MATCH(DD$2,RawData[#Headers],)))</f>
        <v xml:space="preserve"> </v>
      </c>
      <c r="DE25" s="255" t="str">
        <f t="shared" si="54"/>
        <v xml:space="preserve"> </v>
      </c>
      <c r="DF25" s="255" t="str">
        <f>IF(INDEX('Raw Data'!$A25:$EA25,MATCH(DF$2,RawData[#Headers],))=""," ",INDEX('Raw Data'!$A25:$EA25,MATCH(DF$2,RawData[#Headers],)))</f>
        <v xml:space="preserve"> </v>
      </c>
      <c r="DG25" s="255" t="str">
        <f t="shared" si="55"/>
        <v xml:space="preserve"> </v>
      </c>
      <c r="DH25" s="255" t="str">
        <f>IF(INDEX('Raw Data'!$A25:$EA25,MATCH(DH$2,RawData[#Headers],))=""," ",INDEX('Raw Data'!$A25:$EA25,MATCH(DH$2,RawData[#Headers],)))</f>
        <v xml:space="preserve"> </v>
      </c>
      <c r="DI25" s="255" t="str">
        <f t="shared" si="56"/>
        <v xml:space="preserve"> </v>
      </c>
      <c r="DJ25" s="255" t="str">
        <f>IF(INDEX('Raw Data'!$A25:$EA25,MATCH(DJ$2,RawData[#Headers],))=""," ",INDEX('Raw Data'!$A25:$EA25,MATCH(DJ$2,RawData[#Headers],)))</f>
        <v xml:space="preserve"> </v>
      </c>
      <c r="DK25" s="255" t="str">
        <f t="shared" si="57"/>
        <v xml:space="preserve"> </v>
      </c>
      <c r="DL25" s="255" t="str">
        <f>IF(INDEX('Raw Data'!$A25:$EA25,MATCH(DL$2,RawData[#Headers],))=""," ",INDEX('Raw Data'!$A25:$EA25,MATCH(DL$2,RawData[#Headers],)))</f>
        <v xml:space="preserve"> </v>
      </c>
      <c r="DM25" s="255" t="str">
        <f t="shared" si="58"/>
        <v xml:space="preserve"> </v>
      </c>
      <c r="DN25" s="255" t="str">
        <f>IF(INDEX('Raw Data'!$A25:$EA25,MATCH(DN$2,RawData[#Headers],))=""," ",INDEX('Raw Data'!$A25:$EA25,MATCH(DN$2,RawData[#Headers],)))</f>
        <v xml:space="preserve"> </v>
      </c>
      <c r="DO25" s="255" t="str">
        <f t="shared" si="59"/>
        <v xml:space="preserve"> </v>
      </c>
      <c r="DP25" s="255" t="str">
        <f>IF(INDEX('Raw Data'!$A25:$EA25,MATCH(DP$2,RawData[#Headers],))=""," ",INDEX('Raw Data'!$A25:$EA25,MATCH(DP$2,RawData[#Headers],)))</f>
        <v xml:space="preserve"> </v>
      </c>
      <c r="DQ25" s="255" t="str">
        <f t="shared" si="60"/>
        <v xml:space="preserve"> </v>
      </c>
      <c r="DR25" s="255" t="str">
        <f>IF(INDEX('Raw Data'!$A25:$EA25,MATCH(DR$2,RawData[#Headers],))=""," ",INDEX('Raw Data'!$A25:$EA25,MATCH(DR$2,RawData[#Headers],)))</f>
        <v xml:space="preserve"> </v>
      </c>
      <c r="DS25" s="255" t="str">
        <f t="shared" si="61"/>
        <v xml:space="preserve"> </v>
      </c>
      <c r="DT25" s="255" t="str">
        <f>IF(INDEX('Raw Data'!$A25:$EA25,MATCH(DT$2,RawData[#Headers],))=""," ",INDEX('Raw Data'!$A25:$EA25,MATCH(DT$2,RawData[#Headers],)))</f>
        <v xml:space="preserve"> </v>
      </c>
      <c r="DU25" s="255" t="str">
        <f t="shared" si="62"/>
        <v xml:space="preserve"> </v>
      </c>
      <c r="DV25" s="255" t="str">
        <f>IF(INDEX('Raw Data'!$A25:$EA25,MATCH(DV$2,RawData[#Headers],))=""," ",INDEX('Raw Data'!$A25:$EA25,MATCH(DV$2,RawData[#Headers],)))</f>
        <v xml:space="preserve"> </v>
      </c>
      <c r="DW25" s="255" t="str">
        <f t="shared" si="63"/>
        <v xml:space="preserve"> </v>
      </c>
      <c r="DX25" s="255" t="str">
        <f>IF(INDEX('Raw Data'!$A25:$EA25,MATCH(DX$2,RawData[#Headers],))=""," ",INDEX('Raw Data'!$A25:$EA25,MATCH(DX$2,RawData[#Headers],)))</f>
        <v xml:space="preserve"> </v>
      </c>
      <c r="DY25" s="255" t="str">
        <f t="shared" si="64"/>
        <v xml:space="preserve"> </v>
      </c>
      <c r="DZ25" s="255" t="str">
        <f>IF(INDEX('Raw Data'!$A25:$EA25,MATCH(DZ$2,RawData[#Headers],))=""," ",INDEX('Raw Data'!$A25:$EA25,MATCH(DZ$2,RawData[#Headers],)))</f>
        <v xml:space="preserve"> </v>
      </c>
      <c r="EA25" s="255" t="str">
        <f t="shared" si="65"/>
        <v xml:space="preserve"> </v>
      </c>
      <c r="EB25" s="255" t="str">
        <f>IF(INDEX('Raw Data'!$A25:$EA25,MATCH(EB$2,RawData[#Headers],))=""," ",INDEX('Raw Data'!$A25:$EA25,MATCH(EB$2,RawData[#Headers],)))</f>
        <v xml:space="preserve"> </v>
      </c>
      <c r="EC25" s="255" t="str">
        <f t="shared" si="66"/>
        <v xml:space="preserve"> </v>
      </c>
      <c r="ED25" s="255" t="str">
        <f>IF(INDEX('Raw Data'!$A25:$EA25,MATCH(ED$2,RawData[#Headers],))=""," ",INDEX('Raw Data'!$A25:$EA25,MATCH(ED$2,RawData[#Headers],)))</f>
        <v xml:space="preserve"> </v>
      </c>
      <c r="EE25" s="255" t="str">
        <f t="shared" si="67"/>
        <v xml:space="preserve"> </v>
      </c>
      <c r="EF25" s="255" t="str">
        <f>IF(INDEX('Raw Data'!$A25:$EA25,MATCH(EF$2,RawData[#Headers],))=""," ",INDEX('Raw Data'!$A25:$EA25,MATCH(EF$2,RawData[#Headers],)))</f>
        <v xml:space="preserve"> </v>
      </c>
      <c r="EG25" s="255" t="str">
        <f t="shared" si="68"/>
        <v xml:space="preserve"> </v>
      </c>
      <c r="EH25" s="255" t="str">
        <f>IF(INDEX('Raw Data'!$A25:$EA25,MATCH(EH$2,RawData[#Headers],))=""," ",INDEX('Raw Data'!$A25:$EA25,MATCH(EH$2,RawData[#Headers],)))</f>
        <v xml:space="preserve"> </v>
      </c>
      <c r="EI25" s="255" t="str">
        <f t="shared" si="69"/>
        <v xml:space="preserve"> </v>
      </c>
      <c r="EJ25" s="255" t="str">
        <f>IF(INDEX('Raw Data'!$A25:$EA25,MATCH(EJ$2,RawData[#Headers],))=""," ",INDEX('Raw Data'!$A25:$EA25,MATCH(EJ$2,RawData[#Headers],)))</f>
        <v xml:space="preserve"> </v>
      </c>
      <c r="EK25" s="255" t="str">
        <f t="shared" si="70"/>
        <v xml:space="preserve"> </v>
      </c>
      <c r="EL25" s="255" t="str">
        <f>IF(INDEX('Raw Data'!$A25:$EA25,MATCH(EL$2,RawData[#Headers],))=""," ",INDEX('Raw Data'!$A25:$EA25,MATCH(EL$2,RawData[#Headers],)))</f>
        <v xml:space="preserve"> </v>
      </c>
      <c r="EM25" s="255" t="str">
        <f t="shared" si="71"/>
        <v xml:space="preserve"> </v>
      </c>
      <c r="EN25" s="255" t="str">
        <f>IF(INDEX('Raw Data'!$A25:$EA25,MATCH(EN$2,RawData[#Headers],))=""," ",INDEX('Raw Data'!$A25:$EA25,MATCH(EN$2,RawData[#Headers],)))</f>
        <v xml:space="preserve"> </v>
      </c>
      <c r="EO25" s="255" t="str">
        <f t="shared" si="72"/>
        <v xml:space="preserve"> </v>
      </c>
      <c r="EP25" s="255" t="str">
        <f>IF(INDEX('Raw Data'!$A25:$EA25,MATCH(EP$2,RawData[#Headers],))=""," ",INDEX('Raw Data'!$A25:$EA25,MATCH(EP$2,RawData[#Headers],)))</f>
        <v xml:space="preserve"> </v>
      </c>
      <c r="EQ25" s="255" t="str">
        <f t="shared" si="73"/>
        <v xml:space="preserve"> </v>
      </c>
      <c r="ER25" s="255" t="str">
        <f>IF(INDEX('Raw Data'!$A25:$EA25,MATCH(ER$2,RawData[#Headers],))=""," ",INDEX('Raw Data'!$A25:$EA25,MATCH(ER$2,RawData[#Headers],)))</f>
        <v xml:space="preserve"> </v>
      </c>
      <c r="ES25" s="255" t="str">
        <f t="shared" si="2"/>
        <v xml:space="preserve"> </v>
      </c>
      <c r="ET25" s="255" t="str">
        <f>IF(INDEX('Raw Data'!$A25:$EA25,MATCH(ET$2,RawData[#Headers],))=""," ",INDEX('Raw Data'!$A25:$EA25,MATCH(ET$2,RawData[#Headers],)))</f>
        <v xml:space="preserve"> </v>
      </c>
      <c r="EU25" s="255" t="str">
        <f t="shared" si="3"/>
        <v xml:space="preserve"> </v>
      </c>
      <c r="EV25" s="255" t="str">
        <f>IF(INDEX('Raw Data'!$A25:$EA25,MATCH(EV$2,RawData[#Headers],))=""," ",INDEX('Raw Data'!$A25:$EA25,MATCH(EV$2,RawData[#Headers],)))</f>
        <v xml:space="preserve"> </v>
      </c>
      <c r="EW25" s="255" t="str">
        <f t="shared" si="4"/>
        <v xml:space="preserve"> </v>
      </c>
      <c r="EX25" s="255" t="str">
        <f>IF(INDEX('Raw Data'!$A25:$EA25,MATCH(EX$2,RawData[#Headers],))=""," ",INDEX('Raw Data'!$A25:$EA25,MATCH(EX$2,RawData[#Headers],)))</f>
        <v xml:space="preserve"> </v>
      </c>
      <c r="EY25" s="255" t="str">
        <f t="shared" si="74"/>
        <v xml:space="preserve"> </v>
      </c>
      <c r="EZ25" s="276" t="str">
        <f>IF(INDEX('Raw Data'!$A25:$EA25,MATCH(EZ$2,RawData[#Headers],))=""," ",INDEX('Raw Data'!$A25:$EA25,MATCH(EZ$2,RawData[#Headers],)))</f>
        <v xml:space="preserve"> </v>
      </c>
      <c r="FA25" s="255" t="str">
        <f t="shared" si="75"/>
        <v xml:space="preserve"> </v>
      </c>
      <c r="FB25" s="255" t="str">
        <f>IF(INDEX('Raw Data'!$A25:$EA25,MATCH(FB$2,RawData[#Headers],))=""," ",INDEX('Raw Data'!$A25:$EA25,MATCH(FB$2,RawData[#Headers],)))</f>
        <v xml:space="preserve"> </v>
      </c>
    </row>
    <row r="26" spans="1:158" x14ac:dyDescent="0.3">
      <c r="A26" s="255">
        <f>RawData[[#This Row],[Num]]</f>
        <v>0</v>
      </c>
      <c r="B26" s="255" t="str">
        <f>IF(INDEX('Raw Data'!$A26:$EA26,MATCH(B$2,RawData[#Headers],))=""," ",INDEX('Raw Data'!$A26:$EA26,MATCH(B$2,RawData[#Headers],)))</f>
        <v xml:space="preserve"> </v>
      </c>
      <c r="C26" s="326" t="str">
        <f>IFERROR(STANDARDIZE(machina[[#This Row],[Career Strike Rate]],B$30,B$31)^2," ")</f>
        <v xml:space="preserve"> </v>
      </c>
      <c r="D26" s="255" t="str">
        <f>IF(INDEX('Raw Data'!$A26:$EA26,MATCH(D$2,RawData[#Headers],))=""," ",INDEX('Raw Data'!$A26:$EA26,MATCH(D$2,RawData[#Headers],)))</f>
        <v xml:space="preserve"> </v>
      </c>
      <c r="E26" s="326" t="str">
        <f>IFERROR(STANDARDIZE(machina[[#This Row],[Career ROI]],D$30,D$31)^2," ")</f>
        <v xml:space="preserve"> </v>
      </c>
      <c r="F26" s="255" t="str">
        <f>IF(INDEX('Raw Data'!$A26:$EA26,MATCH(F$2,RawData[#Headers],))=""," ",INDEX('Raw Data'!$A26:$EA26,MATCH(F$2,RawData[#Headers],)))</f>
        <v xml:space="preserve"> </v>
      </c>
      <c r="G26" s="255" t="str">
        <f t="shared" si="5"/>
        <v xml:space="preserve"> </v>
      </c>
      <c r="H26" s="255" t="str">
        <f>IF(INDEX('Raw Data'!$A26:$EA26,MATCH(H$2,RawData[#Headers],))=""," ",INDEX('Raw Data'!$A26:$EA26,MATCH(H$2,RawData[#Headers],)))</f>
        <v xml:space="preserve"> </v>
      </c>
      <c r="I26" s="255" t="str">
        <f t="shared" si="6"/>
        <v xml:space="preserve"> </v>
      </c>
      <c r="J26" s="255" t="str">
        <f>IF(INDEX('Raw Data'!$A26:$EA26,MATCH(J$2,RawData[#Headers],))=""," ",INDEX('Raw Data'!$A26:$EA26,MATCH(J$2,RawData[#Headers],)))</f>
        <v xml:space="preserve"> </v>
      </c>
      <c r="K26" s="255" t="str">
        <f t="shared" si="7"/>
        <v xml:space="preserve"> </v>
      </c>
      <c r="L26" s="255" t="str">
        <f>IF(INDEX('Raw Data'!$A26:$EA26,MATCH(L$2,RawData[#Headers],))=""," ",INDEX('Raw Data'!$A26:$EA26,MATCH(L$2,RawData[#Headers],)))</f>
        <v xml:space="preserve"> </v>
      </c>
      <c r="M26" s="255" t="str">
        <f t="shared" si="0"/>
        <v xml:space="preserve"> </v>
      </c>
      <c r="N26" s="255" t="str">
        <f>IF(INDEX('Raw Data'!$A26:$EA26,MATCH(N$2,RawData[#Headers],))=""," ",INDEX('Raw Data'!$A26:$EA26,MATCH(N$2,RawData[#Headers],)))</f>
        <v xml:space="preserve"> </v>
      </c>
      <c r="O26" s="255" t="str">
        <f t="shared" si="0"/>
        <v xml:space="preserve"> </v>
      </c>
      <c r="P26" s="255" t="str">
        <f>IF(INDEX('Raw Data'!$A26:$EA26,MATCH(P$2,RawData[#Headers],))=""," ",INDEX('Raw Data'!$A26:$EA26,MATCH(P$2,RawData[#Headers],)))</f>
        <v xml:space="preserve"> </v>
      </c>
      <c r="Q26" s="255" t="str">
        <f t="shared" ref="Q26" si="97">IF(ISERROR(IF(P26=""," ",RANK(P26,P$3:P$28,1)))," ",IF(P26=""," ",RANK(P26,P$3:P$28,1)))</f>
        <v xml:space="preserve"> </v>
      </c>
      <c r="R26" s="255" t="str">
        <f>IF(INDEX('Raw Data'!$A26:$EA26,MATCH(R$2,RawData[#Headers],))=""," ",INDEX('Raw Data'!$A26:$EA26,MATCH(R$2,RawData[#Headers],)))</f>
        <v xml:space="preserve"> </v>
      </c>
      <c r="S26" s="255" t="str">
        <f t="shared" si="9"/>
        <v xml:space="preserve"> </v>
      </c>
      <c r="T26" s="255" t="str">
        <f>IF(INDEX('Raw Data'!$A26:$EA26,MATCH(T$2,RawData[#Headers],))=""," ",INDEX('Raw Data'!$A26:$EA26,MATCH(T$2,RawData[#Headers],)))</f>
        <v xml:space="preserve"> </v>
      </c>
      <c r="U26" s="255" t="str">
        <f t="shared" si="10"/>
        <v xml:space="preserve"> </v>
      </c>
      <c r="V26" s="255" t="str">
        <f>IF(INDEX('Raw Data'!$A26:$EA26,MATCH(V$2,RawData[#Headers],))=""," ",INDEX('Raw Data'!$A26:$EA26,MATCH(V$2,RawData[#Headers],)))</f>
        <v xml:space="preserve"> </v>
      </c>
      <c r="W26" s="255" t="str">
        <f t="shared" si="11"/>
        <v xml:space="preserve"> </v>
      </c>
      <c r="X26" s="255" t="str">
        <f>IF(INDEX('Raw Data'!$A26:$EA26,MATCH(X$2,RawData[#Headers],))=""," ",INDEX('Raw Data'!$A26:$EA26,MATCH(X$2,RawData[#Headers],)))</f>
        <v xml:space="preserve"> </v>
      </c>
      <c r="Y26" s="255" t="str">
        <f t="shared" si="12"/>
        <v xml:space="preserve"> </v>
      </c>
      <c r="Z26" s="255" t="str">
        <f>IF(INDEX('Raw Data'!$A26:$EA26,MATCH(Z$2,RawData[#Headers],))=""," ",INDEX('Raw Data'!$A26:$EA26,MATCH(Z$2,RawData[#Headers],)))</f>
        <v xml:space="preserve"> </v>
      </c>
      <c r="AA26" s="255" t="str">
        <f t="shared" si="13"/>
        <v xml:space="preserve"> </v>
      </c>
      <c r="AB26" s="255" t="str">
        <f>IF(INDEX('Raw Data'!$A26:$EA26,MATCH(AB$2,RawData[#Headers],))=""," ",INDEX('Raw Data'!$A26:$EA26,MATCH(AB$2,RawData[#Headers],)))</f>
        <v xml:space="preserve"> </v>
      </c>
      <c r="AC26" s="255" t="str">
        <f t="shared" si="14"/>
        <v xml:space="preserve"> </v>
      </c>
      <c r="AD26" s="255" t="str">
        <f>IF(INDEX('Raw Data'!$A26:$EA26,MATCH(AD$2,RawData[#Headers],))=""," ",INDEX('Raw Data'!$A26:$EA26,MATCH(AD$2,RawData[#Headers],)))</f>
        <v xml:space="preserve"> </v>
      </c>
      <c r="AE26" s="255" t="str">
        <f t="shared" si="15"/>
        <v xml:space="preserve"> </v>
      </c>
      <c r="AF26" s="255" t="str">
        <f>IF(INDEX('Raw Data'!$A26:$EA26,MATCH(AF$2,RawData[#Headers],))=""," ",INDEX('Raw Data'!$A26:$EA26,MATCH(AF$2,RawData[#Headers],)))</f>
        <v xml:space="preserve"> </v>
      </c>
      <c r="AG26" s="255" t="str">
        <f t="shared" si="16"/>
        <v xml:space="preserve"> </v>
      </c>
      <c r="AH26" s="255" t="str">
        <f>IF(INDEX('Raw Data'!$A26:$EA26,MATCH(AH$2,RawData[#Headers],))=""," ",INDEX('Raw Data'!$A26:$EA26,MATCH(AH$2,RawData[#Headers],)))</f>
        <v xml:space="preserve"> </v>
      </c>
      <c r="AI26" s="255" t="str">
        <f t="shared" si="17"/>
        <v xml:space="preserve"> </v>
      </c>
      <c r="AJ26" s="255" t="str">
        <f>IF(INDEX('Raw Data'!$A26:$EA26,MATCH(AJ$2,RawData[#Headers],))=""," ",INDEX('Raw Data'!$A26:$EA26,MATCH(AJ$2,RawData[#Headers],)))</f>
        <v xml:space="preserve"> </v>
      </c>
      <c r="AK26" s="255" t="str">
        <f t="shared" si="18"/>
        <v xml:space="preserve"> </v>
      </c>
      <c r="AL26" s="255" t="str">
        <f>IF(INDEX('Raw Data'!$A26:$EA26,MATCH(AL$2,RawData[#Headers],))=""," ",INDEX('Raw Data'!$A26:$EA26,MATCH(AL$2,RawData[#Headers],)))</f>
        <v xml:space="preserve"> </v>
      </c>
      <c r="AM26" s="255" t="str">
        <f t="shared" si="19"/>
        <v xml:space="preserve"> </v>
      </c>
      <c r="AN26" s="255" t="str">
        <f>IF(INDEX('Raw Data'!$A26:$EA26,MATCH(AN$2,RawData[#Headers],))=""," ",INDEX('Raw Data'!$A26:$EA26,MATCH(AN$2,RawData[#Headers],)))</f>
        <v xml:space="preserve"> </v>
      </c>
      <c r="AO26" s="255" t="str">
        <f t="shared" si="20"/>
        <v xml:space="preserve"> </v>
      </c>
      <c r="AP26" s="255" t="str">
        <f>IF(INDEX('Raw Data'!$A26:$EA26,MATCH(AP$2,RawData[#Headers],))=""," ",INDEX('Raw Data'!$A26:$EA26,MATCH(AP$2,RawData[#Headers],)))</f>
        <v xml:space="preserve"> </v>
      </c>
      <c r="AQ26" s="255" t="str">
        <f t="shared" si="21"/>
        <v xml:space="preserve"> </v>
      </c>
      <c r="AR26" s="255" t="str">
        <f>IF(INDEX('Raw Data'!$A26:$EA26,MATCH(AR$2,RawData[#Headers],))=""," ",INDEX('Raw Data'!$A26:$EA26,MATCH(AR$2,RawData[#Headers],)))</f>
        <v xml:space="preserve"> </v>
      </c>
      <c r="AS26" s="255" t="str">
        <f t="shared" si="22"/>
        <v xml:space="preserve"> </v>
      </c>
      <c r="AT26" s="255" t="str">
        <f>IF(INDEX('Raw Data'!$A26:$EA26,MATCH(AT$2,RawData[#Headers],))=""," ",INDEX('Raw Data'!$A26:$EA26,MATCH(AT$2,RawData[#Headers],)))</f>
        <v xml:space="preserve"> </v>
      </c>
      <c r="AU26" s="255" t="str">
        <f t="shared" si="23"/>
        <v xml:space="preserve"> </v>
      </c>
      <c r="AV26" s="255" t="str">
        <f>IF(INDEX('Raw Data'!$A26:$EA26,MATCH(AV$2,RawData[#Headers],))=""," ",INDEX('Raw Data'!$A26:$EA26,MATCH(AV$2,RawData[#Headers],)))</f>
        <v xml:space="preserve"> </v>
      </c>
      <c r="AW26" s="255" t="str">
        <f t="shared" si="24"/>
        <v xml:space="preserve"> </v>
      </c>
      <c r="AX26" s="255" t="str">
        <f>IF(INDEX('Raw Data'!$A26:$EA26,MATCH(AX$2,RawData[#Headers],))=""," ",INDEX('Raw Data'!$A26:$EA26,MATCH(AX$2,RawData[#Headers],)))</f>
        <v xml:space="preserve"> </v>
      </c>
      <c r="AY26" s="255" t="str">
        <f t="shared" si="25"/>
        <v xml:space="preserve"> </v>
      </c>
      <c r="AZ26" s="255" t="str">
        <f>IF(INDEX('Raw Data'!$A26:$EA26,MATCH(AZ$2,RawData[#Headers],))=""," ",INDEX('Raw Data'!$A26:$EA26,MATCH(AZ$2,RawData[#Headers],)))</f>
        <v xml:space="preserve"> </v>
      </c>
      <c r="BA26" s="255" t="str">
        <f t="shared" si="26"/>
        <v xml:space="preserve"> </v>
      </c>
      <c r="BB26" s="255" t="str">
        <f>IF(INDEX('Raw Data'!$A26:$EA26,MATCH(BB$2,RawData[#Headers],))=""," ",INDEX('Raw Data'!$A26:$EA26,MATCH(BB$2,RawData[#Headers],)))</f>
        <v xml:space="preserve"> </v>
      </c>
      <c r="BC26" s="255" t="str">
        <f t="shared" si="27"/>
        <v xml:space="preserve"> </v>
      </c>
      <c r="BD26" s="255" t="str">
        <f>IF(INDEX('Raw Data'!$A26:$EA26,MATCH(BD$2,RawData[#Headers],))=""," ",INDEX('Raw Data'!$A26:$EA26,MATCH(BD$2,RawData[#Headers],)))</f>
        <v xml:space="preserve"> </v>
      </c>
      <c r="BE26" s="255" t="str">
        <f t="shared" si="28"/>
        <v xml:space="preserve"> </v>
      </c>
      <c r="BF26" s="255" t="str">
        <f>IF(INDEX('Raw Data'!$A26:$EA26,MATCH(BF$2,RawData[#Headers],))=""," ",INDEX('Raw Data'!$A26:$EA26,MATCH(BF$2,RawData[#Headers],)))</f>
        <v xml:space="preserve"> </v>
      </c>
      <c r="BG26" s="255" t="str">
        <f t="shared" si="29"/>
        <v xml:space="preserve"> </v>
      </c>
      <c r="BH26" s="255" t="str">
        <f>IF(INDEX('Raw Data'!$A26:$EA26,MATCH(BH$2,RawData[#Headers],))=""," ",INDEX('Raw Data'!$A26:$EA26,MATCH(BH$2,RawData[#Headers],)))</f>
        <v xml:space="preserve"> </v>
      </c>
      <c r="BI26" s="255" t="str">
        <f t="shared" si="30"/>
        <v xml:space="preserve"> </v>
      </c>
      <c r="BJ26" s="255" t="str">
        <f>IF(INDEX('Raw Data'!$A26:$EA26,MATCH(BJ$2,RawData[#Headers],))=""," ",INDEX('Raw Data'!$A26:$EA26,MATCH(BJ$2,RawData[#Headers],)))</f>
        <v xml:space="preserve"> </v>
      </c>
      <c r="BK26" s="255" t="str">
        <f t="shared" si="31"/>
        <v xml:space="preserve"> </v>
      </c>
      <c r="BL26" s="255" t="str">
        <f>IF(INDEX('Raw Data'!$A26:$EA26,MATCH(BL$2,RawData[#Headers],))=""," ",INDEX('Raw Data'!$A26:$EA26,MATCH(BL$2,RawData[#Headers],)))</f>
        <v xml:space="preserve"> </v>
      </c>
      <c r="BM26" s="255" t="str">
        <f t="shared" si="32"/>
        <v xml:space="preserve"> </v>
      </c>
      <c r="BN26" s="255" t="str">
        <f>IF(INDEX('Raw Data'!$A26:$EA26,MATCH(BN$2,RawData[#Headers],))=""," ",INDEX('Raw Data'!$A26:$EA26,MATCH(BN$2,RawData[#Headers],)))</f>
        <v xml:space="preserve"> </v>
      </c>
      <c r="BO26" s="255" t="str">
        <f t="shared" si="33"/>
        <v xml:space="preserve"> </v>
      </c>
      <c r="BP26" s="255" t="str">
        <f>IF(INDEX('Raw Data'!$A26:$EA26,MATCH(BP$2,RawData[#Headers],))=""," ",INDEX('Raw Data'!$A26:$EA26,MATCH(BP$2,RawData[#Headers],)))</f>
        <v xml:space="preserve"> </v>
      </c>
      <c r="BQ26" s="255" t="str">
        <f t="shared" si="34"/>
        <v xml:space="preserve"> </v>
      </c>
      <c r="BR26" s="255" t="str">
        <f>IF(INDEX('Raw Data'!$A26:$EA26,MATCH(BR$2,RawData[#Headers],))=""," ",INDEX('Raw Data'!$A26:$EA26,MATCH(BR$2,RawData[#Headers],)))</f>
        <v xml:space="preserve"> </v>
      </c>
      <c r="BS26" s="255" t="str">
        <f t="shared" si="35"/>
        <v xml:space="preserve"> </v>
      </c>
      <c r="BT26" s="255" t="str">
        <f>IF(INDEX('Raw Data'!$A26:$EA26,MATCH(BT$2,RawData[#Headers],))=""," ",INDEX('Raw Data'!$A26:$EA26,MATCH(BT$2,RawData[#Headers],)))</f>
        <v xml:space="preserve"> </v>
      </c>
      <c r="BU26" s="255" t="str">
        <f t="shared" si="36"/>
        <v xml:space="preserve"> </v>
      </c>
      <c r="BV26" s="255" t="str">
        <f>IF(INDEX('Raw Data'!$A26:$EA26,MATCH(BV$2,RawData[#Headers],))=""," ",INDEX('Raw Data'!$A26:$EA26,MATCH(BV$2,RawData[#Headers],)))</f>
        <v xml:space="preserve"> </v>
      </c>
      <c r="BW26" s="255" t="str">
        <f t="shared" si="37"/>
        <v xml:space="preserve"> </v>
      </c>
      <c r="BX26" s="255" t="str">
        <f>IF(INDEX('Raw Data'!$A26:$EA26,MATCH(BX$2,RawData[#Headers],))=""," ",INDEX('Raw Data'!$A26:$EA26,MATCH(BX$2,RawData[#Headers],)))</f>
        <v xml:space="preserve"> </v>
      </c>
      <c r="BY26" s="255" t="str">
        <f t="shared" si="38"/>
        <v xml:space="preserve"> </v>
      </c>
      <c r="BZ26" s="255" t="str">
        <f>IF(INDEX('Raw Data'!$A26:$EA26,MATCH(BZ$2,RawData[#Headers],))=""," ",INDEX('Raw Data'!$A26:$EA26,MATCH(BZ$2,RawData[#Headers],)))</f>
        <v xml:space="preserve"> </v>
      </c>
      <c r="CA26" s="255" t="str">
        <f t="shared" si="39"/>
        <v xml:space="preserve"> </v>
      </c>
      <c r="CB26" s="255" t="str">
        <f>IF(INDEX('Raw Data'!$A26:$EA26,MATCH(CB$2,RawData[#Headers],))=""," ",INDEX('Raw Data'!$A26:$EA26,MATCH(CB$2,RawData[#Headers],)))</f>
        <v xml:space="preserve"> </v>
      </c>
      <c r="CC26" s="255" t="str">
        <f t="shared" si="40"/>
        <v xml:space="preserve"> </v>
      </c>
      <c r="CD26" s="255" t="str">
        <f>IF(INDEX('Raw Data'!$A26:$EA26,MATCH(CD$2,RawData[#Headers],))=""," ",INDEX('Raw Data'!$A26:$EA26,MATCH(CD$2,RawData[#Headers],)))</f>
        <v xml:space="preserve"> </v>
      </c>
      <c r="CE26" s="255" t="str">
        <f t="shared" si="41"/>
        <v xml:space="preserve"> </v>
      </c>
      <c r="CF26" s="255" t="str">
        <f>IF(INDEX('Raw Data'!$A26:$EA26,MATCH(CF$2,RawData[#Headers],))=""," ",INDEX('Raw Data'!$A26:$EA26,MATCH(CF$2,RawData[#Headers],)))</f>
        <v xml:space="preserve"> </v>
      </c>
      <c r="CG26" s="255" t="str">
        <f t="shared" si="42"/>
        <v xml:space="preserve"> </v>
      </c>
      <c r="CH26" s="255" t="str">
        <f>IF(INDEX('Raw Data'!$A26:$EA26,MATCH(CH$2,RawData[#Headers],))=""," ",INDEX('Raw Data'!$A26:$EA26,MATCH(CH$2,RawData[#Headers],)))</f>
        <v xml:space="preserve"> </v>
      </c>
      <c r="CI26" s="255" t="str">
        <f t="shared" si="43"/>
        <v xml:space="preserve"> </v>
      </c>
      <c r="CJ26" s="255" t="str">
        <f>IF(INDEX('Raw Data'!$A26:$EA26,MATCH(CJ$2,RawData[#Headers],))=""," ",INDEX('Raw Data'!$A26:$EA26,MATCH(CJ$2,RawData[#Headers],)))</f>
        <v xml:space="preserve"> </v>
      </c>
      <c r="CK26" s="255" t="str">
        <f t="shared" si="44"/>
        <v xml:space="preserve"> </v>
      </c>
      <c r="CL26" s="255" t="str">
        <f>IF(INDEX('Raw Data'!$A26:$EA26,MATCH(CL$2,RawData[#Headers],))=""," ",INDEX('Raw Data'!$A26:$EA26,MATCH(CL$2,RawData[#Headers],)))</f>
        <v xml:space="preserve"> </v>
      </c>
      <c r="CM26" s="255" t="str">
        <f t="shared" si="45"/>
        <v xml:space="preserve"> </v>
      </c>
      <c r="CN26" s="255" t="str">
        <f>IF(INDEX('Raw Data'!$A26:$EA26,MATCH(CN$2,RawData[#Headers],))=""," ",INDEX('Raw Data'!$A26:$EA26,MATCH(CN$2,RawData[#Headers],)))</f>
        <v xml:space="preserve"> </v>
      </c>
      <c r="CO26" s="255" t="str">
        <f t="shared" si="46"/>
        <v xml:space="preserve"> </v>
      </c>
      <c r="CP26" s="255" t="str">
        <f>IF(INDEX('Raw Data'!$A26:$EA26,MATCH(CP$2,RawData[#Headers],))=""," ",INDEX('Raw Data'!$A26:$EA26,MATCH(CP$2,RawData[#Headers],)))</f>
        <v xml:space="preserve"> </v>
      </c>
      <c r="CQ26" s="255" t="str">
        <f t="shared" si="47"/>
        <v xml:space="preserve"> </v>
      </c>
      <c r="CR26" s="255" t="str">
        <f>IF(INDEX('Raw Data'!$A26:$EA26,MATCH(CR$2,RawData[#Headers],))=""," ",INDEX('Raw Data'!$A26:$EA26,MATCH(CR$2,RawData[#Headers],)))</f>
        <v xml:space="preserve"> </v>
      </c>
      <c r="CS26" s="255" t="str">
        <f t="shared" si="48"/>
        <v xml:space="preserve"> </v>
      </c>
      <c r="CT26" s="255" t="str">
        <f>IF(INDEX('Raw Data'!$A26:$EA26,MATCH(CT$2,RawData[#Headers],))=""," ",INDEX('Raw Data'!$A26:$EA26,MATCH(CT$2,RawData[#Headers],)))</f>
        <v xml:space="preserve"> </v>
      </c>
      <c r="CU26" s="255" t="str">
        <f t="shared" si="49"/>
        <v xml:space="preserve"> </v>
      </c>
      <c r="CV26" s="255" t="str">
        <f>IF(INDEX('Raw Data'!$A26:$EA26,MATCH(CV$2,RawData[#Headers],))=""," ",INDEX('Raw Data'!$A26:$EA26,MATCH(CV$2,RawData[#Headers],)))</f>
        <v xml:space="preserve"> </v>
      </c>
      <c r="CW26" s="255" t="str">
        <f t="shared" si="50"/>
        <v xml:space="preserve"> </v>
      </c>
      <c r="CX26" s="255" t="str">
        <f>IF(INDEX('Raw Data'!$A26:$EA26,MATCH(CX$2,RawData[#Headers],))=""," ",INDEX('Raw Data'!$A26:$EA26,MATCH(CX$2,RawData[#Headers],)))</f>
        <v xml:space="preserve"> </v>
      </c>
      <c r="CY26" s="255" t="str">
        <f t="shared" si="51"/>
        <v xml:space="preserve"> </v>
      </c>
      <c r="CZ26" s="255" t="str">
        <f>IF(INDEX('Raw Data'!$A26:$EA26,MATCH(CZ$2,RawData[#Headers],))=""," ",INDEX('Raw Data'!$A26:$EA26,MATCH(CZ$2,RawData[#Headers],)))</f>
        <v xml:space="preserve"> </v>
      </c>
      <c r="DA26" s="255" t="str">
        <f t="shared" si="52"/>
        <v xml:space="preserve"> </v>
      </c>
      <c r="DB26" s="255" t="str">
        <f>IF(INDEX('Raw Data'!$A26:$EA26,MATCH(DB$2,RawData[#Headers],))=""," ",INDEX('Raw Data'!$A26:$EA26,MATCH(DB$2,RawData[#Headers],)))</f>
        <v xml:space="preserve"> </v>
      </c>
      <c r="DC26" s="255" t="str">
        <f t="shared" si="53"/>
        <v xml:space="preserve"> </v>
      </c>
      <c r="DD26" s="255" t="str">
        <f>IF(INDEX('Raw Data'!$A26:$EA26,MATCH(DD$2,RawData[#Headers],))=""," ",INDEX('Raw Data'!$A26:$EA26,MATCH(DD$2,RawData[#Headers],)))</f>
        <v xml:space="preserve"> </v>
      </c>
      <c r="DE26" s="255" t="str">
        <f t="shared" si="54"/>
        <v xml:space="preserve"> </v>
      </c>
      <c r="DF26" s="255" t="str">
        <f>IF(INDEX('Raw Data'!$A26:$EA26,MATCH(DF$2,RawData[#Headers],))=""," ",INDEX('Raw Data'!$A26:$EA26,MATCH(DF$2,RawData[#Headers],)))</f>
        <v xml:space="preserve"> </v>
      </c>
      <c r="DG26" s="255" t="str">
        <f t="shared" si="55"/>
        <v xml:space="preserve"> </v>
      </c>
      <c r="DH26" s="255" t="str">
        <f>IF(INDEX('Raw Data'!$A26:$EA26,MATCH(DH$2,RawData[#Headers],))=""," ",INDEX('Raw Data'!$A26:$EA26,MATCH(DH$2,RawData[#Headers],)))</f>
        <v xml:space="preserve"> </v>
      </c>
      <c r="DI26" s="255" t="str">
        <f t="shared" si="56"/>
        <v xml:space="preserve"> </v>
      </c>
      <c r="DJ26" s="255" t="str">
        <f>IF(INDEX('Raw Data'!$A26:$EA26,MATCH(DJ$2,RawData[#Headers],))=""," ",INDEX('Raw Data'!$A26:$EA26,MATCH(DJ$2,RawData[#Headers],)))</f>
        <v xml:space="preserve"> </v>
      </c>
      <c r="DK26" s="255" t="str">
        <f t="shared" si="57"/>
        <v xml:space="preserve"> </v>
      </c>
      <c r="DL26" s="255" t="str">
        <f>IF(INDEX('Raw Data'!$A26:$EA26,MATCH(DL$2,RawData[#Headers],))=""," ",INDEX('Raw Data'!$A26:$EA26,MATCH(DL$2,RawData[#Headers],)))</f>
        <v xml:space="preserve"> </v>
      </c>
      <c r="DM26" s="255" t="str">
        <f t="shared" si="58"/>
        <v xml:space="preserve"> </v>
      </c>
      <c r="DN26" s="255" t="str">
        <f>IF(INDEX('Raw Data'!$A26:$EA26,MATCH(DN$2,RawData[#Headers],))=""," ",INDEX('Raw Data'!$A26:$EA26,MATCH(DN$2,RawData[#Headers],)))</f>
        <v xml:space="preserve"> </v>
      </c>
      <c r="DO26" s="255" t="str">
        <f t="shared" si="59"/>
        <v xml:space="preserve"> </v>
      </c>
      <c r="DP26" s="255" t="str">
        <f>IF(INDEX('Raw Data'!$A26:$EA26,MATCH(DP$2,RawData[#Headers],))=""," ",INDEX('Raw Data'!$A26:$EA26,MATCH(DP$2,RawData[#Headers],)))</f>
        <v xml:space="preserve"> </v>
      </c>
      <c r="DQ26" s="255" t="str">
        <f t="shared" si="60"/>
        <v xml:space="preserve"> </v>
      </c>
      <c r="DR26" s="255" t="str">
        <f>IF(INDEX('Raw Data'!$A26:$EA26,MATCH(DR$2,RawData[#Headers],))=""," ",INDEX('Raw Data'!$A26:$EA26,MATCH(DR$2,RawData[#Headers],)))</f>
        <v xml:space="preserve"> </v>
      </c>
      <c r="DS26" s="255" t="str">
        <f t="shared" si="61"/>
        <v xml:space="preserve"> </v>
      </c>
      <c r="DT26" s="255" t="str">
        <f>IF(INDEX('Raw Data'!$A26:$EA26,MATCH(DT$2,RawData[#Headers],))=""," ",INDEX('Raw Data'!$A26:$EA26,MATCH(DT$2,RawData[#Headers],)))</f>
        <v xml:space="preserve"> </v>
      </c>
      <c r="DU26" s="255" t="str">
        <f t="shared" si="62"/>
        <v xml:space="preserve"> </v>
      </c>
      <c r="DV26" s="255" t="str">
        <f>IF(INDEX('Raw Data'!$A26:$EA26,MATCH(DV$2,RawData[#Headers],))=""," ",INDEX('Raw Data'!$A26:$EA26,MATCH(DV$2,RawData[#Headers],)))</f>
        <v xml:space="preserve"> </v>
      </c>
      <c r="DW26" s="255" t="str">
        <f t="shared" si="63"/>
        <v xml:space="preserve"> </v>
      </c>
      <c r="DX26" s="255" t="str">
        <f>IF(INDEX('Raw Data'!$A26:$EA26,MATCH(DX$2,RawData[#Headers],))=""," ",INDEX('Raw Data'!$A26:$EA26,MATCH(DX$2,RawData[#Headers],)))</f>
        <v xml:space="preserve"> </v>
      </c>
      <c r="DY26" s="255" t="str">
        <f t="shared" si="64"/>
        <v xml:space="preserve"> </v>
      </c>
      <c r="DZ26" s="255" t="str">
        <f>IF(INDEX('Raw Data'!$A26:$EA26,MATCH(DZ$2,RawData[#Headers],))=""," ",INDEX('Raw Data'!$A26:$EA26,MATCH(DZ$2,RawData[#Headers],)))</f>
        <v xml:space="preserve"> </v>
      </c>
      <c r="EA26" s="255" t="str">
        <f t="shared" si="65"/>
        <v xml:space="preserve"> </v>
      </c>
      <c r="EB26" s="255" t="str">
        <f>IF(INDEX('Raw Data'!$A26:$EA26,MATCH(EB$2,RawData[#Headers],))=""," ",INDEX('Raw Data'!$A26:$EA26,MATCH(EB$2,RawData[#Headers],)))</f>
        <v xml:space="preserve"> </v>
      </c>
      <c r="EC26" s="255" t="str">
        <f t="shared" si="66"/>
        <v xml:space="preserve"> </v>
      </c>
      <c r="ED26" s="255" t="str">
        <f>IF(INDEX('Raw Data'!$A26:$EA26,MATCH(ED$2,RawData[#Headers],))=""," ",INDEX('Raw Data'!$A26:$EA26,MATCH(ED$2,RawData[#Headers],)))</f>
        <v xml:space="preserve"> </v>
      </c>
      <c r="EE26" s="255" t="str">
        <f t="shared" si="67"/>
        <v xml:space="preserve"> </v>
      </c>
      <c r="EF26" s="255" t="str">
        <f>IF(INDEX('Raw Data'!$A26:$EA26,MATCH(EF$2,RawData[#Headers],))=""," ",INDEX('Raw Data'!$A26:$EA26,MATCH(EF$2,RawData[#Headers],)))</f>
        <v xml:space="preserve"> </v>
      </c>
      <c r="EG26" s="255" t="str">
        <f t="shared" si="68"/>
        <v xml:space="preserve"> </v>
      </c>
      <c r="EH26" s="255" t="str">
        <f>IF(INDEX('Raw Data'!$A26:$EA26,MATCH(EH$2,RawData[#Headers],))=""," ",INDEX('Raw Data'!$A26:$EA26,MATCH(EH$2,RawData[#Headers],)))</f>
        <v xml:space="preserve"> </v>
      </c>
      <c r="EI26" s="255" t="str">
        <f t="shared" si="69"/>
        <v xml:space="preserve"> </v>
      </c>
      <c r="EJ26" s="255" t="str">
        <f>IF(INDEX('Raw Data'!$A26:$EA26,MATCH(EJ$2,RawData[#Headers],))=""," ",INDEX('Raw Data'!$A26:$EA26,MATCH(EJ$2,RawData[#Headers],)))</f>
        <v xml:space="preserve"> </v>
      </c>
      <c r="EK26" s="255" t="str">
        <f t="shared" si="70"/>
        <v xml:space="preserve"> </v>
      </c>
      <c r="EL26" s="255" t="str">
        <f>IF(INDEX('Raw Data'!$A26:$EA26,MATCH(EL$2,RawData[#Headers],))=""," ",INDEX('Raw Data'!$A26:$EA26,MATCH(EL$2,RawData[#Headers],)))</f>
        <v xml:space="preserve"> </v>
      </c>
      <c r="EM26" s="255" t="str">
        <f t="shared" si="71"/>
        <v xml:space="preserve"> </v>
      </c>
      <c r="EN26" s="255" t="str">
        <f>IF(INDEX('Raw Data'!$A26:$EA26,MATCH(EN$2,RawData[#Headers],))=""," ",INDEX('Raw Data'!$A26:$EA26,MATCH(EN$2,RawData[#Headers],)))</f>
        <v xml:space="preserve"> </v>
      </c>
      <c r="EO26" s="255" t="str">
        <f t="shared" si="72"/>
        <v xml:space="preserve"> </v>
      </c>
      <c r="EP26" s="255" t="str">
        <f>IF(INDEX('Raw Data'!$A26:$EA26,MATCH(EP$2,RawData[#Headers],))=""," ",INDEX('Raw Data'!$A26:$EA26,MATCH(EP$2,RawData[#Headers],)))</f>
        <v xml:space="preserve"> </v>
      </c>
      <c r="EQ26" s="255" t="str">
        <f t="shared" si="73"/>
        <v xml:space="preserve"> </v>
      </c>
      <c r="ER26" s="255" t="str">
        <f>IF(INDEX('Raw Data'!$A26:$EA26,MATCH(ER$2,RawData[#Headers],))=""," ",INDEX('Raw Data'!$A26:$EA26,MATCH(ER$2,RawData[#Headers],)))</f>
        <v xml:space="preserve"> </v>
      </c>
      <c r="ES26" s="255" t="str">
        <f t="shared" si="2"/>
        <v xml:space="preserve"> </v>
      </c>
      <c r="ET26" s="255" t="str">
        <f>IF(INDEX('Raw Data'!$A26:$EA26,MATCH(ET$2,RawData[#Headers],))=""," ",INDEX('Raw Data'!$A26:$EA26,MATCH(ET$2,RawData[#Headers],)))</f>
        <v xml:space="preserve"> </v>
      </c>
      <c r="EU26" s="255" t="str">
        <f t="shared" si="3"/>
        <v xml:space="preserve"> </v>
      </c>
      <c r="EV26" s="255" t="str">
        <f>IF(INDEX('Raw Data'!$A26:$EA26,MATCH(EV$2,RawData[#Headers],))=""," ",INDEX('Raw Data'!$A26:$EA26,MATCH(EV$2,RawData[#Headers],)))</f>
        <v xml:space="preserve"> </v>
      </c>
      <c r="EW26" s="255" t="str">
        <f t="shared" si="4"/>
        <v xml:space="preserve"> </v>
      </c>
      <c r="EX26" s="255" t="str">
        <f>IF(INDEX('Raw Data'!$A26:$EA26,MATCH(EX$2,RawData[#Headers],))=""," ",INDEX('Raw Data'!$A26:$EA26,MATCH(EX$2,RawData[#Headers],)))</f>
        <v xml:space="preserve"> </v>
      </c>
      <c r="EY26" s="255" t="str">
        <f t="shared" si="74"/>
        <v xml:space="preserve"> </v>
      </c>
      <c r="EZ26" s="276" t="str">
        <f>IF(INDEX('Raw Data'!$A26:$EA26,MATCH(EZ$2,RawData[#Headers],))=""," ",INDEX('Raw Data'!$A26:$EA26,MATCH(EZ$2,RawData[#Headers],)))</f>
        <v xml:space="preserve"> </v>
      </c>
      <c r="FA26" s="255" t="str">
        <f t="shared" si="75"/>
        <v xml:space="preserve"> </v>
      </c>
      <c r="FB26" s="255" t="str">
        <f>IF(INDEX('Raw Data'!$A26:$EA26,MATCH(FB$2,RawData[#Headers],))=""," ",INDEX('Raw Data'!$A26:$EA26,MATCH(FB$2,RawData[#Headers],)))</f>
        <v xml:space="preserve"> </v>
      </c>
    </row>
    <row r="27" spans="1:158" x14ac:dyDescent="0.3">
      <c r="A27" s="255">
        <f>RawData[[#This Row],[Num]]</f>
        <v>0</v>
      </c>
      <c r="B27" s="255" t="str">
        <f>IF(INDEX('Raw Data'!$A27:$EA27,MATCH(B$2,RawData[#Headers],))=""," ",INDEX('Raw Data'!$A27:$EA27,MATCH(B$2,RawData[#Headers],)))</f>
        <v xml:space="preserve"> </v>
      </c>
      <c r="C27" s="326" t="str">
        <f>IFERROR(STANDARDIZE(machina[[#This Row],[Career Strike Rate]],B$30,B$31)^2," ")</f>
        <v xml:space="preserve"> </v>
      </c>
      <c r="D27" s="255" t="str">
        <f>IF(INDEX('Raw Data'!$A27:$EA27,MATCH(D$2,RawData[#Headers],))=""," ",INDEX('Raw Data'!$A27:$EA27,MATCH(D$2,RawData[#Headers],)))</f>
        <v xml:space="preserve"> </v>
      </c>
      <c r="E27" s="326" t="str">
        <f>IFERROR(STANDARDIZE(machina[[#This Row],[Career ROI]],D$30,D$31)^2," ")</f>
        <v xml:space="preserve"> </v>
      </c>
      <c r="F27" s="255" t="str">
        <f>IF(INDEX('Raw Data'!$A27:$EA27,MATCH(F$2,RawData[#Headers],))=""," ",INDEX('Raw Data'!$A27:$EA27,MATCH(F$2,RawData[#Headers],)))</f>
        <v xml:space="preserve"> </v>
      </c>
      <c r="G27" s="255" t="str">
        <f t="shared" si="5"/>
        <v xml:space="preserve"> </v>
      </c>
      <c r="H27" s="255" t="str">
        <f>IF(INDEX('Raw Data'!$A27:$EA27,MATCH(H$2,RawData[#Headers],))=""," ",INDEX('Raw Data'!$A27:$EA27,MATCH(H$2,RawData[#Headers],)))</f>
        <v xml:space="preserve"> </v>
      </c>
      <c r="I27" s="255" t="str">
        <f t="shared" si="6"/>
        <v xml:space="preserve"> </v>
      </c>
      <c r="J27" s="255" t="str">
        <f>IF(INDEX('Raw Data'!$A27:$EA27,MATCH(J$2,RawData[#Headers],))=""," ",INDEX('Raw Data'!$A27:$EA27,MATCH(J$2,RawData[#Headers],)))</f>
        <v xml:space="preserve"> </v>
      </c>
      <c r="K27" s="255" t="str">
        <f t="shared" si="7"/>
        <v xml:space="preserve"> </v>
      </c>
      <c r="L27" s="255" t="str">
        <f>IF(INDEX('Raw Data'!$A27:$EA27,MATCH(L$2,RawData[#Headers],))=""," ",INDEX('Raw Data'!$A27:$EA27,MATCH(L$2,RawData[#Headers],)))</f>
        <v xml:space="preserve"> </v>
      </c>
      <c r="M27" s="255" t="str">
        <f t="shared" si="0"/>
        <v xml:space="preserve"> </v>
      </c>
      <c r="N27" s="255" t="str">
        <f>IF(INDEX('Raw Data'!$A27:$EA27,MATCH(N$2,RawData[#Headers],))=""," ",INDEX('Raw Data'!$A27:$EA27,MATCH(N$2,RawData[#Headers],)))</f>
        <v xml:space="preserve"> </v>
      </c>
      <c r="O27" s="255" t="str">
        <f t="shared" si="0"/>
        <v xml:space="preserve"> </v>
      </c>
      <c r="P27" s="255" t="str">
        <f>IF(INDEX('Raw Data'!$A27:$EA27,MATCH(P$2,RawData[#Headers],))=""," ",INDEX('Raw Data'!$A27:$EA27,MATCH(P$2,RawData[#Headers],)))</f>
        <v xml:space="preserve"> </v>
      </c>
      <c r="Q27" s="255" t="str">
        <f t="shared" ref="Q27" si="98">IF(ISERROR(IF(P27=""," ",RANK(P27,P$3:P$28,1)))," ",IF(P27=""," ",RANK(P27,P$3:P$28,1)))</f>
        <v xml:space="preserve"> </v>
      </c>
      <c r="R27" s="255" t="str">
        <f>IF(INDEX('Raw Data'!$A27:$EA27,MATCH(R$2,RawData[#Headers],))=""," ",INDEX('Raw Data'!$A27:$EA27,MATCH(R$2,RawData[#Headers],)))</f>
        <v xml:space="preserve"> </v>
      </c>
      <c r="S27" s="255" t="str">
        <f t="shared" si="9"/>
        <v xml:space="preserve"> </v>
      </c>
      <c r="T27" s="255" t="str">
        <f>IF(INDEX('Raw Data'!$A27:$EA27,MATCH(T$2,RawData[#Headers],))=""," ",INDEX('Raw Data'!$A27:$EA27,MATCH(T$2,RawData[#Headers],)))</f>
        <v xml:space="preserve"> </v>
      </c>
      <c r="U27" s="255" t="str">
        <f t="shared" si="10"/>
        <v xml:space="preserve"> </v>
      </c>
      <c r="V27" s="255" t="str">
        <f>IF(INDEX('Raw Data'!$A27:$EA27,MATCH(V$2,RawData[#Headers],))=""," ",INDEX('Raw Data'!$A27:$EA27,MATCH(V$2,RawData[#Headers],)))</f>
        <v xml:space="preserve"> </v>
      </c>
      <c r="W27" s="255" t="str">
        <f t="shared" si="11"/>
        <v xml:space="preserve"> </v>
      </c>
      <c r="X27" s="255" t="str">
        <f>IF(INDEX('Raw Data'!$A27:$EA27,MATCH(X$2,RawData[#Headers],))=""," ",INDEX('Raw Data'!$A27:$EA27,MATCH(X$2,RawData[#Headers],)))</f>
        <v xml:space="preserve"> </v>
      </c>
      <c r="Y27" s="255" t="str">
        <f t="shared" si="12"/>
        <v xml:space="preserve"> </v>
      </c>
      <c r="Z27" s="255" t="str">
        <f>IF(INDEX('Raw Data'!$A27:$EA27,MATCH(Z$2,RawData[#Headers],))=""," ",INDEX('Raw Data'!$A27:$EA27,MATCH(Z$2,RawData[#Headers],)))</f>
        <v xml:space="preserve"> </v>
      </c>
      <c r="AA27" s="255" t="str">
        <f t="shared" si="13"/>
        <v xml:space="preserve"> </v>
      </c>
      <c r="AB27" s="255" t="str">
        <f>IF(INDEX('Raw Data'!$A27:$EA27,MATCH(AB$2,RawData[#Headers],))=""," ",INDEX('Raw Data'!$A27:$EA27,MATCH(AB$2,RawData[#Headers],)))</f>
        <v xml:space="preserve"> </v>
      </c>
      <c r="AC27" s="255" t="str">
        <f t="shared" si="14"/>
        <v xml:space="preserve"> </v>
      </c>
      <c r="AD27" s="255" t="str">
        <f>IF(INDEX('Raw Data'!$A27:$EA27,MATCH(AD$2,RawData[#Headers],))=""," ",INDEX('Raw Data'!$A27:$EA27,MATCH(AD$2,RawData[#Headers],)))</f>
        <v xml:space="preserve"> </v>
      </c>
      <c r="AE27" s="255" t="str">
        <f t="shared" si="15"/>
        <v xml:space="preserve"> </v>
      </c>
      <c r="AF27" s="255" t="str">
        <f>IF(INDEX('Raw Data'!$A27:$EA27,MATCH(AF$2,RawData[#Headers],))=""," ",INDEX('Raw Data'!$A27:$EA27,MATCH(AF$2,RawData[#Headers],)))</f>
        <v xml:space="preserve"> </v>
      </c>
      <c r="AG27" s="255" t="str">
        <f t="shared" si="16"/>
        <v xml:space="preserve"> </v>
      </c>
      <c r="AH27" s="255" t="str">
        <f>IF(INDEX('Raw Data'!$A27:$EA27,MATCH(AH$2,RawData[#Headers],))=""," ",INDEX('Raw Data'!$A27:$EA27,MATCH(AH$2,RawData[#Headers],)))</f>
        <v xml:space="preserve"> </v>
      </c>
      <c r="AI27" s="255" t="str">
        <f t="shared" si="17"/>
        <v xml:space="preserve"> </v>
      </c>
      <c r="AJ27" s="255" t="str">
        <f>IF(INDEX('Raw Data'!$A27:$EA27,MATCH(AJ$2,RawData[#Headers],))=""," ",INDEX('Raw Data'!$A27:$EA27,MATCH(AJ$2,RawData[#Headers],)))</f>
        <v xml:space="preserve"> </v>
      </c>
      <c r="AK27" s="255" t="str">
        <f t="shared" si="18"/>
        <v xml:space="preserve"> </v>
      </c>
      <c r="AL27" s="255" t="str">
        <f>IF(INDEX('Raw Data'!$A27:$EA27,MATCH(AL$2,RawData[#Headers],))=""," ",INDEX('Raw Data'!$A27:$EA27,MATCH(AL$2,RawData[#Headers],)))</f>
        <v xml:space="preserve"> </v>
      </c>
      <c r="AM27" s="255" t="str">
        <f t="shared" si="19"/>
        <v xml:space="preserve"> </v>
      </c>
      <c r="AN27" s="255" t="str">
        <f>IF(INDEX('Raw Data'!$A27:$EA27,MATCH(AN$2,RawData[#Headers],))=""," ",INDEX('Raw Data'!$A27:$EA27,MATCH(AN$2,RawData[#Headers],)))</f>
        <v xml:space="preserve"> </v>
      </c>
      <c r="AO27" s="255" t="str">
        <f t="shared" si="20"/>
        <v xml:space="preserve"> </v>
      </c>
      <c r="AP27" s="255" t="str">
        <f>IF(INDEX('Raw Data'!$A27:$EA27,MATCH(AP$2,RawData[#Headers],))=""," ",INDEX('Raw Data'!$A27:$EA27,MATCH(AP$2,RawData[#Headers],)))</f>
        <v xml:space="preserve"> </v>
      </c>
      <c r="AQ27" s="255" t="str">
        <f t="shared" si="21"/>
        <v xml:space="preserve"> </v>
      </c>
      <c r="AR27" s="255" t="str">
        <f>IF(INDEX('Raw Data'!$A27:$EA27,MATCH(AR$2,RawData[#Headers],))=""," ",INDEX('Raw Data'!$A27:$EA27,MATCH(AR$2,RawData[#Headers],)))</f>
        <v xml:space="preserve"> </v>
      </c>
      <c r="AS27" s="255" t="str">
        <f t="shared" si="22"/>
        <v xml:space="preserve"> </v>
      </c>
      <c r="AT27" s="255" t="str">
        <f>IF(INDEX('Raw Data'!$A27:$EA27,MATCH(AT$2,RawData[#Headers],))=""," ",INDEX('Raw Data'!$A27:$EA27,MATCH(AT$2,RawData[#Headers],)))</f>
        <v xml:space="preserve"> </v>
      </c>
      <c r="AU27" s="255" t="str">
        <f t="shared" si="23"/>
        <v xml:space="preserve"> </v>
      </c>
      <c r="AV27" s="255" t="str">
        <f>IF(INDEX('Raw Data'!$A27:$EA27,MATCH(AV$2,RawData[#Headers],))=""," ",INDEX('Raw Data'!$A27:$EA27,MATCH(AV$2,RawData[#Headers],)))</f>
        <v xml:space="preserve"> </v>
      </c>
      <c r="AW27" s="255" t="str">
        <f t="shared" si="24"/>
        <v xml:space="preserve"> </v>
      </c>
      <c r="AX27" s="255" t="str">
        <f>IF(INDEX('Raw Data'!$A27:$EA27,MATCH(AX$2,RawData[#Headers],))=""," ",INDEX('Raw Data'!$A27:$EA27,MATCH(AX$2,RawData[#Headers],)))</f>
        <v xml:space="preserve"> </v>
      </c>
      <c r="AY27" s="255" t="str">
        <f t="shared" si="25"/>
        <v xml:space="preserve"> </v>
      </c>
      <c r="AZ27" s="255" t="str">
        <f>IF(INDEX('Raw Data'!$A27:$EA27,MATCH(AZ$2,RawData[#Headers],))=""," ",INDEX('Raw Data'!$A27:$EA27,MATCH(AZ$2,RawData[#Headers],)))</f>
        <v xml:space="preserve"> </v>
      </c>
      <c r="BA27" s="255" t="str">
        <f t="shared" si="26"/>
        <v xml:space="preserve"> </v>
      </c>
      <c r="BB27" s="255" t="str">
        <f>IF(INDEX('Raw Data'!$A27:$EA27,MATCH(BB$2,RawData[#Headers],))=""," ",INDEX('Raw Data'!$A27:$EA27,MATCH(BB$2,RawData[#Headers],)))</f>
        <v xml:space="preserve"> </v>
      </c>
      <c r="BC27" s="255" t="str">
        <f t="shared" si="27"/>
        <v xml:space="preserve"> </v>
      </c>
      <c r="BD27" s="255" t="str">
        <f>IF(INDEX('Raw Data'!$A27:$EA27,MATCH(BD$2,RawData[#Headers],))=""," ",INDEX('Raw Data'!$A27:$EA27,MATCH(BD$2,RawData[#Headers],)))</f>
        <v xml:space="preserve"> </v>
      </c>
      <c r="BE27" s="255" t="str">
        <f t="shared" si="28"/>
        <v xml:space="preserve"> </v>
      </c>
      <c r="BF27" s="255" t="str">
        <f>IF(INDEX('Raw Data'!$A27:$EA27,MATCH(BF$2,RawData[#Headers],))=""," ",INDEX('Raw Data'!$A27:$EA27,MATCH(BF$2,RawData[#Headers],)))</f>
        <v xml:space="preserve"> </v>
      </c>
      <c r="BG27" s="255" t="str">
        <f t="shared" si="29"/>
        <v xml:space="preserve"> </v>
      </c>
      <c r="BH27" s="255" t="str">
        <f>IF(INDEX('Raw Data'!$A27:$EA27,MATCH(BH$2,RawData[#Headers],))=""," ",INDEX('Raw Data'!$A27:$EA27,MATCH(BH$2,RawData[#Headers],)))</f>
        <v xml:space="preserve"> </v>
      </c>
      <c r="BI27" s="255" t="str">
        <f t="shared" si="30"/>
        <v xml:space="preserve"> </v>
      </c>
      <c r="BJ27" s="255" t="str">
        <f>IF(INDEX('Raw Data'!$A27:$EA27,MATCH(BJ$2,RawData[#Headers],))=""," ",INDEX('Raw Data'!$A27:$EA27,MATCH(BJ$2,RawData[#Headers],)))</f>
        <v xml:space="preserve"> </v>
      </c>
      <c r="BK27" s="255" t="str">
        <f t="shared" si="31"/>
        <v xml:space="preserve"> </v>
      </c>
      <c r="BL27" s="255" t="str">
        <f>IF(INDEX('Raw Data'!$A27:$EA27,MATCH(BL$2,RawData[#Headers],))=""," ",INDEX('Raw Data'!$A27:$EA27,MATCH(BL$2,RawData[#Headers],)))</f>
        <v xml:space="preserve"> </v>
      </c>
      <c r="BM27" s="255" t="str">
        <f t="shared" si="32"/>
        <v xml:space="preserve"> </v>
      </c>
      <c r="BN27" s="255" t="str">
        <f>IF(INDEX('Raw Data'!$A27:$EA27,MATCH(BN$2,RawData[#Headers],))=""," ",INDEX('Raw Data'!$A27:$EA27,MATCH(BN$2,RawData[#Headers],)))</f>
        <v xml:space="preserve"> </v>
      </c>
      <c r="BO27" s="255" t="str">
        <f t="shared" si="33"/>
        <v xml:space="preserve"> </v>
      </c>
      <c r="BP27" s="255" t="str">
        <f>IF(INDEX('Raw Data'!$A27:$EA27,MATCH(BP$2,RawData[#Headers],))=""," ",INDEX('Raw Data'!$A27:$EA27,MATCH(BP$2,RawData[#Headers],)))</f>
        <v xml:space="preserve"> </v>
      </c>
      <c r="BQ27" s="255" t="str">
        <f t="shared" si="34"/>
        <v xml:space="preserve"> </v>
      </c>
      <c r="BR27" s="255" t="str">
        <f>IF(INDEX('Raw Data'!$A27:$EA27,MATCH(BR$2,RawData[#Headers],))=""," ",INDEX('Raw Data'!$A27:$EA27,MATCH(BR$2,RawData[#Headers],)))</f>
        <v xml:space="preserve"> </v>
      </c>
      <c r="BS27" s="255" t="str">
        <f t="shared" si="35"/>
        <v xml:space="preserve"> </v>
      </c>
      <c r="BT27" s="255" t="str">
        <f>IF(INDEX('Raw Data'!$A27:$EA27,MATCH(BT$2,RawData[#Headers],))=""," ",INDEX('Raw Data'!$A27:$EA27,MATCH(BT$2,RawData[#Headers],)))</f>
        <v xml:space="preserve"> </v>
      </c>
      <c r="BU27" s="255" t="str">
        <f t="shared" si="36"/>
        <v xml:space="preserve"> </v>
      </c>
      <c r="BV27" s="255" t="str">
        <f>IF(INDEX('Raw Data'!$A27:$EA27,MATCH(BV$2,RawData[#Headers],))=""," ",INDEX('Raw Data'!$A27:$EA27,MATCH(BV$2,RawData[#Headers],)))</f>
        <v xml:space="preserve"> </v>
      </c>
      <c r="BW27" s="255" t="str">
        <f t="shared" si="37"/>
        <v xml:space="preserve"> </v>
      </c>
      <c r="BX27" s="255" t="str">
        <f>IF(INDEX('Raw Data'!$A27:$EA27,MATCH(BX$2,RawData[#Headers],))=""," ",INDEX('Raw Data'!$A27:$EA27,MATCH(BX$2,RawData[#Headers],)))</f>
        <v xml:space="preserve"> </v>
      </c>
      <c r="BY27" s="255" t="str">
        <f t="shared" si="38"/>
        <v xml:space="preserve"> </v>
      </c>
      <c r="BZ27" s="255" t="str">
        <f>IF(INDEX('Raw Data'!$A27:$EA27,MATCH(BZ$2,RawData[#Headers],))=""," ",INDEX('Raw Data'!$A27:$EA27,MATCH(BZ$2,RawData[#Headers],)))</f>
        <v xml:space="preserve"> </v>
      </c>
      <c r="CA27" s="255" t="str">
        <f t="shared" si="39"/>
        <v xml:space="preserve"> </v>
      </c>
      <c r="CB27" s="255" t="str">
        <f>IF(INDEX('Raw Data'!$A27:$EA27,MATCH(CB$2,RawData[#Headers],))=""," ",INDEX('Raw Data'!$A27:$EA27,MATCH(CB$2,RawData[#Headers],)))</f>
        <v xml:space="preserve"> </v>
      </c>
      <c r="CC27" s="255" t="str">
        <f t="shared" si="40"/>
        <v xml:space="preserve"> </v>
      </c>
      <c r="CD27" s="255" t="str">
        <f>IF(INDEX('Raw Data'!$A27:$EA27,MATCH(CD$2,RawData[#Headers],))=""," ",INDEX('Raw Data'!$A27:$EA27,MATCH(CD$2,RawData[#Headers],)))</f>
        <v xml:space="preserve"> </v>
      </c>
      <c r="CE27" s="255" t="str">
        <f t="shared" si="41"/>
        <v xml:space="preserve"> </v>
      </c>
      <c r="CF27" s="255" t="str">
        <f>IF(INDEX('Raw Data'!$A27:$EA27,MATCH(CF$2,RawData[#Headers],))=""," ",INDEX('Raw Data'!$A27:$EA27,MATCH(CF$2,RawData[#Headers],)))</f>
        <v xml:space="preserve"> </v>
      </c>
      <c r="CG27" s="255" t="str">
        <f t="shared" si="42"/>
        <v xml:space="preserve"> </v>
      </c>
      <c r="CH27" s="255" t="str">
        <f>IF(INDEX('Raw Data'!$A27:$EA27,MATCH(CH$2,RawData[#Headers],))=""," ",INDEX('Raw Data'!$A27:$EA27,MATCH(CH$2,RawData[#Headers],)))</f>
        <v xml:space="preserve"> </v>
      </c>
      <c r="CI27" s="255" t="str">
        <f t="shared" si="43"/>
        <v xml:space="preserve"> </v>
      </c>
      <c r="CJ27" s="255" t="str">
        <f>IF(INDEX('Raw Data'!$A27:$EA27,MATCH(CJ$2,RawData[#Headers],))=""," ",INDEX('Raw Data'!$A27:$EA27,MATCH(CJ$2,RawData[#Headers],)))</f>
        <v xml:space="preserve"> </v>
      </c>
      <c r="CK27" s="255" t="str">
        <f t="shared" si="44"/>
        <v xml:space="preserve"> </v>
      </c>
      <c r="CL27" s="255" t="str">
        <f>IF(INDEX('Raw Data'!$A27:$EA27,MATCH(CL$2,RawData[#Headers],))=""," ",INDEX('Raw Data'!$A27:$EA27,MATCH(CL$2,RawData[#Headers],)))</f>
        <v xml:space="preserve"> </v>
      </c>
      <c r="CM27" s="255" t="str">
        <f t="shared" si="45"/>
        <v xml:space="preserve"> </v>
      </c>
      <c r="CN27" s="255" t="str">
        <f>IF(INDEX('Raw Data'!$A27:$EA27,MATCH(CN$2,RawData[#Headers],))=""," ",INDEX('Raw Data'!$A27:$EA27,MATCH(CN$2,RawData[#Headers],)))</f>
        <v xml:space="preserve"> </v>
      </c>
      <c r="CO27" s="255" t="str">
        <f t="shared" si="46"/>
        <v xml:space="preserve"> </v>
      </c>
      <c r="CP27" s="255" t="str">
        <f>IF(INDEX('Raw Data'!$A27:$EA27,MATCH(CP$2,RawData[#Headers],))=""," ",INDEX('Raw Data'!$A27:$EA27,MATCH(CP$2,RawData[#Headers],)))</f>
        <v xml:space="preserve"> </v>
      </c>
      <c r="CQ27" s="255" t="str">
        <f t="shared" si="47"/>
        <v xml:space="preserve"> </v>
      </c>
      <c r="CR27" s="255" t="str">
        <f>IF(INDEX('Raw Data'!$A27:$EA27,MATCH(CR$2,RawData[#Headers],))=""," ",INDEX('Raw Data'!$A27:$EA27,MATCH(CR$2,RawData[#Headers],)))</f>
        <v xml:space="preserve"> </v>
      </c>
      <c r="CS27" s="255" t="str">
        <f t="shared" si="48"/>
        <v xml:space="preserve"> </v>
      </c>
      <c r="CT27" s="255" t="str">
        <f>IF(INDEX('Raw Data'!$A27:$EA27,MATCH(CT$2,RawData[#Headers],))=""," ",INDEX('Raw Data'!$A27:$EA27,MATCH(CT$2,RawData[#Headers],)))</f>
        <v xml:space="preserve"> </v>
      </c>
      <c r="CU27" s="255" t="str">
        <f t="shared" si="49"/>
        <v xml:space="preserve"> </v>
      </c>
      <c r="CV27" s="255" t="str">
        <f>IF(INDEX('Raw Data'!$A27:$EA27,MATCH(CV$2,RawData[#Headers],))=""," ",INDEX('Raw Data'!$A27:$EA27,MATCH(CV$2,RawData[#Headers],)))</f>
        <v xml:space="preserve"> </v>
      </c>
      <c r="CW27" s="255" t="str">
        <f t="shared" si="50"/>
        <v xml:space="preserve"> </v>
      </c>
      <c r="CX27" s="255" t="str">
        <f>IF(INDEX('Raw Data'!$A27:$EA27,MATCH(CX$2,RawData[#Headers],))=""," ",INDEX('Raw Data'!$A27:$EA27,MATCH(CX$2,RawData[#Headers],)))</f>
        <v xml:space="preserve"> </v>
      </c>
      <c r="CY27" s="255" t="str">
        <f t="shared" si="51"/>
        <v xml:space="preserve"> </v>
      </c>
      <c r="CZ27" s="255" t="str">
        <f>IF(INDEX('Raw Data'!$A27:$EA27,MATCH(CZ$2,RawData[#Headers],))=""," ",INDEX('Raw Data'!$A27:$EA27,MATCH(CZ$2,RawData[#Headers],)))</f>
        <v xml:space="preserve"> </v>
      </c>
      <c r="DA27" s="255" t="str">
        <f t="shared" si="52"/>
        <v xml:space="preserve"> </v>
      </c>
      <c r="DB27" s="255" t="str">
        <f>IF(INDEX('Raw Data'!$A27:$EA27,MATCH(DB$2,RawData[#Headers],))=""," ",INDEX('Raw Data'!$A27:$EA27,MATCH(DB$2,RawData[#Headers],)))</f>
        <v xml:space="preserve"> </v>
      </c>
      <c r="DC27" s="255" t="str">
        <f t="shared" si="53"/>
        <v xml:space="preserve"> </v>
      </c>
      <c r="DD27" s="255" t="str">
        <f>IF(INDEX('Raw Data'!$A27:$EA27,MATCH(DD$2,RawData[#Headers],))=""," ",INDEX('Raw Data'!$A27:$EA27,MATCH(DD$2,RawData[#Headers],)))</f>
        <v xml:space="preserve"> </v>
      </c>
      <c r="DE27" s="255" t="str">
        <f t="shared" si="54"/>
        <v xml:space="preserve"> </v>
      </c>
      <c r="DF27" s="255" t="str">
        <f>IF(INDEX('Raw Data'!$A27:$EA27,MATCH(DF$2,RawData[#Headers],))=""," ",INDEX('Raw Data'!$A27:$EA27,MATCH(DF$2,RawData[#Headers],)))</f>
        <v xml:space="preserve"> </v>
      </c>
      <c r="DG27" s="255" t="str">
        <f t="shared" si="55"/>
        <v xml:space="preserve"> </v>
      </c>
      <c r="DH27" s="255" t="str">
        <f>IF(INDEX('Raw Data'!$A27:$EA27,MATCH(DH$2,RawData[#Headers],))=""," ",INDEX('Raw Data'!$A27:$EA27,MATCH(DH$2,RawData[#Headers],)))</f>
        <v xml:space="preserve"> </v>
      </c>
      <c r="DI27" s="255" t="str">
        <f t="shared" si="56"/>
        <v xml:space="preserve"> </v>
      </c>
      <c r="DJ27" s="255" t="str">
        <f>IF(INDEX('Raw Data'!$A27:$EA27,MATCH(DJ$2,RawData[#Headers],))=""," ",INDEX('Raw Data'!$A27:$EA27,MATCH(DJ$2,RawData[#Headers],)))</f>
        <v xml:space="preserve"> </v>
      </c>
      <c r="DK27" s="255" t="str">
        <f t="shared" si="57"/>
        <v xml:space="preserve"> </v>
      </c>
      <c r="DL27" s="255" t="str">
        <f>IF(INDEX('Raw Data'!$A27:$EA27,MATCH(DL$2,RawData[#Headers],))=""," ",INDEX('Raw Data'!$A27:$EA27,MATCH(DL$2,RawData[#Headers],)))</f>
        <v xml:space="preserve"> </v>
      </c>
      <c r="DM27" s="255" t="str">
        <f t="shared" si="58"/>
        <v xml:space="preserve"> </v>
      </c>
      <c r="DN27" s="255" t="str">
        <f>IF(INDEX('Raw Data'!$A27:$EA27,MATCH(DN$2,RawData[#Headers],))=""," ",INDEX('Raw Data'!$A27:$EA27,MATCH(DN$2,RawData[#Headers],)))</f>
        <v xml:space="preserve"> </v>
      </c>
      <c r="DO27" s="255" t="str">
        <f t="shared" si="59"/>
        <v xml:space="preserve"> </v>
      </c>
      <c r="DP27" s="255" t="str">
        <f>IF(INDEX('Raw Data'!$A27:$EA27,MATCH(DP$2,RawData[#Headers],))=""," ",INDEX('Raw Data'!$A27:$EA27,MATCH(DP$2,RawData[#Headers],)))</f>
        <v xml:space="preserve"> </v>
      </c>
      <c r="DQ27" s="255" t="str">
        <f t="shared" si="60"/>
        <v xml:space="preserve"> </v>
      </c>
      <c r="DR27" s="255" t="str">
        <f>IF(INDEX('Raw Data'!$A27:$EA27,MATCH(DR$2,RawData[#Headers],))=""," ",INDEX('Raw Data'!$A27:$EA27,MATCH(DR$2,RawData[#Headers],)))</f>
        <v xml:space="preserve"> </v>
      </c>
      <c r="DS27" s="255" t="str">
        <f t="shared" si="61"/>
        <v xml:space="preserve"> </v>
      </c>
      <c r="DT27" s="255" t="str">
        <f>IF(INDEX('Raw Data'!$A27:$EA27,MATCH(DT$2,RawData[#Headers],))=""," ",INDEX('Raw Data'!$A27:$EA27,MATCH(DT$2,RawData[#Headers],)))</f>
        <v xml:space="preserve"> </v>
      </c>
      <c r="DU27" s="255" t="str">
        <f t="shared" si="62"/>
        <v xml:space="preserve"> </v>
      </c>
      <c r="DV27" s="255" t="str">
        <f>IF(INDEX('Raw Data'!$A27:$EA27,MATCH(DV$2,RawData[#Headers],))=""," ",INDEX('Raw Data'!$A27:$EA27,MATCH(DV$2,RawData[#Headers],)))</f>
        <v xml:space="preserve"> </v>
      </c>
      <c r="DW27" s="255" t="str">
        <f t="shared" si="63"/>
        <v xml:space="preserve"> </v>
      </c>
      <c r="DX27" s="255" t="str">
        <f>IF(INDEX('Raw Data'!$A27:$EA27,MATCH(DX$2,RawData[#Headers],))=""," ",INDEX('Raw Data'!$A27:$EA27,MATCH(DX$2,RawData[#Headers],)))</f>
        <v xml:space="preserve"> </v>
      </c>
      <c r="DY27" s="255" t="str">
        <f t="shared" si="64"/>
        <v xml:space="preserve"> </v>
      </c>
      <c r="DZ27" s="255" t="str">
        <f>IF(INDEX('Raw Data'!$A27:$EA27,MATCH(DZ$2,RawData[#Headers],))=""," ",INDEX('Raw Data'!$A27:$EA27,MATCH(DZ$2,RawData[#Headers],)))</f>
        <v xml:space="preserve"> </v>
      </c>
      <c r="EA27" s="255" t="str">
        <f t="shared" si="65"/>
        <v xml:space="preserve"> </v>
      </c>
      <c r="EB27" s="255" t="str">
        <f>IF(INDEX('Raw Data'!$A27:$EA27,MATCH(EB$2,RawData[#Headers],))=""," ",INDEX('Raw Data'!$A27:$EA27,MATCH(EB$2,RawData[#Headers],)))</f>
        <v xml:space="preserve"> </v>
      </c>
      <c r="EC27" s="255" t="str">
        <f t="shared" si="66"/>
        <v xml:space="preserve"> </v>
      </c>
      <c r="ED27" s="255" t="str">
        <f>IF(INDEX('Raw Data'!$A27:$EA27,MATCH(ED$2,RawData[#Headers],))=""," ",INDEX('Raw Data'!$A27:$EA27,MATCH(ED$2,RawData[#Headers],)))</f>
        <v xml:space="preserve"> </v>
      </c>
      <c r="EE27" s="255" t="str">
        <f t="shared" si="67"/>
        <v xml:space="preserve"> </v>
      </c>
      <c r="EF27" s="255" t="str">
        <f>IF(INDEX('Raw Data'!$A27:$EA27,MATCH(EF$2,RawData[#Headers],))=""," ",INDEX('Raw Data'!$A27:$EA27,MATCH(EF$2,RawData[#Headers],)))</f>
        <v xml:space="preserve"> </v>
      </c>
      <c r="EG27" s="255" t="str">
        <f t="shared" si="68"/>
        <v xml:space="preserve"> </v>
      </c>
      <c r="EH27" s="255" t="str">
        <f>IF(INDEX('Raw Data'!$A27:$EA27,MATCH(EH$2,RawData[#Headers],))=""," ",INDEX('Raw Data'!$A27:$EA27,MATCH(EH$2,RawData[#Headers],)))</f>
        <v xml:space="preserve"> </v>
      </c>
      <c r="EI27" s="255" t="str">
        <f t="shared" si="69"/>
        <v xml:space="preserve"> </v>
      </c>
      <c r="EJ27" s="255" t="str">
        <f>IF(INDEX('Raw Data'!$A27:$EA27,MATCH(EJ$2,RawData[#Headers],))=""," ",INDEX('Raw Data'!$A27:$EA27,MATCH(EJ$2,RawData[#Headers],)))</f>
        <v xml:space="preserve"> </v>
      </c>
      <c r="EK27" s="255" t="str">
        <f t="shared" si="70"/>
        <v xml:space="preserve"> </v>
      </c>
      <c r="EL27" s="255" t="str">
        <f>IF(INDEX('Raw Data'!$A27:$EA27,MATCH(EL$2,RawData[#Headers],))=""," ",INDEX('Raw Data'!$A27:$EA27,MATCH(EL$2,RawData[#Headers],)))</f>
        <v xml:space="preserve"> </v>
      </c>
      <c r="EM27" s="255" t="str">
        <f t="shared" si="71"/>
        <v xml:space="preserve"> </v>
      </c>
      <c r="EN27" s="255" t="str">
        <f>IF(INDEX('Raw Data'!$A27:$EA27,MATCH(EN$2,RawData[#Headers],))=""," ",INDEX('Raw Data'!$A27:$EA27,MATCH(EN$2,RawData[#Headers],)))</f>
        <v xml:space="preserve"> </v>
      </c>
      <c r="EO27" s="255" t="str">
        <f t="shared" si="72"/>
        <v xml:space="preserve"> </v>
      </c>
      <c r="EP27" s="255" t="str">
        <f>IF(INDEX('Raw Data'!$A27:$EA27,MATCH(EP$2,RawData[#Headers],))=""," ",INDEX('Raw Data'!$A27:$EA27,MATCH(EP$2,RawData[#Headers],)))</f>
        <v xml:space="preserve"> </v>
      </c>
      <c r="EQ27" s="255" t="str">
        <f t="shared" si="73"/>
        <v xml:space="preserve"> </v>
      </c>
      <c r="ER27" s="255" t="str">
        <f>IF(INDEX('Raw Data'!$A27:$EA27,MATCH(ER$2,RawData[#Headers],))=""," ",INDEX('Raw Data'!$A27:$EA27,MATCH(ER$2,RawData[#Headers],)))</f>
        <v xml:space="preserve"> </v>
      </c>
      <c r="ES27" s="255" t="str">
        <f t="shared" si="2"/>
        <v xml:space="preserve"> </v>
      </c>
      <c r="ET27" s="255" t="str">
        <f>IF(INDEX('Raw Data'!$A27:$EA27,MATCH(ET$2,RawData[#Headers],))=""," ",INDEX('Raw Data'!$A27:$EA27,MATCH(ET$2,RawData[#Headers],)))</f>
        <v xml:space="preserve"> </v>
      </c>
      <c r="EU27" s="255" t="str">
        <f t="shared" si="3"/>
        <v xml:space="preserve"> </v>
      </c>
      <c r="EV27" s="255" t="str">
        <f>IF(INDEX('Raw Data'!$A27:$EA27,MATCH(EV$2,RawData[#Headers],))=""," ",INDEX('Raw Data'!$A27:$EA27,MATCH(EV$2,RawData[#Headers],)))</f>
        <v xml:space="preserve"> </v>
      </c>
      <c r="EW27" s="255" t="str">
        <f t="shared" si="4"/>
        <v xml:space="preserve"> </v>
      </c>
      <c r="EX27" s="255" t="str">
        <f>IF(INDEX('Raw Data'!$A27:$EA27,MATCH(EX$2,RawData[#Headers],))=""," ",INDEX('Raw Data'!$A27:$EA27,MATCH(EX$2,RawData[#Headers],)))</f>
        <v xml:space="preserve"> </v>
      </c>
      <c r="EY27" s="255" t="str">
        <f t="shared" si="74"/>
        <v xml:space="preserve"> </v>
      </c>
      <c r="EZ27" s="276" t="str">
        <f>IF(INDEX('Raw Data'!$A27:$EA27,MATCH(EZ$2,RawData[#Headers],))=""," ",INDEX('Raw Data'!$A27:$EA27,MATCH(EZ$2,RawData[#Headers],)))</f>
        <v xml:space="preserve"> </v>
      </c>
      <c r="FA27" s="255" t="str">
        <f t="shared" si="75"/>
        <v xml:space="preserve"> </v>
      </c>
      <c r="FB27" s="255" t="str">
        <f>IF(INDEX('Raw Data'!$A27:$EA27,MATCH(FB$2,RawData[#Headers],))=""," ",INDEX('Raw Data'!$A27:$EA27,MATCH(FB$2,RawData[#Headers],)))</f>
        <v xml:space="preserve"> </v>
      </c>
    </row>
    <row r="28" spans="1:158" x14ac:dyDescent="0.3">
      <c r="A28" s="255">
        <f>RawData[[#This Row],[Num]]</f>
        <v>0</v>
      </c>
      <c r="B28" s="255" t="str">
        <f>IF(INDEX('Raw Data'!$A28:$EA28,MATCH(B$2,RawData[#Headers],))=""," ",INDEX('Raw Data'!$A28:$EA28,MATCH(B$2,RawData[#Headers],)))</f>
        <v xml:space="preserve"> </v>
      </c>
      <c r="C28" s="326" t="str">
        <f>IFERROR(STANDARDIZE(machina[[#This Row],[Career Strike Rate]],B$30,B$31)^2," ")</f>
        <v xml:space="preserve"> </v>
      </c>
      <c r="D28" s="255" t="str">
        <f>IF(INDEX('Raw Data'!$A28:$EA28,MATCH(D$2,RawData[#Headers],))=""," ",INDEX('Raw Data'!$A28:$EA28,MATCH(D$2,RawData[#Headers],)))</f>
        <v xml:space="preserve"> </v>
      </c>
      <c r="E28" s="326" t="str">
        <f>IFERROR(STANDARDIZE(machina[[#This Row],[Career ROI]],D$30,D$31)^2," ")</f>
        <v xml:space="preserve"> </v>
      </c>
      <c r="F28" s="255" t="str">
        <f>IF(INDEX('Raw Data'!$A28:$EA28,MATCH(F$2,RawData[#Headers],))=""," ",INDEX('Raw Data'!$A28:$EA28,MATCH(F$2,RawData[#Headers],)))</f>
        <v xml:space="preserve"> </v>
      </c>
      <c r="G28" s="255" t="str">
        <f t="shared" si="5"/>
        <v xml:space="preserve"> </v>
      </c>
      <c r="H28" s="255" t="str">
        <f>IF(INDEX('Raw Data'!$A28:$EA28,MATCH(H$2,RawData[#Headers],))=""," ",INDEX('Raw Data'!$A28:$EA28,MATCH(H$2,RawData[#Headers],)))</f>
        <v xml:space="preserve"> </v>
      </c>
      <c r="I28" s="255" t="str">
        <f t="shared" si="6"/>
        <v xml:space="preserve"> </v>
      </c>
      <c r="J28" s="255" t="str">
        <f>IF(INDEX('Raw Data'!$A28:$EA28,MATCH(J$2,RawData[#Headers],))=""," ",INDEX('Raw Data'!$A28:$EA28,MATCH(J$2,RawData[#Headers],)))</f>
        <v xml:space="preserve"> </v>
      </c>
      <c r="K28" s="255" t="str">
        <f t="shared" si="7"/>
        <v xml:space="preserve"> </v>
      </c>
      <c r="L28" s="255" t="str">
        <f>IF(INDEX('Raw Data'!$A28:$EA28,MATCH(L$2,RawData[#Headers],))=""," ",INDEX('Raw Data'!$A28:$EA28,MATCH(L$2,RawData[#Headers],)))</f>
        <v xml:space="preserve"> </v>
      </c>
      <c r="M28" s="255" t="str">
        <f t="shared" si="0"/>
        <v xml:space="preserve"> </v>
      </c>
      <c r="N28" s="255" t="str">
        <f>IF(INDEX('Raw Data'!$A28:$EA28,MATCH(N$2,RawData[#Headers],))=""," ",INDEX('Raw Data'!$A28:$EA28,MATCH(N$2,RawData[#Headers],)))</f>
        <v xml:space="preserve"> </v>
      </c>
      <c r="O28" s="255" t="str">
        <f t="shared" si="0"/>
        <v xml:space="preserve"> </v>
      </c>
      <c r="P28" s="255" t="str">
        <f>IF(INDEX('Raw Data'!$A28:$EA28,MATCH(P$2,RawData[#Headers],))=""," ",INDEX('Raw Data'!$A28:$EA28,MATCH(P$2,RawData[#Headers],)))</f>
        <v xml:space="preserve"> </v>
      </c>
      <c r="Q28" s="255" t="str">
        <f t="shared" ref="Q28" si="99">IF(ISERROR(IF(P28=""," ",RANK(P28,P$3:P$28,1)))," ",IF(P28=""," ",RANK(P28,P$3:P$28,1)))</f>
        <v xml:space="preserve"> </v>
      </c>
      <c r="R28" s="255" t="str">
        <f>IF(INDEX('Raw Data'!$A28:$EA28,MATCH(R$2,RawData[#Headers],))=""," ",INDEX('Raw Data'!$A28:$EA28,MATCH(R$2,RawData[#Headers],)))</f>
        <v xml:space="preserve"> </v>
      </c>
      <c r="S28" s="255" t="str">
        <f t="shared" si="9"/>
        <v xml:space="preserve"> </v>
      </c>
      <c r="T28" s="255" t="str">
        <f>IF(INDEX('Raw Data'!$A28:$EA28,MATCH(T$2,RawData[#Headers],))=""," ",INDEX('Raw Data'!$A28:$EA28,MATCH(T$2,RawData[#Headers],)))</f>
        <v xml:space="preserve"> </v>
      </c>
      <c r="U28" s="255" t="str">
        <f t="shared" si="10"/>
        <v xml:space="preserve"> </v>
      </c>
      <c r="V28" s="255" t="str">
        <f>IF(INDEX('Raw Data'!$A28:$EA28,MATCH(V$2,RawData[#Headers],))=""," ",INDEX('Raw Data'!$A28:$EA28,MATCH(V$2,RawData[#Headers],)))</f>
        <v xml:space="preserve"> </v>
      </c>
      <c r="W28" s="255" t="str">
        <f t="shared" si="11"/>
        <v xml:space="preserve"> </v>
      </c>
      <c r="X28" s="255" t="str">
        <f>IF(INDEX('Raw Data'!$A28:$EA28,MATCH(X$2,RawData[#Headers],))=""," ",INDEX('Raw Data'!$A28:$EA28,MATCH(X$2,RawData[#Headers],)))</f>
        <v xml:space="preserve"> </v>
      </c>
      <c r="Y28" s="255" t="str">
        <f t="shared" si="12"/>
        <v xml:space="preserve"> </v>
      </c>
      <c r="Z28" s="255" t="str">
        <f>IF(INDEX('Raw Data'!$A28:$EA28,MATCH(Z$2,RawData[#Headers],))=""," ",INDEX('Raw Data'!$A28:$EA28,MATCH(Z$2,RawData[#Headers],)))</f>
        <v xml:space="preserve"> </v>
      </c>
      <c r="AA28" s="255" t="str">
        <f t="shared" si="13"/>
        <v xml:space="preserve"> </v>
      </c>
      <c r="AB28" s="255" t="str">
        <f>IF(INDEX('Raw Data'!$A28:$EA28,MATCH(AB$2,RawData[#Headers],))=""," ",INDEX('Raw Data'!$A28:$EA28,MATCH(AB$2,RawData[#Headers],)))</f>
        <v xml:space="preserve"> </v>
      </c>
      <c r="AC28" s="255" t="str">
        <f t="shared" si="14"/>
        <v xml:space="preserve"> </v>
      </c>
      <c r="AD28" s="255" t="str">
        <f>IF(INDEX('Raw Data'!$A28:$EA28,MATCH(AD$2,RawData[#Headers],))=""," ",INDEX('Raw Data'!$A28:$EA28,MATCH(AD$2,RawData[#Headers],)))</f>
        <v xml:space="preserve"> </v>
      </c>
      <c r="AE28" s="255" t="str">
        <f t="shared" si="15"/>
        <v xml:space="preserve"> </v>
      </c>
      <c r="AF28" s="255" t="str">
        <f>IF(INDEX('Raw Data'!$A28:$EA28,MATCH(AF$2,RawData[#Headers],))=""," ",INDEX('Raw Data'!$A28:$EA28,MATCH(AF$2,RawData[#Headers],)))</f>
        <v xml:space="preserve"> </v>
      </c>
      <c r="AG28" s="255" t="str">
        <f t="shared" si="16"/>
        <v xml:space="preserve"> </v>
      </c>
      <c r="AH28" s="255" t="str">
        <f>IF(INDEX('Raw Data'!$A28:$EA28,MATCH(AH$2,RawData[#Headers],))=""," ",INDEX('Raw Data'!$A28:$EA28,MATCH(AH$2,RawData[#Headers],)))</f>
        <v xml:space="preserve"> </v>
      </c>
      <c r="AI28" s="255" t="str">
        <f t="shared" si="17"/>
        <v xml:space="preserve"> </v>
      </c>
      <c r="AJ28" s="255" t="str">
        <f>IF(INDEX('Raw Data'!$A28:$EA28,MATCH(AJ$2,RawData[#Headers],))=""," ",INDEX('Raw Data'!$A28:$EA28,MATCH(AJ$2,RawData[#Headers],)))</f>
        <v xml:space="preserve"> </v>
      </c>
      <c r="AK28" s="255" t="str">
        <f t="shared" si="18"/>
        <v xml:space="preserve"> </v>
      </c>
      <c r="AL28" s="255" t="str">
        <f>IF(INDEX('Raw Data'!$A28:$EA28,MATCH(AL$2,RawData[#Headers],))=""," ",INDEX('Raw Data'!$A28:$EA28,MATCH(AL$2,RawData[#Headers],)))</f>
        <v xml:space="preserve"> </v>
      </c>
      <c r="AM28" s="255" t="str">
        <f t="shared" si="19"/>
        <v xml:space="preserve"> </v>
      </c>
      <c r="AN28" s="255" t="str">
        <f>IF(INDEX('Raw Data'!$A28:$EA28,MATCH(AN$2,RawData[#Headers],))=""," ",INDEX('Raw Data'!$A28:$EA28,MATCH(AN$2,RawData[#Headers],)))</f>
        <v xml:space="preserve"> </v>
      </c>
      <c r="AO28" s="255" t="str">
        <f t="shared" si="20"/>
        <v xml:space="preserve"> </v>
      </c>
      <c r="AP28" s="255" t="str">
        <f>IF(INDEX('Raw Data'!$A28:$EA28,MATCH(AP$2,RawData[#Headers],))=""," ",INDEX('Raw Data'!$A28:$EA28,MATCH(AP$2,RawData[#Headers],)))</f>
        <v xml:space="preserve"> </v>
      </c>
      <c r="AQ28" s="255" t="str">
        <f t="shared" si="21"/>
        <v xml:space="preserve"> </v>
      </c>
      <c r="AR28" s="255" t="str">
        <f>IF(INDEX('Raw Data'!$A28:$EA28,MATCH(AR$2,RawData[#Headers],))=""," ",INDEX('Raw Data'!$A28:$EA28,MATCH(AR$2,RawData[#Headers],)))</f>
        <v xml:space="preserve"> </v>
      </c>
      <c r="AS28" s="255" t="str">
        <f t="shared" si="22"/>
        <v xml:space="preserve"> </v>
      </c>
      <c r="AT28" s="255" t="str">
        <f>IF(INDEX('Raw Data'!$A28:$EA28,MATCH(AT$2,RawData[#Headers],))=""," ",INDEX('Raw Data'!$A28:$EA28,MATCH(AT$2,RawData[#Headers],)))</f>
        <v xml:space="preserve"> </v>
      </c>
      <c r="AU28" s="255" t="str">
        <f t="shared" si="23"/>
        <v xml:space="preserve"> </v>
      </c>
      <c r="AV28" s="255" t="str">
        <f>IF(INDEX('Raw Data'!$A28:$EA28,MATCH(AV$2,RawData[#Headers],))=""," ",INDEX('Raw Data'!$A28:$EA28,MATCH(AV$2,RawData[#Headers],)))</f>
        <v xml:space="preserve"> </v>
      </c>
      <c r="AW28" s="255" t="str">
        <f t="shared" si="24"/>
        <v xml:space="preserve"> </v>
      </c>
      <c r="AX28" s="255" t="str">
        <f>IF(INDEX('Raw Data'!$A28:$EA28,MATCH(AX$2,RawData[#Headers],))=""," ",INDEX('Raw Data'!$A28:$EA28,MATCH(AX$2,RawData[#Headers],)))</f>
        <v xml:space="preserve"> </v>
      </c>
      <c r="AY28" s="255" t="str">
        <f t="shared" si="25"/>
        <v xml:space="preserve"> </v>
      </c>
      <c r="AZ28" s="255" t="str">
        <f>IF(INDEX('Raw Data'!$A28:$EA28,MATCH(AZ$2,RawData[#Headers],))=""," ",INDEX('Raw Data'!$A28:$EA28,MATCH(AZ$2,RawData[#Headers],)))</f>
        <v xml:space="preserve"> </v>
      </c>
      <c r="BA28" s="255" t="str">
        <f t="shared" si="26"/>
        <v xml:space="preserve"> </v>
      </c>
      <c r="BB28" s="255" t="str">
        <f>IF(INDEX('Raw Data'!$A28:$EA28,MATCH(BB$2,RawData[#Headers],))=""," ",INDEX('Raw Data'!$A28:$EA28,MATCH(BB$2,RawData[#Headers],)))</f>
        <v xml:space="preserve"> </v>
      </c>
      <c r="BC28" s="255" t="str">
        <f t="shared" si="27"/>
        <v xml:space="preserve"> </v>
      </c>
      <c r="BD28" s="255" t="str">
        <f>IF(INDEX('Raw Data'!$A28:$EA28,MATCH(BD$2,RawData[#Headers],))=""," ",INDEX('Raw Data'!$A28:$EA28,MATCH(BD$2,RawData[#Headers],)))</f>
        <v xml:space="preserve"> </v>
      </c>
      <c r="BE28" s="255" t="str">
        <f t="shared" si="28"/>
        <v xml:space="preserve"> </v>
      </c>
      <c r="BF28" s="255" t="str">
        <f>IF(INDEX('Raw Data'!$A28:$EA28,MATCH(BF$2,RawData[#Headers],))=""," ",INDEX('Raw Data'!$A28:$EA28,MATCH(BF$2,RawData[#Headers],)))</f>
        <v xml:space="preserve"> </v>
      </c>
      <c r="BG28" s="255" t="str">
        <f t="shared" si="29"/>
        <v xml:space="preserve"> </v>
      </c>
      <c r="BH28" s="255" t="str">
        <f>IF(INDEX('Raw Data'!$A28:$EA28,MATCH(BH$2,RawData[#Headers],))=""," ",INDEX('Raw Data'!$A28:$EA28,MATCH(BH$2,RawData[#Headers],)))</f>
        <v xml:space="preserve"> </v>
      </c>
      <c r="BI28" s="255" t="str">
        <f t="shared" si="30"/>
        <v xml:space="preserve"> </v>
      </c>
      <c r="BJ28" s="255" t="str">
        <f>IF(INDEX('Raw Data'!$A28:$EA28,MATCH(BJ$2,RawData[#Headers],))=""," ",INDEX('Raw Data'!$A28:$EA28,MATCH(BJ$2,RawData[#Headers],)))</f>
        <v xml:space="preserve"> </v>
      </c>
      <c r="BK28" s="255" t="str">
        <f t="shared" si="31"/>
        <v xml:space="preserve"> </v>
      </c>
      <c r="BL28" s="255" t="str">
        <f>IF(INDEX('Raw Data'!$A28:$EA28,MATCH(BL$2,RawData[#Headers],))=""," ",INDEX('Raw Data'!$A28:$EA28,MATCH(BL$2,RawData[#Headers],)))</f>
        <v xml:space="preserve"> </v>
      </c>
      <c r="BM28" s="255" t="str">
        <f t="shared" si="32"/>
        <v xml:space="preserve"> </v>
      </c>
      <c r="BN28" s="255" t="str">
        <f>IF(INDEX('Raw Data'!$A28:$EA28,MATCH(BN$2,RawData[#Headers],))=""," ",INDEX('Raw Data'!$A28:$EA28,MATCH(BN$2,RawData[#Headers],)))</f>
        <v xml:space="preserve"> </v>
      </c>
      <c r="BO28" s="255" t="str">
        <f t="shared" si="33"/>
        <v xml:space="preserve"> </v>
      </c>
      <c r="BP28" s="255" t="str">
        <f>IF(INDEX('Raw Data'!$A28:$EA28,MATCH(BP$2,RawData[#Headers],))=""," ",INDEX('Raw Data'!$A28:$EA28,MATCH(BP$2,RawData[#Headers],)))</f>
        <v xml:space="preserve"> </v>
      </c>
      <c r="BQ28" s="255" t="str">
        <f t="shared" si="34"/>
        <v xml:space="preserve"> </v>
      </c>
      <c r="BR28" s="255" t="str">
        <f>IF(INDEX('Raw Data'!$A28:$EA28,MATCH(BR$2,RawData[#Headers],))=""," ",INDEX('Raw Data'!$A28:$EA28,MATCH(BR$2,RawData[#Headers],)))</f>
        <v xml:space="preserve"> </v>
      </c>
      <c r="BS28" s="255" t="str">
        <f t="shared" si="35"/>
        <v xml:space="preserve"> </v>
      </c>
      <c r="BT28" s="255" t="str">
        <f>IF(INDEX('Raw Data'!$A28:$EA28,MATCH(BT$2,RawData[#Headers],))=""," ",INDEX('Raw Data'!$A28:$EA28,MATCH(BT$2,RawData[#Headers],)))</f>
        <v xml:space="preserve"> </v>
      </c>
      <c r="BU28" s="255" t="str">
        <f t="shared" si="36"/>
        <v xml:space="preserve"> </v>
      </c>
      <c r="BV28" s="255" t="str">
        <f>IF(INDEX('Raw Data'!$A28:$EA28,MATCH(BV$2,RawData[#Headers],))=""," ",INDEX('Raw Data'!$A28:$EA28,MATCH(BV$2,RawData[#Headers],)))</f>
        <v xml:space="preserve"> </v>
      </c>
      <c r="BW28" s="255" t="str">
        <f t="shared" si="37"/>
        <v xml:space="preserve"> </v>
      </c>
      <c r="BX28" s="255" t="str">
        <f>IF(INDEX('Raw Data'!$A28:$EA28,MATCH(BX$2,RawData[#Headers],))=""," ",INDEX('Raw Data'!$A28:$EA28,MATCH(BX$2,RawData[#Headers],)))</f>
        <v xml:space="preserve"> </v>
      </c>
      <c r="BY28" s="255" t="str">
        <f t="shared" si="38"/>
        <v xml:space="preserve"> </v>
      </c>
      <c r="BZ28" s="255" t="str">
        <f>IF(INDEX('Raw Data'!$A28:$EA28,MATCH(BZ$2,RawData[#Headers],))=""," ",INDEX('Raw Data'!$A28:$EA28,MATCH(BZ$2,RawData[#Headers],)))</f>
        <v xml:space="preserve"> </v>
      </c>
      <c r="CA28" s="255" t="str">
        <f t="shared" si="39"/>
        <v xml:space="preserve"> </v>
      </c>
      <c r="CB28" s="255" t="str">
        <f>IF(INDEX('Raw Data'!$A28:$EA28,MATCH(CB$2,RawData[#Headers],))=""," ",INDEX('Raw Data'!$A28:$EA28,MATCH(CB$2,RawData[#Headers],)))</f>
        <v xml:space="preserve"> </v>
      </c>
      <c r="CC28" s="255" t="str">
        <f t="shared" si="40"/>
        <v xml:space="preserve"> </v>
      </c>
      <c r="CD28" s="255" t="str">
        <f>IF(INDEX('Raw Data'!$A28:$EA28,MATCH(CD$2,RawData[#Headers],))=""," ",INDEX('Raw Data'!$A28:$EA28,MATCH(CD$2,RawData[#Headers],)))</f>
        <v xml:space="preserve"> </v>
      </c>
      <c r="CE28" s="255" t="str">
        <f t="shared" si="41"/>
        <v xml:space="preserve"> </v>
      </c>
      <c r="CF28" s="255" t="str">
        <f>IF(INDEX('Raw Data'!$A28:$EA28,MATCH(CF$2,RawData[#Headers],))=""," ",INDEX('Raw Data'!$A28:$EA28,MATCH(CF$2,RawData[#Headers],)))</f>
        <v xml:space="preserve"> </v>
      </c>
      <c r="CG28" s="255" t="str">
        <f t="shared" si="42"/>
        <v xml:space="preserve"> </v>
      </c>
      <c r="CH28" s="255" t="str">
        <f>IF(INDEX('Raw Data'!$A28:$EA28,MATCH(CH$2,RawData[#Headers],))=""," ",INDEX('Raw Data'!$A28:$EA28,MATCH(CH$2,RawData[#Headers],)))</f>
        <v xml:space="preserve"> </v>
      </c>
      <c r="CI28" s="255" t="str">
        <f t="shared" si="43"/>
        <v xml:space="preserve"> </v>
      </c>
      <c r="CJ28" s="255" t="str">
        <f>IF(INDEX('Raw Data'!$A28:$EA28,MATCH(CJ$2,RawData[#Headers],))=""," ",INDEX('Raw Data'!$A28:$EA28,MATCH(CJ$2,RawData[#Headers],)))</f>
        <v xml:space="preserve"> </v>
      </c>
      <c r="CK28" s="255" t="str">
        <f t="shared" si="44"/>
        <v xml:space="preserve"> </v>
      </c>
      <c r="CL28" s="255" t="str">
        <f>IF(INDEX('Raw Data'!$A28:$EA28,MATCH(CL$2,RawData[#Headers],))=""," ",INDEX('Raw Data'!$A28:$EA28,MATCH(CL$2,RawData[#Headers],)))</f>
        <v xml:space="preserve"> </v>
      </c>
      <c r="CM28" s="255" t="str">
        <f t="shared" si="45"/>
        <v xml:space="preserve"> </v>
      </c>
      <c r="CN28" s="255" t="str">
        <f>IF(INDEX('Raw Data'!$A28:$EA28,MATCH(CN$2,RawData[#Headers],))=""," ",INDEX('Raw Data'!$A28:$EA28,MATCH(CN$2,RawData[#Headers],)))</f>
        <v xml:space="preserve"> </v>
      </c>
      <c r="CO28" s="255" t="str">
        <f t="shared" si="46"/>
        <v xml:space="preserve"> </v>
      </c>
      <c r="CP28" s="255" t="str">
        <f>IF(INDEX('Raw Data'!$A28:$EA28,MATCH(CP$2,RawData[#Headers],))=""," ",INDEX('Raw Data'!$A28:$EA28,MATCH(CP$2,RawData[#Headers],)))</f>
        <v xml:space="preserve"> </v>
      </c>
      <c r="CQ28" s="255" t="str">
        <f t="shared" si="47"/>
        <v xml:space="preserve"> </v>
      </c>
      <c r="CR28" s="255" t="str">
        <f>IF(INDEX('Raw Data'!$A28:$EA28,MATCH(CR$2,RawData[#Headers],))=""," ",INDEX('Raw Data'!$A28:$EA28,MATCH(CR$2,RawData[#Headers],)))</f>
        <v xml:space="preserve"> </v>
      </c>
      <c r="CS28" s="255" t="str">
        <f t="shared" si="48"/>
        <v xml:space="preserve"> </v>
      </c>
      <c r="CT28" s="255" t="str">
        <f>IF(INDEX('Raw Data'!$A28:$EA28,MATCH(CT$2,RawData[#Headers],))=""," ",INDEX('Raw Data'!$A28:$EA28,MATCH(CT$2,RawData[#Headers],)))</f>
        <v xml:space="preserve"> </v>
      </c>
      <c r="CU28" s="255" t="str">
        <f t="shared" si="49"/>
        <v xml:space="preserve"> </v>
      </c>
      <c r="CV28" s="255" t="str">
        <f>IF(INDEX('Raw Data'!$A28:$EA28,MATCH(CV$2,RawData[#Headers],))=""," ",INDEX('Raw Data'!$A28:$EA28,MATCH(CV$2,RawData[#Headers],)))</f>
        <v xml:space="preserve"> </v>
      </c>
      <c r="CW28" s="255" t="str">
        <f t="shared" si="50"/>
        <v xml:space="preserve"> </v>
      </c>
      <c r="CX28" s="255" t="str">
        <f>IF(INDEX('Raw Data'!$A28:$EA28,MATCH(CX$2,RawData[#Headers],))=""," ",INDEX('Raw Data'!$A28:$EA28,MATCH(CX$2,RawData[#Headers],)))</f>
        <v xml:space="preserve"> </v>
      </c>
      <c r="CY28" s="255" t="str">
        <f t="shared" si="51"/>
        <v xml:space="preserve"> </v>
      </c>
      <c r="CZ28" s="255" t="str">
        <f>IF(INDEX('Raw Data'!$A28:$EA28,MATCH(CZ$2,RawData[#Headers],))=""," ",INDEX('Raw Data'!$A28:$EA28,MATCH(CZ$2,RawData[#Headers],)))</f>
        <v xml:space="preserve"> </v>
      </c>
      <c r="DA28" s="255" t="str">
        <f t="shared" si="52"/>
        <v xml:space="preserve"> </v>
      </c>
      <c r="DB28" s="255" t="str">
        <f>IF(INDEX('Raw Data'!$A28:$EA28,MATCH(DB$2,RawData[#Headers],))=""," ",INDEX('Raw Data'!$A28:$EA28,MATCH(DB$2,RawData[#Headers],)))</f>
        <v xml:space="preserve"> </v>
      </c>
      <c r="DC28" s="255" t="str">
        <f t="shared" si="53"/>
        <v xml:space="preserve"> </v>
      </c>
      <c r="DD28" s="255" t="str">
        <f>IF(INDEX('Raw Data'!$A28:$EA28,MATCH(DD$2,RawData[#Headers],))=""," ",INDEX('Raw Data'!$A28:$EA28,MATCH(DD$2,RawData[#Headers],)))</f>
        <v xml:space="preserve"> </v>
      </c>
      <c r="DE28" s="255" t="str">
        <f t="shared" si="54"/>
        <v xml:space="preserve"> </v>
      </c>
      <c r="DF28" s="255" t="str">
        <f>IF(INDEX('Raw Data'!$A28:$EA28,MATCH(DF$2,RawData[#Headers],))=""," ",INDEX('Raw Data'!$A28:$EA28,MATCH(DF$2,RawData[#Headers],)))</f>
        <v xml:space="preserve"> </v>
      </c>
      <c r="DG28" s="255" t="str">
        <f t="shared" si="55"/>
        <v xml:space="preserve"> </v>
      </c>
      <c r="DH28" s="255" t="str">
        <f>IF(INDEX('Raw Data'!$A28:$EA28,MATCH(DH$2,RawData[#Headers],))=""," ",INDEX('Raw Data'!$A28:$EA28,MATCH(DH$2,RawData[#Headers],)))</f>
        <v xml:space="preserve"> </v>
      </c>
      <c r="DI28" s="255" t="str">
        <f t="shared" si="56"/>
        <v xml:space="preserve"> </v>
      </c>
      <c r="DJ28" s="255" t="str">
        <f>IF(INDEX('Raw Data'!$A28:$EA28,MATCH(DJ$2,RawData[#Headers],))=""," ",INDEX('Raw Data'!$A28:$EA28,MATCH(DJ$2,RawData[#Headers],)))</f>
        <v xml:space="preserve"> </v>
      </c>
      <c r="DK28" s="255" t="str">
        <f t="shared" si="57"/>
        <v xml:space="preserve"> </v>
      </c>
      <c r="DL28" s="255" t="str">
        <f>IF(INDEX('Raw Data'!$A28:$EA28,MATCH(DL$2,RawData[#Headers],))=""," ",INDEX('Raw Data'!$A28:$EA28,MATCH(DL$2,RawData[#Headers],)))</f>
        <v xml:space="preserve"> </v>
      </c>
      <c r="DM28" s="255" t="str">
        <f t="shared" si="58"/>
        <v xml:space="preserve"> </v>
      </c>
      <c r="DN28" s="255" t="str">
        <f>IF(INDEX('Raw Data'!$A28:$EA28,MATCH(DN$2,RawData[#Headers],))=""," ",INDEX('Raw Data'!$A28:$EA28,MATCH(DN$2,RawData[#Headers],)))</f>
        <v xml:space="preserve"> </v>
      </c>
      <c r="DO28" s="255" t="str">
        <f t="shared" si="59"/>
        <v xml:space="preserve"> </v>
      </c>
      <c r="DP28" s="255" t="str">
        <f>IF(INDEX('Raw Data'!$A28:$EA28,MATCH(DP$2,RawData[#Headers],))=""," ",INDEX('Raw Data'!$A28:$EA28,MATCH(DP$2,RawData[#Headers],)))</f>
        <v xml:space="preserve"> </v>
      </c>
      <c r="DQ28" s="255" t="str">
        <f t="shared" si="60"/>
        <v xml:space="preserve"> </v>
      </c>
      <c r="DR28" s="255" t="str">
        <f>IF(INDEX('Raw Data'!$A28:$EA28,MATCH(DR$2,RawData[#Headers],))=""," ",INDEX('Raw Data'!$A28:$EA28,MATCH(DR$2,RawData[#Headers],)))</f>
        <v xml:space="preserve"> </v>
      </c>
      <c r="DS28" s="255" t="str">
        <f t="shared" si="61"/>
        <v xml:space="preserve"> </v>
      </c>
      <c r="DT28" s="255" t="str">
        <f>IF(INDEX('Raw Data'!$A28:$EA28,MATCH(DT$2,RawData[#Headers],))=""," ",INDEX('Raw Data'!$A28:$EA28,MATCH(DT$2,RawData[#Headers],)))</f>
        <v xml:space="preserve"> </v>
      </c>
      <c r="DU28" s="255" t="str">
        <f t="shared" si="62"/>
        <v xml:space="preserve"> </v>
      </c>
      <c r="DV28" s="255" t="str">
        <f>IF(INDEX('Raw Data'!$A28:$EA28,MATCH(DV$2,RawData[#Headers],))=""," ",INDEX('Raw Data'!$A28:$EA28,MATCH(DV$2,RawData[#Headers],)))</f>
        <v xml:space="preserve"> </v>
      </c>
      <c r="DW28" s="255" t="str">
        <f t="shared" si="63"/>
        <v xml:space="preserve"> </v>
      </c>
      <c r="DX28" s="255" t="str">
        <f>IF(INDEX('Raw Data'!$A28:$EA28,MATCH(DX$2,RawData[#Headers],))=""," ",INDEX('Raw Data'!$A28:$EA28,MATCH(DX$2,RawData[#Headers],)))</f>
        <v xml:space="preserve"> </v>
      </c>
      <c r="DY28" s="255" t="str">
        <f t="shared" si="64"/>
        <v xml:space="preserve"> </v>
      </c>
      <c r="DZ28" s="255" t="str">
        <f>IF(INDEX('Raw Data'!$A28:$EA28,MATCH(DZ$2,RawData[#Headers],))=""," ",INDEX('Raw Data'!$A28:$EA28,MATCH(DZ$2,RawData[#Headers],)))</f>
        <v xml:space="preserve"> </v>
      </c>
      <c r="EA28" s="255" t="str">
        <f t="shared" si="65"/>
        <v xml:space="preserve"> </v>
      </c>
      <c r="EB28" s="255" t="str">
        <f>IF(INDEX('Raw Data'!$A28:$EA28,MATCH(EB$2,RawData[#Headers],))=""," ",INDEX('Raw Data'!$A28:$EA28,MATCH(EB$2,RawData[#Headers],)))</f>
        <v xml:space="preserve"> </v>
      </c>
      <c r="EC28" s="255" t="str">
        <f t="shared" si="66"/>
        <v xml:space="preserve"> </v>
      </c>
      <c r="ED28" s="255" t="str">
        <f>IF(INDEX('Raw Data'!$A28:$EA28,MATCH(ED$2,RawData[#Headers],))=""," ",INDEX('Raw Data'!$A28:$EA28,MATCH(ED$2,RawData[#Headers],)))</f>
        <v xml:space="preserve"> </v>
      </c>
      <c r="EE28" s="255" t="str">
        <f t="shared" si="67"/>
        <v xml:space="preserve"> </v>
      </c>
      <c r="EF28" s="255" t="str">
        <f>IF(INDEX('Raw Data'!$A28:$EA28,MATCH(EF$2,RawData[#Headers],))=""," ",INDEX('Raw Data'!$A28:$EA28,MATCH(EF$2,RawData[#Headers],)))</f>
        <v xml:space="preserve"> </v>
      </c>
      <c r="EG28" s="255" t="str">
        <f t="shared" si="68"/>
        <v xml:space="preserve"> </v>
      </c>
      <c r="EH28" s="255" t="str">
        <f>IF(INDEX('Raw Data'!$A28:$EA28,MATCH(EH$2,RawData[#Headers],))=""," ",INDEX('Raw Data'!$A28:$EA28,MATCH(EH$2,RawData[#Headers],)))</f>
        <v xml:space="preserve"> </v>
      </c>
      <c r="EI28" s="255" t="str">
        <f t="shared" si="69"/>
        <v xml:space="preserve"> </v>
      </c>
      <c r="EJ28" s="255" t="str">
        <f>IF(INDEX('Raw Data'!$A28:$EA28,MATCH(EJ$2,RawData[#Headers],))=""," ",INDEX('Raw Data'!$A28:$EA28,MATCH(EJ$2,RawData[#Headers],)))</f>
        <v xml:space="preserve"> </v>
      </c>
      <c r="EK28" s="255" t="str">
        <f t="shared" si="70"/>
        <v xml:space="preserve"> </v>
      </c>
      <c r="EL28" s="255" t="str">
        <f>IF(INDEX('Raw Data'!$A28:$EA28,MATCH(EL$2,RawData[#Headers],))=""," ",INDEX('Raw Data'!$A28:$EA28,MATCH(EL$2,RawData[#Headers],)))</f>
        <v xml:space="preserve"> </v>
      </c>
      <c r="EM28" s="255" t="str">
        <f t="shared" si="71"/>
        <v xml:space="preserve"> </v>
      </c>
      <c r="EN28" s="255" t="str">
        <f>IF(INDEX('Raw Data'!$A28:$EA28,MATCH(EN$2,RawData[#Headers],))=""," ",INDEX('Raw Data'!$A28:$EA28,MATCH(EN$2,RawData[#Headers],)))</f>
        <v xml:space="preserve"> </v>
      </c>
      <c r="EO28" s="255" t="str">
        <f t="shared" si="72"/>
        <v xml:space="preserve"> </v>
      </c>
      <c r="EP28" s="255" t="str">
        <f>IF(INDEX('Raw Data'!$A28:$EA28,MATCH(EP$2,RawData[#Headers],))=""," ",INDEX('Raw Data'!$A28:$EA28,MATCH(EP$2,RawData[#Headers],)))</f>
        <v xml:space="preserve"> </v>
      </c>
      <c r="EQ28" s="255" t="str">
        <f t="shared" si="73"/>
        <v xml:space="preserve"> </v>
      </c>
      <c r="ER28" s="255" t="str">
        <f>IF(INDEX('Raw Data'!$A28:$EA28,MATCH(ER$2,RawData[#Headers],))=""," ",INDEX('Raw Data'!$A28:$EA28,MATCH(ER$2,RawData[#Headers],)))</f>
        <v xml:space="preserve"> </v>
      </c>
      <c r="ES28" s="255" t="str">
        <f t="shared" si="2"/>
        <v xml:space="preserve"> </v>
      </c>
      <c r="ET28" s="255" t="str">
        <f>IF(INDEX('Raw Data'!$A28:$EA28,MATCH(ET$2,RawData[#Headers],))=""," ",INDEX('Raw Data'!$A28:$EA28,MATCH(ET$2,RawData[#Headers],)))</f>
        <v xml:space="preserve"> </v>
      </c>
      <c r="EU28" s="255" t="str">
        <f t="shared" si="3"/>
        <v xml:space="preserve"> </v>
      </c>
      <c r="EV28" s="255" t="str">
        <f>IF(INDEX('Raw Data'!$A28:$EA28,MATCH(EV$2,RawData[#Headers],))=""," ",INDEX('Raw Data'!$A28:$EA28,MATCH(EV$2,RawData[#Headers],)))</f>
        <v xml:space="preserve"> </v>
      </c>
      <c r="EW28" s="255" t="str">
        <f t="shared" si="4"/>
        <v xml:space="preserve"> </v>
      </c>
      <c r="EX28" s="255" t="str">
        <f>IF(INDEX('Raw Data'!$A28:$EA28,MATCH(EX$2,RawData[#Headers],))=""," ",INDEX('Raw Data'!$A28:$EA28,MATCH(EX$2,RawData[#Headers],)))</f>
        <v xml:space="preserve"> </v>
      </c>
      <c r="EY28" s="255" t="str">
        <f t="shared" si="74"/>
        <v xml:space="preserve"> </v>
      </c>
      <c r="EZ28" s="276" t="str">
        <f>IF(INDEX('Raw Data'!$A28:$EA28,MATCH(EZ$2,RawData[#Headers],))=""," ",INDEX('Raw Data'!$A28:$EA28,MATCH(EZ$2,RawData[#Headers],)))</f>
        <v xml:space="preserve"> </v>
      </c>
      <c r="FA28" s="255" t="str">
        <f t="shared" si="75"/>
        <v xml:space="preserve"> </v>
      </c>
      <c r="FB28" s="255" t="str">
        <f>IF(INDEX('Raw Data'!$A28:$EA28,MATCH(FB$2,RawData[#Headers],))=""," ",INDEX('Raw Data'!$A28:$EA28,MATCH(FB$2,RawData[#Headers],)))</f>
        <v xml:space="preserve"> </v>
      </c>
    </row>
    <row r="30" spans="1:158" s="326" customFormat="1" ht="15.6" x14ac:dyDescent="0.3">
      <c r="A30" s="128" t="s">
        <v>230</v>
      </c>
      <c r="B30" s="111">
        <f>ROUND(AVERAGE(machina[Career Strike Rate]),0)</f>
        <v>15</v>
      </c>
      <c r="C30" s="128" t="s">
        <v>230</v>
      </c>
      <c r="D30" s="111">
        <f>ROUND(AVERAGE(machina[Career ROI]),0)</f>
        <v>-21</v>
      </c>
      <c r="E30" s="128" t="s">
        <v>230</v>
      </c>
      <c r="F30" s="111">
        <f>ROUND(AVERAGE(machina[Career ROI]),0)</f>
        <v>-21</v>
      </c>
      <c r="G30" s="128" t="s">
        <v>230</v>
      </c>
      <c r="H30" s="111">
        <f>ROUND(AVERAGE(machina[Career ROI]),0)</f>
        <v>-21</v>
      </c>
      <c r="I30" s="128" t="s">
        <v>230</v>
      </c>
      <c r="J30" s="111">
        <f>ROUND(AVERAGE(machina[Career ROI]),0)</f>
        <v>-21</v>
      </c>
      <c r="K30" s="128" t="s">
        <v>230</v>
      </c>
      <c r="L30" s="111">
        <f>ROUND(AVERAGE(machina[Career ROI]),0)</f>
        <v>-21</v>
      </c>
      <c r="M30" s="128" t="s">
        <v>230</v>
      </c>
      <c r="N30" s="111">
        <f>ROUND(AVERAGE(machina[Career ROI]),0)</f>
        <v>-21</v>
      </c>
      <c r="O30" s="128" t="s">
        <v>230</v>
      </c>
      <c r="P30" s="111">
        <f>ROUND(AVERAGE(machina[Career ROI]),0)</f>
        <v>-21</v>
      </c>
      <c r="Q30" s="128" t="s">
        <v>230</v>
      </c>
      <c r="R30" s="111">
        <f>ROUND(AVERAGE(machina[Career ROI]),0)</f>
        <v>-21</v>
      </c>
      <c r="S30" s="128" t="s">
        <v>230</v>
      </c>
      <c r="T30" s="111">
        <f>ROUND(AVERAGE(machina[Career ROI]),0)</f>
        <v>-21</v>
      </c>
      <c r="U30" s="128" t="s">
        <v>230</v>
      </c>
      <c r="V30" s="111">
        <f>ROUND(AVERAGE(machina[Career ROI]),0)</f>
        <v>-21</v>
      </c>
      <c r="W30" s="128" t="s">
        <v>230</v>
      </c>
      <c r="X30" s="111">
        <f>ROUND(AVERAGE(machina[Career ROI]),0)</f>
        <v>-21</v>
      </c>
      <c r="Y30" s="128" t="s">
        <v>230</v>
      </c>
      <c r="Z30" s="111">
        <f>ROUND(AVERAGE(machina[Career ROI]),0)</f>
        <v>-21</v>
      </c>
      <c r="AA30" s="128" t="s">
        <v>230</v>
      </c>
      <c r="AB30" s="111">
        <f>ROUND(AVERAGE(machina[Career ROI]),0)</f>
        <v>-21</v>
      </c>
      <c r="AC30" s="128" t="s">
        <v>230</v>
      </c>
      <c r="AD30" s="111">
        <f>ROUND(AVERAGE(machina[Career ROI]),0)</f>
        <v>-21</v>
      </c>
      <c r="AE30" s="128" t="s">
        <v>230</v>
      </c>
      <c r="AF30" s="111">
        <f>ROUND(AVERAGE(machina[Career ROI]),0)</f>
        <v>-21</v>
      </c>
    </row>
    <row r="31" spans="1:158" s="326" customFormat="1" ht="15.6" x14ac:dyDescent="0.3">
      <c r="A31" s="128" t="s">
        <v>232</v>
      </c>
      <c r="B31" s="111">
        <f>ROUND(_xlfn.STDEV.P(machina[Career Strike Rate]),0)</f>
        <v>3</v>
      </c>
      <c r="C31" s="128" t="s">
        <v>232</v>
      </c>
      <c r="D31" s="111">
        <f>ROUND(_xlfn.STDEV.P(machina[Career ROI]),0)</f>
        <v>19</v>
      </c>
      <c r="E31" s="128" t="s">
        <v>232</v>
      </c>
      <c r="F31" s="111">
        <f>ROUND(_xlfn.STDEV.P(machina[Career ROI]),0)</f>
        <v>19</v>
      </c>
      <c r="G31" s="128" t="s">
        <v>232</v>
      </c>
      <c r="H31" s="111">
        <f>ROUND(_xlfn.STDEV.P(machina[Career ROI]),0)</f>
        <v>19</v>
      </c>
      <c r="I31" s="128" t="s">
        <v>232</v>
      </c>
      <c r="J31" s="111">
        <f>ROUND(_xlfn.STDEV.P(machina[Career ROI]),0)</f>
        <v>19</v>
      </c>
      <c r="K31" s="128" t="s">
        <v>232</v>
      </c>
      <c r="L31" s="111">
        <f>ROUND(_xlfn.STDEV.P(machina[Career ROI]),0)</f>
        <v>19</v>
      </c>
      <c r="M31" s="128" t="s">
        <v>232</v>
      </c>
      <c r="N31" s="111">
        <f>ROUND(_xlfn.STDEV.P(machina[Career ROI]),0)</f>
        <v>19</v>
      </c>
      <c r="O31" s="128" t="s">
        <v>232</v>
      </c>
      <c r="P31" s="111">
        <f>ROUND(_xlfn.STDEV.P(machina[Career ROI]),0)</f>
        <v>19</v>
      </c>
      <c r="Q31" s="128" t="s">
        <v>232</v>
      </c>
      <c r="R31" s="111">
        <f>ROUND(_xlfn.STDEV.P(machina[Career ROI]),0)</f>
        <v>19</v>
      </c>
      <c r="S31" s="128" t="s">
        <v>232</v>
      </c>
      <c r="T31" s="111">
        <f>ROUND(_xlfn.STDEV.P(machina[Career ROI]),0)</f>
        <v>19</v>
      </c>
      <c r="U31" s="128" t="s">
        <v>232</v>
      </c>
      <c r="V31" s="111">
        <f>ROUND(_xlfn.STDEV.P(machina[Career ROI]),0)</f>
        <v>19</v>
      </c>
      <c r="W31" s="128" t="s">
        <v>232</v>
      </c>
      <c r="X31" s="111">
        <f>ROUND(_xlfn.STDEV.P(machina[Career ROI]),0)</f>
        <v>19</v>
      </c>
      <c r="Y31" s="128" t="s">
        <v>232</v>
      </c>
      <c r="Z31" s="111">
        <f>ROUND(_xlfn.STDEV.P(machina[Career ROI]),0)</f>
        <v>19</v>
      </c>
      <c r="AA31" s="128" t="s">
        <v>232</v>
      </c>
      <c r="AB31" s="111">
        <f>ROUND(_xlfn.STDEV.P(machina[Career ROI]),0)</f>
        <v>19</v>
      </c>
      <c r="AC31" s="128" t="s">
        <v>232</v>
      </c>
      <c r="AD31" s="111">
        <f>ROUND(_xlfn.STDEV.P(machina[Career ROI]),0)</f>
        <v>19</v>
      </c>
      <c r="AE31" s="128" t="s">
        <v>232</v>
      </c>
      <c r="AF31" s="111">
        <f>ROUND(_xlfn.STDEV.P(machina[Career ROI]),0)</f>
        <v>19</v>
      </c>
    </row>
    <row r="32" spans="1:158" s="326" customFormat="1" x14ac:dyDescent="0.3"/>
    <row r="33" spans="1:5" s="326" customFormat="1" x14ac:dyDescent="0.3"/>
    <row r="34" spans="1:5" s="326" customFormat="1" x14ac:dyDescent="0.3"/>
    <row r="35" spans="1:5" s="326" customFormat="1" x14ac:dyDescent="0.3"/>
    <row r="36" spans="1:5" s="326" customFormat="1" x14ac:dyDescent="0.3"/>
    <row r="37" spans="1:5" s="326" customFormat="1" x14ac:dyDescent="0.3"/>
    <row r="38" spans="1:5" s="326" customFormat="1" x14ac:dyDescent="0.3"/>
    <row r="39" spans="1:5" s="326" customFormat="1" x14ac:dyDescent="0.3"/>
    <row r="40" spans="1:5" s="326" customFormat="1" x14ac:dyDescent="0.3"/>
    <row r="41" spans="1:5" x14ac:dyDescent="0.3">
      <c r="C41" s="255" t="str">
        <f>IF(B41=""," ",RANK(B41,$B$3:$B$41,0))</f>
        <v xml:space="preserve"> </v>
      </c>
      <c r="E41" s="255" t="str">
        <f>IF(D41=""," ",RANK(D41,$B$3:$B$41,0))</f>
        <v xml:space="preserve"> </v>
      </c>
    </row>
    <row r="42" spans="1:5" ht="15" thickBot="1" x14ac:dyDescent="0.35">
      <c r="A42" s="280" t="s">
        <v>490</v>
      </c>
    </row>
    <row r="43" spans="1:5" x14ac:dyDescent="0.3">
      <c r="A43" s="295" t="s">
        <v>51</v>
      </c>
      <c r="B43" s="255">
        <f>INDEX($A$1:$FB$1,MATCH($A43,$A$2:$FB$2,0))</f>
        <v>12</v>
      </c>
    </row>
    <row r="44" spans="1:5" x14ac:dyDescent="0.3">
      <c r="A44" s="296" t="s">
        <v>137</v>
      </c>
      <c r="B44" s="255">
        <f t="shared" ref="B44:B47" si="100">INDEX($A$1:$FB$1,MATCH($A44,$A$2:$FB$2,0))</f>
        <v>148</v>
      </c>
    </row>
    <row r="45" spans="1:5" x14ac:dyDescent="0.3">
      <c r="A45" s="295" t="s">
        <v>140</v>
      </c>
      <c r="B45" s="255">
        <f t="shared" si="100"/>
        <v>152</v>
      </c>
    </row>
    <row r="46" spans="1:5" x14ac:dyDescent="0.3">
      <c r="A46" s="296" t="s">
        <v>138</v>
      </c>
      <c r="B46" s="255">
        <f t="shared" si="100"/>
        <v>150</v>
      </c>
    </row>
    <row r="47" spans="1:5" x14ac:dyDescent="0.3">
      <c r="A47" s="295" t="s">
        <v>31</v>
      </c>
      <c r="B47" s="255">
        <f t="shared" si="100"/>
        <v>16</v>
      </c>
    </row>
    <row r="48" spans="1:5" x14ac:dyDescent="0.3">
      <c r="A48" s="296" t="s">
        <v>51</v>
      </c>
      <c r="B48" s="255">
        <f>INDEX($A$1:$FB$1,MATCH($A48,$A$2:$FB$2,0))</f>
        <v>12</v>
      </c>
    </row>
    <row r="49" spans="1:1" x14ac:dyDescent="0.3">
      <c r="A49" s="292"/>
    </row>
    <row r="50" spans="1:1" x14ac:dyDescent="0.3">
      <c r="A50" s="293"/>
    </row>
    <row r="51" spans="1:1" x14ac:dyDescent="0.3">
      <c r="A51" s="292"/>
    </row>
    <row r="52" spans="1:1" x14ac:dyDescent="0.3">
      <c r="A52" s="293"/>
    </row>
    <row r="53" spans="1:1" x14ac:dyDescent="0.3">
      <c r="A53" s="292"/>
    </row>
    <row r="54" spans="1:1" x14ac:dyDescent="0.3">
      <c r="A54" s="293"/>
    </row>
    <row r="55" spans="1:1" x14ac:dyDescent="0.3">
      <c r="A55" s="292"/>
    </row>
    <row r="56" spans="1:1" x14ac:dyDescent="0.3">
      <c r="A56" s="293"/>
    </row>
    <row r="57" spans="1:1" x14ac:dyDescent="0.3">
      <c r="A57" s="292"/>
    </row>
    <row r="58" spans="1:1" x14ac:dyDescent="0.3">
      <c r="A58" s="293"/>
    </row>
    <row r="59" spans="1:1" x14ac:dyDescent="0.3">
      <c r="A59" s="292"/>
    </row>
    <row r="60" spans="1:1" x14ac:dyDescent="0.3">
      <c r="A60" s="293"/>
    </row>
    <row r="61" spans="1:1" x14ac:dyDescent="0.3">
      <c r="A61" s="292"/>
    </row>
    <row r="62" spans="1:1" x14ac:dyDescent="0.3">
      <c r="A62" s="293"/>
    </row>
    <row r="63" spans="1:1" x14ac:dyDescent="0.3">
      <c r="A63" s="292"/>
    </row>
    <row r="64" spans="1:1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conditionalFormatting sqref="A42">
    <cfRule type="duplicateValues" dxfId="636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N75"/>
  <sheetViews>
    <sheetView zoomScale="70" zoomScaleNormal="70" workbookViewId="0">
      <pane xSplit="4" ySplit="12" topLeftCell="DL13" activePane="bottomRight" state="frozen"/>
      <selection pane="topRight" activeCell="E1" sqref="E1"/>
      <selection pane="bottomLeft" activeCell="A11" sqref="A11"/>
      <selection pane="bottomRight" activeCell="DN24" sqref="DN24"/>
    </sheetView>
  </sheetViews>
  <sheetFormatPr defaultColWidth="9.109375" defaultRowHeight="14.4" x14ac:dyDescent="0.3"/>
  <cols>
    <col min="1" max="1" width="41.5546875" style="255" customWidth="1"/>
    <col min="2" max="2" width="29.33203125" style="255" bestFit="1" customWidth="1"/>
    <col min="3" max="3" width="20.5546875" style="255" bestFit="1" customWidth="1"/>
    <col min="4" max="4" width="26.44140625" style="255" bestFit="1" customWidth="1"/>
    <col min="5" max="5" width="36.6640625" style="255" bestFit="1" customWidth="1"/>
    <col min="6" max="6" width="32.44140625" style="255" bestFit="1" customWidth="1"/>
    <col min="7" max="8" width="26.88671875" style="255" bestFit="1" customWidth="1"/>
    <col min="9" max="9" width="16" style="255" bestFit="1" customWidth="1"/>
    <col min="10" max="10" width="26.44140625" style="255" bestFit="1" customWidth="1"/>
    <col min="11" max="11" width="26" style="255" bestFit="1" customWidth="1"/>
    <col min="12" max="12" width="33.5546875" style="255" bestFit="1" customWidth="1"/>
    <col min="13" max="13" width="24.88671875" style="255" bestFit="1" customWidth="1"/>
    <col min="14" max="14" width="28.6640625" style="255" bestFit="1" customWidth="1"/>
    <col min="15" max="15" width="41" style="255" bestFit="1" customWidth="1"/>
    <col min="16" max="16" width="30.33203125" style="255" bestFit="1" customWidth="1"/>
    <col min="17" max="17" width="30" style="255" bestFit="1" customWidth="1"/>
    <col min="18" max="18" width="37.33203125" style="255" bestFit="1" customWidth="1"/>
    <col min="19" max="19" width="28.6640625" style="255" bestFit="1" customWidth="1"/>
    <col min="20" max="20" width="32.44140625" style="255" bestFit="1" customWidth="1"/>
    <col min="21" max="21" width="44.88671875" style="255" bestFit="1" customWidth="1"/>
    <col min="22" max="22" width="37.44140625" style="255" bestFit="1" customWidth="1"/>
    <col min="23" max="23" width="37.109375" style="255" bestFit="1" customWidth="1"/>
    <col min="24" max="24" width="44.5546875" style="255" bestFit="1" customWidth="1"/>
    <col min="25" max="25" width="35.88671875" style="255" bestFit="1" customWidth="1"/>
    <col min="26" max="26" width="39.6640625" style="255" bestFit="1" customWidth="1"/>
    <col min="27" max="27" width="52" style="255" bestFit="1" customWidth="1"/>
    <col min="28" max="28" width="31.109375" style="255" bestFit="1" customWidth="1"/>
    <col min="29" max="29" width="30.6640625" style="255" bestFit="1" customWidth="1"/>
    <col min="30" max="30" width="38.33203125" style="255" bestFit="1" customWidth="1"/>
    <col min="31" max="31" width="29.5546875" style="255" bestFit="1" customWidth="1"/>
    <col min="32" max="32" width="33.44140625" style="255" bestFit="1" customWidth="1"/>
    <col min="33" max="33" width="45.6640625" style="255" bestFit="1" customWidth="1"/>
    <col min="34" max="34" width="50" style="255" bestFit="1" customWidth="1"/>
    <col min="35" max="35" width="34.33203125" style="255" bestFit="1" customWidth="1"/>
    <col min="36" max="36" width="32.5546875" style="255" bestFit="1" customWidth="1"/>
    <col min="37" max="37" width="40.109375" style="255" bestFit="1" customWidth="1"/>
    <col min="38" max="38" width="31.44140625" style="255" bestFit="1" customWidth="1"/>
    <col min="39" max="39" width="35.33203125" style="255" bestFit="1" customWidth="1"/>
    <col min="40" max="40" width="47.44140625" style="255" bestFit="1" customWidth="1"/>
    <col min="41" max="41" width="50.5546875" style="255" bestFit="1" customWidth="1"/>
    <col min="42" max="42" width="36" style="255" bestFit="1" customWidth="1"/>
    <col min="43" max="43" width="34.5546875" style="255" bestFit="1" customWidth="1"/>
    <col min="44" max="44" width="42" style="255" bestFit="1" customWidth="1"/>
    <col min="45" max="45" width="33.44140625" style="255" bestFit="1" customWidth="1"/>
    <col min="46" max="46" width="37.109375" style="255" bestFit="1" customWidth="1"/>
    <col min="47" max="47" width="49.5546875" style="255" bestFit="1" customWidth="1"/>
    <col min="48" max="48" width="54.5546875" style="255" bestFit="1" customWidth="1"/>
    <col min="49" max="49" width="38.88671875" style="255" bestFit="1" customWidth="1"/>
    <col min="50" max="50" width="37.33203125" style="255" bestFit="1" customWidth="1"/>
    <col min="51" max="51" width="44.88671875" style="255" bestFit="1" customWidth="1"/>
    <col min="52" max="52" width="36" style="255" bestFit="1" customWidth="1"/>
    <col min="53" max="53" width="40" style="255" bestFit="1" customWidth="1"/>
    <col min="54" max="54" width="52.109375" style="255" bestFit="1" customWidth="1"/>
    <col min="55" max="55" width="50" style="255" bestFit="1" customWidth="1"/>
    <col min="56" max="56" width="32.5546875" style="255" bestFit="1" customWidth="1"/>
    <col min="57" max="57" width="40.109375" style="255" bestFit="1" customWidth="1"/>
    <col min="58" max="58" width="31.44140625" style="255" bestFit="1" customWidth="1"/>
    <col min="59" max="59" width="35.33203125" style="255" bestFit="1" customWidth="1"/>
    <col min="60" max="60" width="47.44140625" style="255" bestFit="1" customWidth="1"/>
    <col min="61" max="61" width="50.5546875" style="255" bestFit="1" customWidth="1"/>
    <col min="62" max="62" width="36" style="255" bestFit="1" customWidth="1"/>
    <col min="63" max="63" width="34.5546875" style="255" bestFit="1" customWidth="1"/>
    <col min="64" max="64" width="42" style="255" bestFit="1" customWidth="1"/>
    <col min="65" max="65" width="33.44140625" style="255" bestFit="1" customWidth="1"/>
    <col min="66" max="66" width="37.109375" style="255" bestFit="1" customWidth="1"/>
    <col min="67" max="67" width="49.5546875" style="255" bestFit="1" customWidth="1"/>
    <col min="68" max="68" width="54.5546875" style="255" bestFit="1" customWidth="1"/>
    <col min="69" max="69" width="38.88671875" style="255" bestFit="1" customWidth="1"/>
    <col min="70" max="70" width="37.33203125" style="255" bestFit="1" customWidth="1"/>
    <col min="71" max="71" width="44.88671875" style="255" bestFit="1" customWidth="1"/>
    <col min="72" max="72" width="36" style="255" bestFit="1" customWidth="1"/>
    <col min="73" max="73" width="40" style="255" bestFit="1" customWidth="1"/>
    <col min="74" max="74" width="52.109375" style="255" bestFit="1" customWidth="1"/>
    <col min="75" max="75" width="37.109375" style="255" bestFit="1" customWidth="1"/>
    <col min="76" max="76" width="27.6640625" style="255" bestFit="1" customWidth="1"/>
    <col min="77" max="77" width="40.109375" style="255" bestFit="1" customWidth="1"/>
    <col min="78" max="78" width="34.33203125" style="255" bestFit="1" customWidth="1"/>
    <col min="79" max="79" width="42.6640625" style="255" customWidth="1"/>
    <col min="80" max="80" width="37.44140625" style="255" customWidth="1"/>
    <col min="81" max="81" width="4" style="255" customWidth="1"/>
    <col min="82" max="82" width="33.44140625" style="255" customWidth="1"/>
    <col min="83" max="83" width="35" style="255" customWidth="1"/>
    <col min="84" max="84" width="19.5546875" style="255" bestFit="1" customWidth="1"/>
    <col min="85" max="85" width="27.6640625" style="255" bestFit="1" customWidth="1"/>
    <col min="86" max="86" width="19.5546875" style="255" bestFit="1" customWidth="1"/>
    <col min="87" max="87" width="19.5546875" style="255" customWidth="1"/>
    <col min="88" max="88" width="30.109375" style="255" bestFit="1" customWidth="1"/>
    <col min="89" max="89" width="15.33203125" style="255" customWidth="1"/>
    <col min="90" max="90" width="11.109375" style="255" bestFit="1" customWidth="1"/>
    <col min="91" max="91" width="19" style="255" customWidth="1"/>
    <col min="92" max="92" width="33.109375" style="255" bestFit="1" customWidth="1"/>
    <col min="93" max="93" width="34.44140625" style="255" customWidth="1"/>
    <col min="94" max="94" width="9.109375" style="255"/>
    <col min="95" max="95" width="10.6640625" style="255" bestFit="1" customWidth="1"/>
    <col min="96" max="99" width="10.6640625" style="255" customWidth="1"/>
    <col min="100" max="115" width="9.109375" style="255"/>
    <col min="116" max="116" width="14.44140625" style="255" bestFit="1" customWidth="1"/>
    <col min="117" max="16384" width="9.109375" style="255"/>
  </cols>
  <sheetData>
    <row r="1" spans="1:118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</row>
    <row r="2" spans="1:118" x14ac:dyDescent="0.3">
      <c r="A2" s="271" t="s">
        <v>211</v>
      </c>
      <c r="B2" s="271" t="s">
        <v>37</v>
      </c>
      <c r="C2" s="271" t="s">
        <v>38</v>
      </c>
      <c r="D2" s="271" t="s">
        <v>39</v>
      </c>
      <c r="E2" s="271" t="s">
        <v>40</v>
      </c>
      <c r="F2" s="271" t="s">
        <v>49</v>
      </c>
      <c r="G2" s="271" t="s">
        <v>51</v>
      </c>
      <c r="H2" s="271" t="s">
        <v>681</v>
      </c>
      <c r="I2" s="271" t="s">
        <v>31</v>
      </c>
      <c r="J2" s="271" t="s">
        <v>55</v>
      </c>
      <c r="K2" s="271" t="s">
        <v>56</v>
      </c>
      <c r="L2" s="271" t="s">
        <v>57</v>
      </c>
      <c r="M2" s="271" t="s">
        <v>58</v>
      </c>
      <c r="N2" s="271" t="s">
        <v>59</v>
      </c>
      <c r="O2" s="271" t="s">
        <v>60</v>
      </c>
      <c r="P2" s="271" t="s">
        <v>61</v>
      </c>
      <c r="Q2" s="271" t="s">
        <v>62</v>
      </c>
      <c r="R2" s="271" t="s">
        <v>63</v>
      </c>
      <c r="S2" s="271" t="s">
        <v>64</v>
      </c>
      <c r="T2" s="271" t="s">
        <v>65</v>
      </c>
      <c r="U2" s="271" t="s">
        <v>66</v>
      </c>
      <c r="V2" s="271" t="s">
        <v>200</v>
      </c>
      <c r="W2" s="271" t="s">
        <v>201</v>
      </c>
      <c r="X2" s="271" t="s">
        <v>202</v>
      </c>
      <c r="Y2" s="271" t="s">
        <v>203</v>
      </c>
      <c r="Z2" s="271" t="s">
        <v>204</v>
      </c>
      <c r="AA2" s="271" t="s">
        <v>205</v>
      </c>
      <c r="AB2" s="271" t="s">
        <v>67</v>
      </c>
      <c r="AC2" s="271" t="s">
        <v>68</v>
      </c>
      <c r="AD2" s="271" t="s">
        <v>69</v>
      </c>
      <c r="AE2" s="271" t="s">
        <v>70</v>
      </c>
      <c r="AF2" s="271" t="s">
        <v>71</v>
      </c>
      <c r="AG2" s="271" t="s">
        <v>72</v>
      </c>
      <c r="AH2" s="271" t="s">
        <v>207</v>
      </c>
      <c r="AI2" s="271" t="s">
        <v>78</v>
      </c>
      <c r="AJ2" s="271" t="s">
        <v>79</v>
      </c>
      <c r="AK2" s="271" t="s">
        <v>80</v>
      </c>
      <c r="AL2" s="271" t="s">
        <v>81</v>
      </c>
      <c r="AM2" s="271" t="s">
        <v>82</v>
      </c>
      <c r="AN2" s="271" t="s">
        <v>83</v>
      </c>
      <c r="AO2" s="271" t="s">
        <v>77</v>
      </c>
      <c r="AP2" s="271" t="s">
        <v>84</v>
      </c>
      <c r="AQ2" s="271" t="s">
        <v>85</v>
      </c>
      <c r="AR2" s="271" t="s">
        <v>86</v>
      </c>
      <c r="AS2" s="271" t="s">
        <v>87</v>
      </c>
      <c r="AT2" s="271" t="s">
        <v>88</v>
      </c>
      <c r="AU2" s="271" t="s">
        <v>89</v>
      </c>
      <c r="AV2" s="271" t="s">
        <v>91</v>
      </c>
      <c r="AW2" s="271" t="s">
        <v>92</v>
      </c>
      <c r="AX2" s="271" t="s">
        <v>93</v>
      </c>
      <c r="AY2" s="271" t="s">
        <v>94</v>
      </c>
      <c r="AZ2" s="271" t="s">
        <v>95</v>
      </c>
      <c r="BA2" s="271" t="s">
        <v>96</v>
      </c>
      <c r="BB2" s="271" t="s">
        <v>97</v>
      </c>
      <c r="BC2" s="271" t="s">
        <v>209</v>
      </c>
      <c r="BD2" s="271" t="s">
        <v>110</v>
      </c>
      <c r="BE2" s="271" t="s">
        <v>111</v>
      </c>
      <c r="BF2" s="271" t="s">
        <v>112</v>
      </c>
      <c r="BG2" s="271" t="s">
        <v>113</v>
      </c>
      <c r="BH2" s="271" t="s">
        <v>114</v>
      </c>
      <c r="BI2" s="271" t="s">
        <v>108</v>
      </c>
      <c r="BJ2" s="271" t="s">
        <v>115</v>
      </c>
      <c r="BK2" s="271" t="s">
        <v>116</v>
      </c>
      <c r="BL2" s="271" t="s">
        <v>117</v>
      </c>
      <c r="BM2" s="271" t="s">
        <v>118</v>
      </c>
      <c r="BN2" s="271" t="s">
        <v>119</v>
      </c>
      <c r="BO2" s="271" t="s">
        <v>120</v>
      </c>
      <c r="BP2" s="271" t="s">
        <v>122</v>
      </c>
      <c r="BQ2" s="271" t="s">
        <v>123</v>
      </c>
      <c r="BR2" s="271" t="s">
        <v>124</v>
      </c>
      <c r="BS2" s="271" t="s">
        <v>125</v>
      </c>
      <c r="BT2" s="271" t="s">
        <v>126</v>
      </c>
      <c r="BU2" s="271" t="s">
        <v>127</v>
      </c>
      <c r="BV2" s="271" t="s">
        <v>128</v>
      </c>
      <c r="BW2" s="271" t="s">
        <v>137</v>
      </c>
      <c r="BX2" s="271" t="s">
        <v>138</v>
      </c>
      <c r="BY2" s="271" t="s">
        <v>140</v>
      </c>
      <c r="BZ2" s="271" t="s">
        <v>141</v>
      </c>
      <c r="CA2" s="271" t="s">
        <v>308</v>
      </c>
      <c r="CB2" s="271"/>
    </row>
    <row r="3" spans="1:118" ht="21" x14ac:dyDescent="0.3">
      <c r="A3" s="275" t="s">
        <v>197</v>
      </c>
      <c r="B3" s="276">
        <f>AVERAGE(B$20:B$45)</f>
        <v>14.57375</v>
      </c>
      <c r="C3" s="276">
        <f t="shared" ref="C3:BN3" si="0">AVERAGE(C$20:C$45)</f>
        <v>-20.875</v>
      </c>
      <c r="D3" s="276">
        <f t="shared" si="0"/>
        <v>20.5</v>
      </c>
      <c r="E3" s="276">
        <f t="shared" si="0"/>
        <v>39.214999999999996</v>
      </c>
      <c r="F3" s="276">
        <f t="shared" si="0"/>
        <v>1786.375</v>
      </c>
      <c r="G3" s="276">
        <f t="shared" si="0"/>
        <v>12.543749999999999</v>
      </c>
      <c r="H3" s="276">
        <f t="shared" si="0"/>
        <v>11.175000000000001</v>
      </c>
      <c r="I3" s="276">
        <f t="shared" si="0"/>
        <v>57.1875</v>
      </c>
      <c r="J3" s="276">
        <f t="shared" si="0"/>
        <v>7.875</v>
      </c>
      <c r="K3" s="276">
        <f t="shared" si="0"/>
        <v>1.125</v>
      </c>
      <c r="L3" s="276">
        <f t="shared" si="0"/>
        <v>12.5</v>
      </c>
      <c r="M3" s="276">
        <f t="shared" si="0"/>
        <v>-25.375</v>
      </c>
      <c r="N3" s="276">
        <f t="shared" si="0"/>
        <v>4</v>
      </c>
      <c r="O3" s="276">
        <f t="shared" si="0"/>
        <v>38.855000000000004</v>
      </c>
      <c r="P3" s="276">
        <f t="shared" si="0"/>
        <v>4.375</v>
      </c>
      <c r="Q3" s="276">
        <f t="shared" si="0"/>
        <v>0.25</v>
      </c>
      <c r="R3" s="276">
        <f t="shared" si="0"/>
        <v>4.1675000000000004</v>
      </c>
      <c r="S3" s="276">
        <f t="shared" si="0"/>
        <v>-67.125</v>
      </c>
      <c r="T3" s="276">
        <f t="shared" si="0"/>
        <v>1.625</v>
      </c>
      <c r="U3" s="276">
        <f t="shared" si="0"/>
        <v>32.083750000000002</v>
      </c>
      <c r="V3" s="276">
        <f t="shared" si="0"/>
        <v>1.25</v>
      </c>
      <c r="W3" s="276">
        <f t="shared" si="0"/>
        <v>0.125</v>
      </c>
      <c r="X3" s="276">
        <f t="shared" si="0"/>
        <v>6.25</v>
      </c>
      <c r="Y3" s="276">
        <f t="shared" si="0"/>
        <v>-51.25</v>
      </c>
      <c r="Z3" s="276">
        <f t="shared" si="0"/>
        <v>0.5</v>
      </c>
      <c r="AA3" s="276">
        <f t="shared" si="0"/>
        <v>29.166249999999998</v>
      </c>
      <c r="AB3" s="276">
        <f t="shared" si="0"/>
        <v>9.5</v>
      </c>
      <c r="AC3" s="276">
        <f t="shared" si="0"/>
        <v>0.875</v>
      </c>
      <c r="AD3" s="276">
        <f t="shared" si="0"/>
        <v>7.6337500000000009</v>
      </c>
      <c r="AE3" s="276">
        <f t="shared" si="0"/>
        <v>-44.375</v>
      </c>
      <c r="AF3" s="276">
        <f t="shared" si="0"/>
        <v>4</v>
      </c>
      <c r="AG3" s="276">
        <f t="shared" si="0"/>
        <v>40.487499999999997</v>
      </c>
      <c r="AH3" s="276">
        <f t="shared" si="0"/>
        <v>1843</v>
      </c>
      <c r="AI3" s="276">
        <f t="shared" si="0"/>
        <v>100</v>
      </c>
      <c r="AJ3" s="276">
        <f t="shared" si="0"/>
        <v>10.25</v>
      </c>
      <c r="AK3" s="276">
        <f t="shared" si="0"/>
        <v>10.25</v>
      </c>
      <c r="AL3" s="276">
        <f t="shared" si="0"/>
        <v>-32</v>
      </c>
      <c r="AM3" s="276">
        <f t="shared" si="0"/>
        <v>33.875</v>
      </c>
      <c r="AN3" s="276">
        <f t="shared" si="0"/>
        <v>33.875</v>
      </c>
      <c r="AO3" s="276">
        <f t="shared" si="0"/>
        <v>1798.75</v>
      </c>
      <c r="AP3" s="276">
        <f t="shared" si="0"/>
        <v>250.375</v>
      </c>
      <c r="AQ3" s="276">
        <f t="shared" si="0"/>
        <v>27.125</v>
      </c>
      <c r="AR3" s="276">
        <f t="shared" si="0"/>
        <v>11.177499999999998</v>
      </c>
      <c r="AS3" s="276">
        <f t="shared" si="0"/>
        <v>-29.5</v>
      </c>
      <c r="AT3" s="276">
        <f t="shared" si="0"/>
        <v>82</v>
      </c>
      <c r="AU3" s="276">
        <f t="shared" si="0"/>
        <v>34.21875</v>
      </c>
      <c r="AV3" s="276">
        <f t="shared" si="0"/>
        <v>1785.25</v>
      </c>
      <c r="AW3" s="276">
        <f t="shared" si="0"/>
        <v>225.75</v>
      </c>
      <c r="AX3" s="276">
        <f t="shared" si="0"/>
        <v>23.875</v>
      </c>
      <c r="AY3" s="276">
        <f t="shared" si="0"/>
        <v>10.615</v>
      </c>
      <c r="AZ3" s="276">
        <f t="shared" si="0"/>
        <v>-33.375</v>
      </c>
      <c r="BA3" s="276">
        <f t="shared" si="0"/>
        <v>74</v>
      </c>
      <c r="BB3" s="276">
        <f t="shared" si="0"/>
        <v>34.087499999999999</v>
      </c>
      <c r="BC3" s="276">
        <f t="shared" si="0"/>
        <v>1684</v>
      </c>
      <c r="BD3" s="276">
        <f t="shared" si="0"/>
        <v>8.75</v>
      </c>
      <c r="BE3" s="276">
        <f t="shared" si="0"/>
        <v>9.0812500000000007</v>
      </c>
      <c r="BF3" s="276">
        <f t="shared" si="0"/>
        <v>-32.875</v>
      </c>
      <c r="BG3" s="276">
        <f t="shared" si="0"/>
        <v>28.375</v>
      </c>
      <c r="BH3" s="276">
        <f t="shared" si="0"/>
        <v>30.695</v>
      </c>
      <c r="BI3" s="276">
        <f t="shared" si="0"/>
        <v>1605.25</v>
      </c>
      <c r="BJ3" s="276">
        <f t="shared" si="0"/>
        <v>84.875</v>
      </c>
      <c r="BK3" s="276">
        <f t="shared" si="0"/>
        <v>9.25</v>
      </c>
      <c r="BL3" s="276">
        <f t="shared" si="0"/>
        <v>8.8650000000000002</v>
      </c>
      <c r="BM3" s="276">
        <f t="shared" si="0"/>
        <v>-1.625</v>
      </c>
      <c r="BN3" s="276">
        <f t="shared" si="0"/>
        <v>26.875</v>
      </c>
      <c r="BO3" s="276">
        <f t="shared" ref="BO3:CA3" si="1">AVERAGE(BO$20:BO$45)</f>
        <v>28.528750000000002</v>
      </c>
      <c r="BP3" s="276">
        <f t="shared" si="1"/>
        <v>1820.125</v>
      </c>
      <c r="BQ3" s="276">
        <f t="shared" si="1"/>
        <v>76.5</v>
      </c>
      <c r="BR3" s="276">
        <f t="shared" si="1"/>
        <v>8.25</v>
      </c>
      <c r="BS3" s="276">
        <f t="shared" si="1"/>
        <v>9.3224999999999998</v>
      </c>
      <c r="BT3" s="276">
        <f t="shared" si="1"/>
        <v>19.625</v>
      </c>
      <c r="BU3" s="276">
        <f t="shared" si="1"/>
        <v>24.25</v>
      </c>
      <c r="BV3" s="276">
        <f t="shared" si="1"/>
        <v>29.563749999999999</v>
      </c>
      <c r="BW3" s="276">
        <f t="shared" si="1"/>
        <v>5.25</v>
      </c>
      <c r="BX3" s="276">
        <f t="shared" si="1"/>
        <v>3.9</v>
      </c>
      <c r="BY3" s="276">
        <f t="shared" si="1"/>
        <v>197.5</v>
      </c>
      <c r="BZ3" s="276">
        <f t="shared" si="1"/>
        <v>7433.333333333333</v>
      </c>
      <c r="CA3" s="276">
        <f t="shared" si="1"/>
        <v>6425.6184027777781</v>
      </c>
      <c r="CB3" s="276"/>
    </row>
    <row r="4" spans="1:118" ht="21" x14ac:dyDescent="0.3">
      <c r="A4" s="275" t="s">
        <v>470</v>
      </c>
      <c r="B4" s="276">
        <f>_xlfn.STDEV.P(B$20:B$45)</f>
        <v>2.6234659207811304</v>
      </c>
      <c r="C4" s="276">
        <f t="shared" ref="C4:BN4" si="2">_xlfn.STDEV.P(C$20:C$45)</f>
        <v>18.556922562752693</v>
      </c>
      <c r="D4" s="276">
        <f t="shared" si="2"/>
        <v>7.3654599313281173</v>
      </c>
      <c r="E4" s="276">
        <f t="shared" si="2"/>
        <v>6.0453970092955949</v>
      </c>
      <c r="F4" s="276">
        <f t="shared" si="2"/>
        <v>429.65274859472271</v>
      </c>
      <c r="G4" s="276">
        <f t="shared" si="2"/>
        <v>7.7998973350615319</v>
      </c>
      <c r="H4" s="276">
        <f t="shared" si="2"/>
        <v>6.686319989351392</v>
      </c>
      <c r="I4" s="276">
        <f t="shared" si="2"/>
        <v>2.207055447876197</v>
      </c>
      <c r="J4" s="276">
        <f t="shared" si="2"/>
        <v>7.2704453096079336</v>
      </c>
      <c r="K4" s="276">
        <f t="shared" si="2"/>
        <v>1.3635890143294642</v>
      </c>
      <c r="L4" s="276">
        <f t="shared" si="2"/>
        <v>16.223354307910558</v>
      </c>
      <c r="M4" s="276">
        <f t="shared" si="2"/>
        <v>89.228551344286657</v>
      </c>
      <c r="N4" s="276">
        <f t="shared" si="2"/>
        <v>4.358898943540674</v>
      </c>
      <c r="O4" s="276">
        <f t="shared" si="2"/>
        <v>27.691581753305456</v>
      </c>
      <c r="P4" s="276">
        <f t="shared" si="2"/>
        <v>3.5685256059050494</v>
      </c>
      <c r="Q4" s="276">
        <f t="shared" si="2"/>
        <v>0.4330127018922193</v>
      </c>
      <c r="R4" s="276">
        <f t="shared" si="2"/>
        <v>7.2183217405432964</v>
      </c>
      <c r="S4" s="276">
        <f t="shared" si="2"/>
        <v>43.764818918853074</v>
      </c>
      <c r="T4" s="276">
        <f t="shared" si="2"/>
        <v>1.3169567191065923</v>
      </c>
      <c r="U4" s="276">
        <f t="shared" si="2"/>
        <v>22.909415606634312</v>
      </c>
      <c r="V4" s="276">
        <f t="shared" si="2"/>
        <v>0.96824583655185426</v>
      </c>
      <c r="W4" s="276">
        <f t="shared" si="2"/>
        <v>0.33071891388307384</v>
      </c>
      <c r="X4" s="276">
        <f t="shared" si="2"/>
        <v>16.535945694153693</v>
      </c>
      <c r="Y4" s="276">
        <f t="shared" si="2"/>
        <v>68.087719156981606</v>
      </c>
      <c r="Z4" s="276">
        <f t="shared" si="2"/>
        <v>0.5</v>
      </c>
      <c r="AA4" s="276">
        <f t="shared" si="2"/>
        <v>34.105585663311814</v>
      </c>
      <c r="AB4" s="276">
        <f t="shared" si="2"/>
        <v>3.2787192621510002</v>
      </c>
      <c r="AC4" s="276">
        <f t="shared" si="2"/>
        <v>0.78062474979979979</v>
      </c>
      <c r="AD4" s="276">
        <f t="shared" si="2"/>
        <v>6.8899853728074048</v>
      </c>
      <c r="AE4" s="276">
        <f t="shared" si="2"/>
        <v>64.113059317115727</v>
      </c>
      <c r="AF4" s="276">
        <f t="shared" si="2"/>
        <v>2.0615528128088303</v>
      </c>
      <c r="AG4" s="276">
        <f t="shared" si="2"/>
        <v>10.380807711830533</v>
      </c>
      <c r="AH4" s="276">
        <f t="shared" si="2"/>
        <v>744.51309592242899</v>
      </c>
      <c r="AI4" s="276">
        <f t="shared" si="2"/>
        <v>0</v>
      </c>
      <c r="AJ4" s="276">
        <f t="shared" si="2"/>
        <v>1.6393596310755001</v>
      </c>
      <c r="AK4" s="276">
        <f t="shared" si="2"/>
        <v>1.6393596310755001</v>
      </c>
      <c r="AL4" s="276">
        <f t="shared" si="2"/>
        <v>24.336187047275914</v>
      </c>
      <c r="AM4" s="276">
        <f t="shared" si="2"/>
        <v>9.64931992422264</v>
      </c>
      <c r="AN4" s="276">
        <f t="shared" si="2"/>
        <v>9.64931992422264</v>
      </c>
      <c r="AO4" s="276">
        <f t="shared" si="2"/>
        <v>544.77260164218978</v>
      </c>
      <c r="AP4" s="276">
        <f t="shared" si="2"/>
        <v>153.10040618822669</v>
      </c>
      <c r="AQ4" s="276">
        <f t="shared" si="2"/>
        <v>17.32366517224343</v>
      </c>
      <c r="AR4" s="276">
        <f t="shared" si="2"/>
        <v>1.9725728757133505</v>
      </c>
      <c r="AS4" s="276">
        <f t="shared" si="2"/>
        <v>11.180339887498949</v>
      </c>
      <c r="AT4" s="276">
        <f t="shared" si="2"/>
        <v>44.905456238635409</v>
      </c>
      <c r="AU4" s="276">
        <f t="shared" si="2"/>
        <v>7.104757978812505</v>
      </c>
      <c r="AV4" s="276">
        <f t="shared" si="2"/>
        <v>573.06691363225639</v>
      </c>
      <c r="AW4" s="276">
        <f t="shared" si="2"/>
        <v>134.43655566846394</v>
      </c>
      <c r="AX4" s="276">
        <f t="shared" si="2"/>
        <v>15.814846663815619</v>
      </c>
      <c r="AY4" s="276">
        <f t="shared" si="2"/>
        <v>2.0017617240820629</v>
      </c>
      <c r="AZ4" s="276">
        <f t="shared" si="2"/>
        <v>17.233234606422556</v>
      </c>
      <c r="BA4" s="276">
        <f t="shared" si="2"/>
        <v>41.252272664666613</v>
      </c>
      <c r="BB4" s="276">
        <f t="shared" si="2"/>
        <v>7.2005481562170068</v>
      </c>
      <c r="BC4" s="276">
        <f t="shared" si="2"/>
        <v>1205.6057606033573</v>
      </c>
      <c r="BD4" s="276">
        <f t="shared" si="2"/>
        <v>4.6837484987987983</v>
      </c>
      <c r="BE4" s="276">
        <f t="shared" si="2"/>
        <v>4.2700949564968669</v>
      </c>
      <c r="BF4" s="276">
        <f t="shared" si="2"/>
        <v>40.830250733983988</v>
      </c>
      <c r="BG4" s="276">
        <f t="shared" si="2"/>
        <v>9.9616451954483907</v>
      </c>
      <c r="BH4" s="276">
        <f t="shared" si="2"/>
        <v>8.379210881700013</v>
      </c>
      <c r="BI4" s="276">
        <f t="shared" si="2"/>
        <v>1035.7557325450823</v>
      </c>
      <c r="BJ4" s="276">
        <f t="shared" si="2"/>
        <v>79.65776405975754</v>
      </c>
      <c r="BK4" s="276">
        <f t="shared" si="2"/>
        <v>12.386989141837494</v>
      </c>
      <c r="BL4" s="276">
        <f t="shared" si="2"/>
        <v>4.1892123364661265</v>
      </c>
      <c r="BM4" s="276">
        <f t="shared" si="2"/>
        <v>92.952861037194552</v>
      </c>
      <c r="BN4" s="276">
        <f t="shared" si="2"/>
        <v>32.528593191221781</v>
      </c>
      <c r="BO4" s="276">
        <f t="shared" ref="BO4:CA4" si="3">_xlfn.STDEV.P(BO$20:BO$45)</f>
        <v>9.8324455725673818</v>
      </c>
      <c r="BP4" s="276">
        <f t="shared" si="3"/>
        <v>1362.854764593425</v>
      </c>
      <c r="BQ4" s="276">
        <f t="shared" si="3"/>
        <v>71.395027838078477</v>
      </c>
      <c r="BR4" s="276">
        <f t="shared" si="3"/>
        <v>10.894379284750462</v>
      </c>
      <c r="BS4" s="276">
        <f t="shared" si="3"/>
        <v>4.383043320570768</v>
      </c>
      <c r="BT4" s="276">
        <f t="shared" si="3"/>
        <v>149.57183683768812</v>
      </c>
      <c r="BU4" s="276">
        <f t="shared" si="3"/>
        <v>28.955785259598816</v>
      </c>
      <c r="BV4" s="276">
        <f t="shared" si="3"/>
        <v>9.1846800944562101</v>
      </c>
      <c r="BW4" s="276">
        <f t="shared" si="3"/>
        <v>2.5372228912730548</v>
      </c>
      <c r="BX4" s="276">
        <f t="shared" si="3"/>
        <v>2.2456903170294877</v>
      </c>
      <c r="BY4" s="276">
        <f t="shared" si="3"/>
        <v>123.2629303562105</v>
      </c>
      <c r="BZ4" s="276">
        <f t="shared" si="3"/>
        <v>8893.5682127903838</v>
      </c>
      <c r="CA4" s="276">
        <f t="shared" si="3"/>
        <v>6646.1555949002486</v>
      </c>
      <c r="CB4" s="276"/>
    </row>
    <row r="5" spans="1:118" ht="21" x14ac:dyDescent="0.3">
      <c r="A5" s="27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6"/>
      <c r="BC5" s="276"/>
      <c r="BD5" s="276"/>
      <c r="BE5" s="276"/>
      <c r="BF5" s="276"/>
      <c r="BG5" s="276"/>
      <c r="BH5" s="276"/>
      <c r="BI5" s="276"/>
      <c r="BJ5" s="276"/>
      <c r="BK5" s="276"/>
      <c r="BL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W5" s="276"/>
      <c r="BX5" s="276"/>
      <c r="BY5" s="276"/>
      <c r="BZ5" s="276"/>
      <c r="CA5" s="276"/>
      <c r="CB5" s="276" t="s">
        <v>308</v>
      </c>
      <c r="CD5" s="277" t="s">
        <v>483</v>
      </c>
    </row>
    <row r="6" spans="1:118" ht="21" x14ac:dyDescent="0.3">
      <c r="A6" s="278" t="s">
        <v>473</v>
      </c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276" t="s">
        <v>51</v>
      </c>
      <c r="CB6" s="276" t="s">
        <v>138</v>
      </c>
    </row>
    <row r="8" spans="1:118" ht="21.6" thickBot="1" x14ac:dyDescent="0.35">
      <c r="A8" s="279" t="s">
        <v>471</v>
      </c>
      <c r="B8" s="280" t="s">
        <v>37</v>
      </c>
      <c r="C8" s="280" t="s">
        <v>38</v>
      </c>
      <c r="D8" s="280" t="s">
        <v>39</v>
      </c>
      <c r="E8" s="280" t="s">
        <v>40</v>
      </c>
      <c r="F8" s="280" t="s">
        <v>49</v>
      </c>
      <c r="G8" s="280" t="s">
        <v>51</v>
      </c>
      <c r="H8" s="280" t="s">
        <v>681</v>
      </c>
      <c r="I8" s="280" t="s">
        <v>31</v>
      </c>
      <c r="J8" s="280" t="s">
        <v>55</v>
      </c>
      <c r="K8" s="280" t="s">
        <v>56</v>
      </c>
      <c r="L8" s="280" t="s">
        <v>57</v>
      </c>
      <c r="M8" s="280" t="s">
        <v>58</v>
      </c>
      <c r="N8" s="280" t="s">
        <v>59</v>
      </c>
      <c r="O8" s="280" t="s">
        <v>60</v>
      </c>
      <c r="P8" s="280" t="s">
        <v>61</v>
      </c>
      <c r="Q8" s="280" t="s">
        <v>62</v>
      </c>
      <c r="R8" s="280" t="s">
        <v>63</v>
      </c>
      <c r="S8" s="280" t="s">
        <v>64</v>
      </c>
      <c r="T8" s="280" t="s">
        <v>65</v>
      </c>
      <c r="U8" s="280" t="s">
        <v>66</v>
      </c>
      <c r="V8" s="280" t="s">
        <v>200</v>
      </c>
      <c r="W8" s="280" t="s">
        <v>201</v>
      </c>
      <c r="X8" s="280" t="s">
        <v>202</v>
      </c>
      <c r="Y8" s="280" t="s">
        <v>203</v>
      </c>
      <c r="Z8" s="280" t="s">
        <v>204</v>
      </c>
      <c r="AA8" s="280" t="s">
        <v>205</v>
      </c>
      <c r="AB8" s="280" t="s">
        <v>67</v>
      </c>
      <c r="AC8" s="280" t="s">
        <v>68</v>
      </c>
      <c r="AD8" s="280" t="s">
        <v>69</v>
      </c>
      <c r="AE8" s="280" t="s">
        <v>70</v>
      </c>
      <c r="AF8" s="280" t="s">
        <v>71</v>
      </c>
      <c r="AG8" s="280" t="s">
        <v>72</v>
      </c>
      <c r="AH8" s="280" t="s">
        <v>207</v>
      </c>
      <c r="AI8" s="280" t="s">
        <v>78</v>
      </c>
      <c r="AJ8" s="280" t="s">
        <v>79</v>
      </c>
      <c r="AK8" s="280" t="s">
        <v>80</v>
      </c>
      <c r="AL8" s="280" t="s">
        <v>81</v>
      </c>
      <c r="AM8" s="280" t="s">
        <v>82</v>
      </c>
      <c r="AN8" s="280" t="s">
        <v>83</v>
      </c>
      <c r="AO8" s="280" t="s">
        <v>77</v>
      </c>
      <c r="AP8" s="280" t="s">
        <v>84</v>
      </c>
      <c r="AQ8" s="280" t="s">
        <v>85</v>
      </c>
      <c r="AR8" s="280" t="s">
        <v>86</v>
      </c>
      <c r="AS8" s="280" t="s">
        <v>87</v>
      </c>
      <c r="AT8" s="280" t="s">
        <v>88</v>
      </c>
      <c r="AU8" s="280" t="s">
        <v>89</v>
      </c>
      <c r="AV8" s="280" t="s">
        <v>91</v>
      </c>
      <c r="AW8" s="280" t="s">
        <v>92</v>
      </c>
      <c r="AX8" s="280" t="s">
        <v>93</v>
      </c>
      <c r="AY8" s="280" t="s">
        <v>94</v>
      </c>
      <c r="AZ8" s="280" t="s">
        <v>95</v>
      </c>
      <c r="BA8" s="280" t="s">
        <v>96</v>
      </c>
      <c r="BB8" s="280" t="s">
        <v>97</v>
      </c>
      <c r="BC8" s="280" t="s">
        <v>209</v>
      </c>
      <c r="BD8" s="280" t="s">
        <v>110</v>
      </c>
      <c r="BE8" s="280" t="s">
        <v>111</v>
      </c>
      <c r="BF8" s="280" t="s">
        <v>112</v>
      </c>
      <c r="BG8" s="280" t="s">
        <v>113</v>
      </c>
      <c r="BH8" s="280" t="s">
        <v>114</v>
      </c>
      <c r="BI8" s="280" t="s">
        <v>108</v>
      </c>
      <c r="BJ8" s="280" t="s">
        <v>115</v>
      </c>
      <c r="BK8" s="280" t="s">
        <v>116</v>
      </c>
      <c r="BL8" s="280" t="s">
        <v>117</v>
      </c>
      <c r="BM8" s="280" t="s">
        <v>118</v>
      </c>
      <c r="BN8" s="280" t="s">
        <v>119</v>
      </c>
      <c r="BO8" s="280" t="s">
        <v>120</v>
      </c>
      <c r="BP8" s="280" t="s">
        <v>122</v>
      </c>
      <c r="BQ8" s="280" t="s">
        <v>123</v>
      </c>
      <c r="BR8" s="280" t="s">
        <v>124</v>
      </c>
      <c r="BS8" s="280" t="s">
        <v>125</v>
      </c>
      <c r="BT8" s="280" t="s">
        <v>126</v>
      </c>
      <c r="BU8" s="280" t="s">
        <v>127</v>
      </c>
      <c r="BV8" s="280" t="s">
        <v>128</v>
      </c>
      <c r="BW8" s="280" t="s">
        <v>137</v>
      </c>
      <c r="BX8" s="280" t="s">
        <v>138</v>
      </c>
      <c r="BY8" s="280" t="s">
        <v>140</v>
      </c>
      <c r="BZ8" s="280" t="s">
        <v>141</v>
      </c>
      <c r="CA8" s="281" t="s">
        <v>308</v>
      </c>
      <c r="CB8" s="282" t="s">
        <v>386</v>
      </c>
      <c r="CD8" s="255" t="s">
        <v>488</v>
      </c>
      <c r="CE8" s="255" t="s">
        <v>486</v>
      </c>
      <c r="CF8" s="255" t="s">
        <v>489</v>
      </c>
      <c r="CG8" s="255" t="s">
        <v>487</v>
      </c>
      <c r="CH8" s="255" t="s">
        <v>287</v>
      </c>
      <c r="CI8" s="255" t="s">
        <v>557</v>
      </c>
      <c r="CJ8" s="255" t="s">
        <v>283</v>
      </c>
      <c r="CK8" s="255" t="s">
        <v>558</v>
      </c>
      <c r="CM8" s="255" t="s">
        <v>559</v>
      </c>
      <c r="CN8" s="255" t="s">
        <v>283</v>
      </c>
      <c r="CO8" s="255" t="s">
        <v>567</v>
      </c>
      <c r="CP8" s="255" t="s">
        <v>373</v>
      </c>
      <c r="CQ8" s="255" t="s">
        <v>557</v>
      </c>
      <c r="CR8" s="313" t="s">
        <v>585</v>
      </c>
      <c r="CS8" s="313" t="s">
        <v>586</v>
      </c>
      <c r="CT8" s="313" t="s">
        <v>589</v>
      </c>
      <c r="CU8" s="313" t="s">
        <v>588</v>
      </c>
      <c r="CV8" s="313" t="s">
        <v>590</v>
      </c>
      <c r="CW8" s="255" t="s">
        <v>557</v>
      </c>
      <c r="CX8" s="313" t="s">
        <v>585</v>
      </c>
      <c r="CY8" s="313" t="s">
        <v>586</v>
      </c>
      <c r="CZ8" s="313" t="s">
        <v>589</v>
      </c>
      <c r="DA8" s="313" t="s">
        <v>588</v>
      </c>
      <c r="DB8" s="313" t="s">
        <v>590</v>
      </c>
    </row>
    <row r="9" spans="1:118" x14ac:dyDescent="0.3">
      <c r="A9" s="255">
        <v>3</v>
      </c>
      <c r="B9" s="276">
        <f t="shared" ref="B9:K12" si="4">IF(ISERROR(INDEX(B$50:B$75,MATCH($A9,$A$50:$A$75,))),0,INDEX(B$50:B$75,MATCH($A9,$A$50:$A$75,)))</f>
        <v>-1.396530433644485</v>
      </c>
      <c r="C9" s="276">
        <f t="shared" si="4"/>
        <v>4.715221486973778E-2</v>
      </c>
      <c r="D9" s="276">
        <f t="shared" si="4"/>
        <v>0.33942211665106536</v>
      </c>
      <c r="E9" s="276">
        <f t="shared" si="4"/>
        <v>0.43090635668666144</v>
      </c>
      <c r="F9" s="276">
        <f t="shared" si="4"/>
        <v>-0.18939713586414958</v>
      </c>
      <c r="G9" s="276">
        <f t="shared" si="4"/>
        <v>-1.2235737971959744</v>
      </c>
      <c r="H9" s="276">
        <f t="shared" si="4"/>
        <v>-1.2525574626009515</v>
      </c>
      <c r="I9" s="276">
        <f t="shared" si="4"/>
        <v>0.59468374537802893</v>
      </c>
      <c r="J9" s="276">
        <f t="shared" si="4"/>
        <v>0.97999499295927217</v>
      </c>
      <c r="K9" s="276">
        <f t="shared" si="4"/>
        <v>0.64168894791974795</v>
      </c>
      <c r="L9" s="276">
        <f t="shared" ref="L9:U12" si="5">IF(ISERROR(INDEX(L$50:L$75,MATCH($A9,$A$50:$A$75,))),0,INDEX(L$50:L$75,MATCH($A9,$A$50:$A$75,)))</f>
        <v>5.1160813247805942E-2</v>
      </c>
      <c r="M9" s="276">
        <f t="shared" si="5"/>
        <v>0.95681257527741537</v>
      </c>
      <c r="N9" s="276">
        <f t="shared" si="5"/>
        <v>1.1470786693528088</v>
      </c>
      <c r="O9" s="276">
        <f t="shared" si="5"/>
        <v>0.76358946153287122</v>
      </c>
      <c r="P9" s="276">
        <f t="shared" si="5"/>
        <v>-0.38531319425723232</v>
      </c>
      <c r="Q9" s="276">
        <f t="shared" si="5"/>
        <v>-0.57735026918962584</v>
      </c>
      <c r="R9" s="276">
        <f t="shared" si="5"/>
        <v>-0.57735026918962584</v>
      </c>
      <c r="S9" s="276">
        <f t="shared" si="5"/>
        <v>-0.75117413511879194</v>
      </c>
      <c r="T9" s="276">
        <f t="shared" si="5"/>
        <v>0.28474739872574972</v>
      </c>
      <c r="U9" s="276">
        <f t="shared" si="5"/>
        <v>1.5096958645241132</v>
      </c>
      <c r="V9" s="276">
        <f t="shared" ref="V9:AE12" si="6">IF(ISERROR(INDEX(V$50:V$75,MATCH($A9,$A$50:$A$75,))),0,INDEX(V$50:V$75,MATCH($A9,$A$50:$A$75,)))</f>
        <v>-0.2581988897471611</v>
      </c>
      <c r="W9" s="276">
        <f t="shared" si="6"/>
        <v>-0.3779644730092272</v>
      </c>
      <c r="X9" s="276">
        <f t="shared" si="6"/>
        <v>-0.3779644730092272</v>
      </c>
      <c r="Y9" s="276">
        <f t="shared" si="6"/>
        <v>-0.7159881488701807</v>
      </c>
      <c r="Z9" s="276">
        <f t="shared" si="6"/>
        <v>1</v>
      </c>
      <c r="AA9" s="276">
        <f t="shared" si="6"/>
        <v>2.0768958697635722</v>
      </c>
      <c r="AB9" s="276">
        <f t="shared" si="6"/>
        <v>1.372487132993442</v>
      </c>
      <c r="AC9" s="276">
        <f t="shared" si="6"/>
        <v>1.4411533842457842</v>
      </c>
      <c r="AD9" s="276">
        <f t="shared" si="6"/>
        <v>0.96607607125990624</v>
      </c>
      <c r="AE9" s="276">
        <f t="shared" si="6"/>
        <v>1.7995553671730542</v>
      </c>
      <c r="AF9" s="276">
        <f t="shared" ref="AF9:AO12" si="7">IF(ISERROR(INDEX(AF$50:AF$75,MATCH($A9,$A$50:$A$75,))),0,INDEX(AF$50:AF$75,MATCH($A9,$A$50:$A$75,)))</f>
        <v>1.4552137502179978</v>
      </c>
      <c r="AG9" s="276">
        <f t="shared" si="7"/>
        <v>0.91635451345072505</v>
      </c>
      <c r="AH9" s="276">
        <f t="shared" si="7"/>
        <v>-0.23773927009396981</v>
      </c>
      <c r="AI9" s="276" t="str">
        <f t="shared" si="7"/>
        <v xml:space="preserve"> </v>
      </c>
      <c r="AJ9" s="276">
        <f t="shared" si="7"/>
        <v>-0.15249857033260467</v>
      </c>
      <c r="AK9" s="276">
        <f t="shared" si="7"/>
        <v>-0.15249857033260467</v>
      </c>
      <c r="AL9" s="276">
        <f t="shared" si="7"/>
        <v>1.6025517852997226</v>
      </c>
      <c r="AM9" s="276">
        <f t="shared" si="7"/>
        <v>-9.0679965725200165E-2</v>
      </c>
      <c r="AN9" s="276">
        <f t="shared" si="7"/>
        <v>-9.0679965725200165E-2</v>
      </c>
      <c r="AO9" s="276">
        <f t="shared" si="7"/>
        <v>-0.48047570529605876</v>
      </c>
      <c r="AP9" s="276">
        <f t="shared" ref="AP9:AY12" si="8">IF(ISERROR(INDEX(AP$50:AP$75,MATCH($A9,$A$50:$A$75,))),0,INDEX(AP$50:AP$75,MATCH($A9,$A$50:$A$75,)))</f>
        <v>-0.69480547209795818</v>
      </c>
      <c r="AQ9" s="276">
        <f t="shared" si="8"/>
        <v>-0.81535863569053268</v>
      </c>
      <c r="AR9" s="276">
        <f t="shared" si="8"/>
        <v>-1.0886796763964368</v>
      </c>
      <c r="AS9" s="276">
        <f t="shared" si="8"/>
        <v>0.93914855054991164</v>
      </c>
      <c r="AT9" s="276">
        <f t="shared" si="8"/>
        <v>-0.73487729029257065</v>
      </c>
      <c r="AU9" s="276">
        <f t="shared" si="8"/>
        <v>-2.6566703688272107E-2</v>
      </c>
      <c r="AV9" s="276">
        <f t="shared" si="8"/>
        <v>-0.43319548571827837</v>
      </c>
      <c r="AW9" s="276">
        <f t="shared" si="8"/>
        <v>-0.60809353225029761</v>
      </c>
      <c r="AX9" s="276">
        <f t="shared" si="8"/>
        <v>-0.68764498519495665</v>
      </c>
      <c r="AY9" s="276">
        <f t="shared" si="8"/>
        <v>-0.7918025312062682</v>
      </c>
      <c r="AZ9" s="276">
        <f t="shared" ref="AZ9:BI12" si="9">IF(ISERROR(INDEX(AZ$50:AZ$75,MATCH($A9,$A$50:$A$75,))),0,INDEX(AZ$50:AZ$75,MATCH($A9,$A$50:$A$75,)))</f>
        <v>0.83414404366332151</v>
      </c>
      <c r="BA9" s="276">
        <f t="shared" si="9"/>
        <v>-0.60602721705107399</v>
      </c>
      <c r="BB9" s="276">
        <f t="shared" si="9"/>
        <v>-7.9855031523331337E-3</v>
      </c>
      <c r="BC9" s="276">
        <f t="shared" si="9"/>
        <v>0.76476077846424351</v>
      </c>
      <c r="BD9" s="276">
        <f t="shared" si="9"/>
        <v>1.5479054867825091</v>
      </c>
      <c r="BE9" s="276">
        <f t="shared" si="9"/>
        <v>1.6202801273712322</v>
      </c>
      <c r="BF9" s="276">
        <f t="shared" si="9"/>
        <v>-0.12551967984204271</v>
      </c>
      <c r="BG9" s="276">
        <f t="shared" si="9"/>
        <v>1.0665908885065194</v>
      </c>
      <c r="BH9" s="276">
        <f t="shared" si="9"/>
        <v>0.9911434522000051</v>
      </c>
      <c r="BI9" s="276">
        <f t="shared" si="9"/>
        <v>0.83586310246399464</v>
      </c>
      <c r="BJ9" s="276">
        <f t="shared" ref="BJ9:BS12" si="10">IF(ISERROR(INDEX(BJ$50:BJ$75,MATCH($A9,$A$50:$A$75,))),0,INDEX(BJ$50:BJ$75,MATCH($A9,$A$50:$A$75,)))</f>
        <v>-0.22439746095045499</v>
      </c>
      <c r="BK9" s="276">
        <f t="shared" si="10"/>
        <v>6.0547401100631344E-2</v>
      </c>
      <c r="BL9" s="276">
        <f t="shared" si="10"/>
        <v>1.4477661939466697</v>
      </c>
      <c r="BM9" s="276">
        <f t="shared" si="10"/>
        <v>-0.4020855257488482</v>
      </c>
      <c r="BN9" s="276">
        <f t="shared" si="10"/>
        <v>-5.7641595164527146E-2</v>
      </c>
      <c r="BO9" s="276">
        <f t="shared" si="10"/>
        <v>0.89308910333557023</v>
      </c>
      <c r="BP9" s="276">
        <f t="shared" si="10"/>
        <v>0.48638711711717342</v>
      </c>
      <c r="BQ9" s="276">
        <f t="shared" si="10"/>
        <v>-0.20309537567357649</v>
      </c>
      <c r="BR9" s="276">
        <f t="shared" si="10"/>
        <v>6.8842839082151427E-2</v>
      </c>
      <c r="BS9" s="276">
        <f t="shared" si="10"/>
        <v>1.1858199018035651</v>
      </c>
      <c r="BT9" s="276">
        <f t="shared" ref="BT9:CA12" si="11">IF(ISERROR(INDEX(BT$50:BT$75,MATCH($A9,$A$50:$A$75,))),0,INDEX(BT$50:BT$75,MATCH($A9,$A$50:$A$75,)))</f>
        <v>-0.39195212975567378</v>
      </c>
      <c r="BU9" s="276">
        <f t="shared" si="11"/>
        <v>-8.6338532268650948E-3</v>
      </c>
      <c r="BV9" s="276">
        <f t="shared" si="11"/>
        <v>0.99581584834082526</v>
      </c>
      <c r="BW9" s="276">
        <f t="shared" si="11"/>
        <v>0.68973049471500525</v>
      </c>
      <c r="BX9" s="276">
        <f t="shared" si="11"/>
        <v>-0.48982711091484665</v>
      </c>
      <c r="BY9" s="276">
        <f t="shared" si="11"/>
        <v>-1.6833933722032861</v>
      </c>
      <c r="BZ9" s="276" t="str">
        <f t="shared" si="11"/>
        <v xml:space="preserve"> </v>
      </c>
      <c r="CA9" s="276">
        <f>IF(ISERROR(INDEX(CA$50:CA$75,MATCH($A9,$A$50:$A$75,))),0,INDEX(CA$50:CA$75,MATCH($A9,$A$50:$A$75,)))</f>
        <v>-0.96681666063669314</v>
      </c>
      <c r="CB9" s="283">
        <f t="shared" ref="CB9:CB12" si="12">IF(ISERROR(INDEX(CB$20:CB$45,MATCH($A9,$A$20:$A$45,))),0,INDEX(CB$20:CB$45,MATCH($A9,$A$20:$A$45,)))</f>
        <v>2</v>
      </c>
      <c r="CD9" s="276">
        <f>MIN($B9:$CA9,$B9:$CA9)</f>
        <v>-1.6833933722032861</v>
      </c>
      <c r="CE9" s="274" t="str">
        <f>INDEX($B$8:$CA$8,MATCH(CD9,$B9:$CA9,0))</f>
        <v>Last Start Distance Change</v>
      </c>
      <c r="CF9" s="255">
        <f>COUNTIF(B9:CB9,"="&amp;CD9)</f>
        <v>1</v>
      </c>
      <c r="CG9" s="255">
        <f t="shared" ref="CG9:CG11" si="13">INDEX($B$1:$CA$1,MATCH(CE9,$B$8:$CA$8,0))</f>
        <v>77</v>
      </c>
      <c r="CH9" s="255">
        <f>RANK(Table2[[#This Row],[CLUSTER COUNT]],Table2[CLUSTER COUNT],0)</f>
        <v>1</v>
      </c>
      <c r="CI9" s="255">
        <v>1</v>
      </c>
      <c r="CK9" s="255">
        <f>COUNTIF($CM$50:$CM$75,1)</f>
        <v>3</v>
      </c>
      <c r="CM9" s="255">
        <f>Table2[[#This Row],[CLUSTER COUNT]]/$CK$16</f>
        <v>0.375</v>
      </c>
      <c r="CN9" s="255">
        <v>1</v>
      </c>
      <c r="CO9" s="255">
        <v>641.45630438688795</v>
      </c>
      <c r="CP9" s="255" t="s">
        <v>568</v>
      </c>
      <c r="CQ9" s="255">
        <v>1</v>
      </c>
      <c r="CR9" s="316">
        <f>IFERROR(SMALL($CR$20:$CR$45,1)," ")</f>
        <v>1</v>
      </c>
      <c r="CS9" s="316">
        <f>IFERROR(LARGE($CR$20:$CR$45,1)," ")</f>
        <v>6</v>
      </c>
      <c r="CT9" s="317">
        <f>IFERROR(CS9-CR9," ")</f>
        <v>5</v>
      </c>
      <c r="CU9" s="317">
        <f>IFERROR(RANK(CV9,$CV$9:$CV$12,1)," ")</f>
        <v>4</v>
      </c>
      <c r="CV9" s="317">
        <f>IFERROR((CT9-$CT$13)^2," ")</f>
        <v>9</v>
      </c>
      <c r="CW9" s="318">
        <f>$CX$19</f>
        <v>2</v>
      </c>
      <c r="CX9" s="316">
        <f>IFERROR(SMALL($CX$20:$CX$45,1)," ")</f>
        <v>1</v>
      </c>
      <c r="CY9" s="316">
        <f>IFERROR(LARGE($CX$20:$CX$45,1)," ")</f>
        <v>2</v>
      </c>
      <c r="CZ9" s="317">
        <f>IFERROR(CY9-CX9," ")</f>
        <v>1</v>
      </c>
      <c r="DA9" s="317">
        <f>IFERROR(RANK(DB9,$DB$9:$DB$12,1)," ")</f>
        <v>1</v>
      </c>
      <c r="DB9" s="317">
        <f>IFERROR((CZ9-$CZ$13)^2," ")</f>
        <v>1</v>
      </c>
    </row>
    <row r="10" spans="1:118" x14ac:dyDescent="0.3">
      <c r="A10" s="255">
        <v>7</v>
      </c>
      <c r="B10" s="276">
        <f t="shared" si="4"/>
        <v>-1.3774716764470165</v>
      </c>
      <c r="C10" s="276">
        <f t="shared" si="4"/>
        <v>-0.59950673191523751</v>
      </c>
      <c r="D10" s="276">
        <f t="shared" si="4"/>
        <v>0.47519096331149147</v>
      </c>
      <c r="E10" s="276">
        <f t="shared" si="4"/>
        <v>-1.0479047100230301</v>
      </c>
      <c r="F10" s="276">
        <f t="shared" si="4"/>
        <v>-0.64092456268620823</v>
      </c>
      <c r="G10" s="276">
        <f t="shared" si="4"/>
        <v>1.4046659243513708</v>
      </c>
      <c r="H10" s="276">
        <f t="shared" si="4"/>
        <v>1.3198590576063756</v>
      </c>
      <c r="I10" s="276">
        <f t="shared" si="4"/>
        <v>-0.76459338691460865</v>
      </c>
      <c r="J10" s="276">
        <f t="shared" si="4"/>
        <v>-0.25789341919980846</v>
      </c>
      <c r="K10" s="276">
        <f t="shared" si="4"/>
        <v>-0.82502864732539016</v>
      </c>
      <c r="L10" s="276">
        <f t="shared" si="5"/>
        <v>-0.77049417541876408</v>
      </c>
      <c r="M10" s="276">
        <f t="shared" si="5"/>
        <v>-0.83633544281203076</v>
      </c>
      <c r="N10" s="276">
        <f t="shared" si="5"/>
        <v>-0.22941573387056174</v>
      </c>
      <c r="O10" s="276">
        <f t="shared" si="5"/>
        <v>0.4024688838393875</v>
      </c>
      <c r="P10" s="276">
        <f t="shared" si="5"/>
        <v>0.17514236102601469</v>
      </c>
      <c r="Q10" s="276">
        <f t="shared" si="5"/>
        <v>-0.57735026918962584</v>
      </c>
      <c r="R10" s="276">
        <f t="shared" si="5"/>
        <v>-0.57735026918962584</v>
      </c>
      <c r="S10" s="276">
        <f t="shared" si="5"/>
        <v>-0.75117413511879194</v>
      </c>
      <c r="T10" s="276">
        <f t="shared" si="5"/>
        <v>0.28474739872574972</v>
      </c>
      <c r="U10" s="276">
        <f t="shared" si="5"/>
        <v>0.34554569771336902</v>
      </c>
      <c r="V10" s="276">
        <f t="shared" si="6"/>
        <v>0.7745966692414834</v>
      </c>
      <c r="W10" s="276">
        <f t="shared" si="6"/>
        <v>-0.3779644730092272</v>
      </c>
      <c r="X10" s="276">
        <f t="shared" si="6"/>
        <v>-0.3779644730092272</v>
      </c>
      <c r="Y10" s="276">
        <f t="shared" si="6"/>
        <v>-0.7159881488701807</v>
      </c>
      <c r="Z10" s="276">
        <f t="shared" si="6"/>
        <v>1</v>
      </c>
      <c r="AA10" s="276">
        <f t="shared" si="6"/>
        <v>0.61086035013940132</v>
      </c>
      <c r="AB10" s="276">
        <f t="shared" si="6"/>
        <v>0.15249857033260467</v>
      </c>
      <c r="AC10" s="276">
        <f t="shared" si="6"/>
        <v>0.16012815380508713</v>
      </c>
      <c r="AD10" s="276">
        <f t="shared" si="6"/>
        <v>0.34343323998028213</v>
      </c>
      <c r="AE10" s="276">
        <f t="shared" si="6"/>
        <v>-0.46207434671724146</v>
      </c>
      <c r="AF10" s="276">
        <f t="shared" si="7"/>
        <v>-0.97014250014533188</v>
      </c>
      <c r="AG10" s="276">
        <f t="shared" si="7"/>
        <v>-1.9735940177999183</v>
      </c>
      <c r="AH10" s="276">
        <f t="shared" si="7"/>
        <v>-0.78574843505634095</v>
      </c>
      <c r="AI10" s="276" t="str">
        <f t="shared" si="7"/>
        <v xml:space="preserve"> </v>
      </c>
      <c r="AJ10" s="276">
        <f t="shared" si="7"/>
        <v>0.457495710997814</v>
      </c>
      <c r="AK10" s="276">
        <f t="shared" si="7"/>
        <v>0.457495710997814</v>
      </c>
      <c r="AL10" s="276">
        <f t="shared" si="7"/>
        <v>-1.2327321425382483</v>
      </c>
      <c r="AM10" s="276">
        <f t="shared" si="7"/>
        <v>1.774736472050346</v>
      </c>
      <c r="AN10" s="276">
        <f t="shared" si="7"/>
        <v>1.774736472050346</v>
      </c>
      <c r="AO10" s="276">
        <f t="shared" si="7"/>
        <v>-0.8108887977632625</v>
      </c>
      <c r="AP10" s="276">
        <f t="shared" si="8"/>
        <v>-0.89728697277985436</v>
      </c>
      <c r="AQ10" s="276">
        <f t="shared" si="8"/>
        <v>-0.69990962532727141</v>
      </c>
      <c r="AR10" s="276">
        <f t="shared" si="8"/>
        <v>1.0607973098298236</v>
      </c>
      <c r="AS10" s="276">
        <f t="shared" si="8"/>
        <v>-1.4758048651498612</v>
      </c>
      <c r="AT10" s="276">
        <f t="shared" si="8"/>
        <v>-0.51218720232512494</v>
      </c>
      <c r="AU10" s="276">
        <f t="shared" si="8"/>
        <v>2.5322818952669057</v>
      </c>
      <c r="AV10" s="276">
        <f t="shared" si="8"/>
        <v>-1.0334744266531737</v>
      </c>
      <c r="AW10" s="276">
        <f t="shared" si="8"/>
        <v>-0.9651392759568943</v>
      </c>
      <c r="AX10" s="276">
        <f t="shared" si="8"/>
        <v>-0.94057187630114758</v>
      </c>
      <c r="AY10" s="276">
        <f t="shared" si="8"/>
        <v>-0.61695654639731246</v>
      </c>
      <c r="AZ10" s="276">
        <f t="shared" si="9"/>
        <v>-2.0091991312586091</v>
      </c>
      <c r="BA10" s="276">
        <f t="shared" si="9"/>
        <v>-0.58178612836903099</v>
      </c>
      <c r="BB10" s="276">
        <f t="shared" si="9"/>
        <v>2.4987680951019184</v>
      </c>
      <c r="BC10" s="276">
        <f t="shared" si="9"/>
        <v>-0.87590822349050024</v>
      </c>
      <c r="BD10" s="276">
        <f t="shared" si="9"/>
        <v>-0.80064076902543568</v>
      </c>
      <c r="BE10" s="276">
        <f t="shared" si="9"/>
        <v>-0.95577499834996826</v>
      </c>
      <c r="BF10" s="276">
        <f t="shared" si="9"/>
        <v>-0.56636928709214396</v>
      </c>
      <c r="BG10" s="276">
        <f t="shared" si="9"/>
        <v>-0.74033955790452532</v>
      </c>
      <c r="BH10" s="276">
        <f t="shared" si="9"/>
        <v>-1.1570301949523238</v>
      </c>
      <c r="BI10" s="276">
        <f t="shared" si="9"/>
        <v>-0.90199838692115164</v>
      </c>
      <c r="BJ10" s="276">
        <f t="shared" si="10"/>
        <v>-0.47547154313278228</v>
      </c>
      <c r="BK10" s="276">
        <f t="shared" si="10"/>
        <v>-0.42383180770441942</v>
      </c>
      <c r="BL10" s="276">
        <f t="shared" si="10"/>
        <v>-8.4741467246672447E-2</v>
      </c>
      <c r="BM10" s="276">
        <f t="shared" si="10"/>
        <v>-0.11161571450553312</v>
      </c>
      <c r="BN10" s="276">
        <f t="shared" si="10"/>
        <v>-0.54951654056849208</v>
      </c>
      <c r="BO10" s="276">
        <f t="shared" si="10"/>
        <v>-0.95385730139883074</v>
      </c>
      <c r="BP10" s="276">
        <f t="shared" si="10"/>
        <v>-0.75585823725487955</v>
      </c>
      <c r="BQ10" s="276">
        <f t="shared" si="10"/>
        <v>-0.52524666122476682</v>
      </c>
      <c r="BR10" s="276">
        <f t="shared" si="10"/>
        <v>-0.39010942146552474</v>
      </c>
      <c r="BS10" s="276">
        <f t="shared" si="10"/>
        <v>0.21389247868029673</v>
      </c>
      <c r="BT10" s="276">
        <f t="shared" si="11"/>
        <v>-9.1093352118056373E-2</v>
      </c>
      <c r="BU10" s="276">
        <f t="shared" si="11"/>
        <v>-0.56120045974623123</v>
      </c>
      <c r="BV10" s="276">
        <f t="shared" si="11"/>
        <v>-0.98574473001675467</v>
      </c>
      <c r="BW10" s="276">
        <f t="shared" si="11"/>
        <v>1.0838622059807226</v>
      </c>
      <c r="BX10" s="276">
        <f t="shared" si="11"/>
        <v>-0.51209197959279418</v>
      </c>
      <c r="BY10" s="276">
        <f t="shared" si="11"/>
        <v>-0.14197293500509642</v>
      </c>
      <c r="BZ10" s="276" t="str">
        <f t="shared" si="11"/>
        <v xml:space="preserve"> </v>
      </c>
      <c r="CA10" s="276">
        <f t="shared" si="11"/>
        <v>-0.35851976243655226</v>
      </c>
      <c r="CB10" s="283">
        <f t="shared" si="12"/>
        <v>7</v>
      </c>
      <c r="CD10" s="276">
        <f t="shared" ref="CD10:CD11" si="14">MIN($B10:$CA10,$B10:$CA10)</f>
        <v>-2.0091991312586091</v>
      </c>
      <c r="CE10" s="274" t="str">
        <f>INDEX($B$8:$CA$8,MATCH(CD10,$B10:$CA10,0))</f>
        <v>Jockey This Season ROI</v>
      </c>
      <c r="CF10" s="255">
        <f>COUNTIF(B10:CB10,"="&amp;CD10)</f>
        <v>1</v>
      </c>
      <c r="CG10" s="255">
        <f t="shared" si="13"/>
        <v>52</v>
      </c>
      <c r="CH10" s="255">
        <f>RANK(Table2[[#This Row],[CLUSTER COUNT]],Table2[CLUSTER COUNT],0)</f>
        <v>3</v>
      </c>
      <c r="CI10" s="255">
        <v>2</v>
      </c>
      <c r="CK10" s="255">
        <f>COUNTIF($CM$50:$CM$75,2)</f>
        <v>1</v>
      </c>
      <c r="CM10" s="255">
        <f>Table2[[#This Row],[CLUSTER COUNT]]/$CK$16</f>
        <v>0.125</v>
      </c>
      <c r="CN10" s="255">
        <v>2</v>
      </c>
      <c r="CP10" s="255" t="s">
        <v>569</v>
      </c>
      <c r="CQ10" s="255">
        <v>2</v>
      </c>
      <c r="CR10" s="316">
        <f>IFERROR(SMALL($CS$20:$CS$45,1)," ")</f>
        <v>8</v>
      </c>
      <c r="CS10" s="316">
        <f>IFERROR(LARGE($CS$20:$CS$45,1)," ")</f>
        <v>8</v>
      </c>
      <c r="CT10" s="317">
        <f t="shared" ref="CT10:CT12" si="15">IFERROR(CS10-CR10," ")</f>
        <v>0</v>
      </c>
      <c r="CU10" s="317">
        <f t="shared" ref="CU10:CU12" si="16">IFERROR(RANK(CV10,$CV$9:$CV$12,1)," ")</f>
        <v>2</v>
      </c>
      <c r="CV10" s="317">
        <f t="shared" ref="CV10:CV12" si="17">IFERROR((CT10-$CT$13)^2," ")</f>
        <v>4</v>
      </c>
      <c r="CW10" s="318">
        <f>$CY$19</f>
        <v>4</v>
      </c>
      <c r="CX10" s="316">
        <f>IFERROR(SMALL($CY$20:$CY$45,1)," ")</f>
        <v>3</v>
      </c>
      <c r="CY10" s="316">
        <f>IFERROR(LARGE($CY$20:$CY$45,1)," ")</f>
        <v>4</v>
      </c>
      <c r="CZ10" s="317">
        <f t="shared" ref="CZ10:CZ12" si="18">IFERROR(CY10-CX10," ")</f>
        <v>1</v>
      </c>
      <c r="DA10" s="317">
        <f>IFERROR(RANK(DB10,$DB$9:$DB$12,1)," ")</f>
        <v>1</v>
      </c>
      <c r="DB10" s="317">
        <f>IFERROR((CZ10-$CZ$13)^2," ")</f>
        <v>1</v>
      </c>
    </row>
    <row r="11" spans="1:118" x14ac:dyDescent="0.3">
      <c r="A11" s="255">
        <v>8</v>
      </c>
      <c r="B11" s="276">
        <f t="shared" si="4"/>
        <v>0.30732245980917544</v>
      </c>
      <c r="C11" s="276">
        <f t="shared" si="4"/>
        <v>-0.27617725852274982</v>
      </c>
      <c r="D11" s="276">
        <f t="shared" si="4"/>
        <v>-0.33942211665106536</v>
      </c>
      <c r="E11" s="276">
        <f t="shared" si="4"/>
        <v>1.1471537749028766</v>
      </c>
      <c r="F11" s="276">
        <f t="shared" si="4"/>
        <v>-0.45240022468318369</v>
      </c>
      <c r="G11" s="276">
        <f t="shared" si="4"/>
        <v>5.8494359656389175E-2</v>
      </c>
      <c r="H11" s="276">
        <f t="shared" si="4"/>
        <v>0.12338625750994436</v>
      </c>
      <c r="I11" s="276">
        <f t="shared" si="4"/>
        <v>-1.2176857643454879</v>
      </c>
      <c r="J11" s="276">
        <f t="shared" si="4"/>
        <v>-0.94560920373263102</v>
      </c>
      <c r="K11" s="276">
        <f t="shared" si="4"/>
        <v>-0.82502864732539016</v>
      </c>
      <c r="L11" s="276">
        <f t="shared" si="5"/>
        <v>-0.77049417541876408</v>
      </c>
      <c r="M11" s="276">
        <f t="shared" si="5"/>
        <v>-0.83633544281203076</v>
      </c>
      <c r="N11" s="276">
        <f t="shared" si="5"/>
        <v>-0.91766293548224698</v>
      </c>
      <c r="O11" s="276">
        <f t="shared" si="5"/>
        <v>-1.4031340046280312</v>
      </c>
      <c r="P11" s="276">
        <f t="shared" si="5"/>
        <v>0.4553701386676382</v>
      </c>
      <c r="Q11" s="276">
        <f t="shared" si="5"/>
        <v>1.7320508075688774</v>
      </c>
      <c r="R11" s="276">
        <f t="shared" si="5"/>
        <v>1.7320508075688774</v>
      </c>
      <c r="S11" s="276">
        <f t="shared" si="5"/>
        <v>1.5337661998433127</v>
      </c>
      <c r="T11" s="276">
        <f t="shared" si="5"/>
        <v>-0.47457899787624952</v>
      </c>
      <c r="U11" s="276">
        <f t="shared" si="5"/>
        <v>-0.67281288465238498</v>
      </c>
      <c r="V11" s="276">
        <f t="shared" si="6"/>
        <v>-0.2581988897471611</v>
      </c>
      <c r="W11" s="276">
        <f t="shared" si="6"/>
        <v>-0.3779644730092272</v>
      </c>
      <c r="X11" s="276">
        <f t="shared" si="6"/>
        <v>-0.3779644730092272</v>
      </c>
      <c r="Y11" s="276">
        <f t="shared" si="6"/>
        <v>-0.7159881488701807</v>
      </c>
      <c r="Z11" s="276">
        <f t="shared" si="6"/>
        <v>-1</v>
      </c>
      <c r="AA11" s="276">
        <f t="shared" si="6"/>
        <v>-0.85517516948476924</v>
      </c>
      <c r="AB11" s="276">
        <f t="shared" si="6"/>
        <v>-0.76249285166302339</v>
      </c>
      <c r="AC11" s="276">
        <f t="shared" si="6"/>
        <v>-1.1208970766356099</v>
      </c>
      <c r="AD11" s="276">
        <f t="shared" si="6"/>
        <v>-1.1079486511144132</v>
      </c>
      <c r="AE11" s="276">
        <f t="shared" si="6"/>
        <v>-0.86760795058722551</v>
      </c>
      <c r="AF11" s="276">
        <f t="shared" si="7"/>
        <v>-0.48507125007266594</v>
      </c>
      <c r="AG11" s="276">
        <f t="shared" si="7"/>
        <v>0.22854676301307192</v>
      </c>
      <c r="AH11" s="276">
        <f t="shared" si="7"/>
        <v>-0.69038409507514398</v>
      </c>
      <c r="AI11" s="276" t="str">
        <f t="shared" si="7"/>
        <v xml:space="preserve"> </v>
      </c>
      <c r="AJ11" s="276">
        <f t="shared" si="7"/>
        <v>1.6774842736586515</v>
      </c>
      <c r="AK11" s="276">
        <f t="shared" si="7"/>
        <v>1.6774842736586515</v>
      </c>
      <c r="AL11" s="276">
        <f t="shared" si="7"/>
        <v>0.94509464261265697</v>
      </c>
      <c r="AM11" s="276">
        <f t="shared" si="7"/>
        <v>-1.230656677699145</v>
      </c>
      <c r="AN11" s="276">
        <f t="shared" si="7"/>
        <v>-1.230656677699145</v>
      </c>
      <c r="AO11" s="276">
        <f t="shared" si="7"/>
        <v>-1.0128079098265537</v>
      </c>
      <c r="AP11" s="276">
        <f t="shared" si="8"/>
        <v>1.0818064048528726</v>
      </c>
      <c r="AQ11" s="276">
        <f t="shared" si="8"/>
        <v>0.85865201457675566</v>
      </c>
      <c r="AR11" s="276">
        <f t="shared" si="8"/>
        <v>-0.54624090864594166</v>
      </c>
      <c r="AS11" s="276">
        <f t="shared" si="8"/>
        <v>0.13416407864998736</v>
      </c>
      <c r="AT11" s="276">
        <f t="shared" si="8"/>
        <v>0.82395332547954891</v>
      </c>
      <c r="AU11" s="276">
        <f t="shared" si="8"/>
        <v>-0.7894357579422363</v>
      </c>
      <c r="AV11" s="276">
        <f t="shared" si="8"/>
        <v>-0.90957964523928547</v>
      </c>
      <c r="AW11" s="276">
        <f t="shared" si="8"/>
        <v>0.8200894425760894</v>
      </c>
      <c r="AX11" s="276">
        <f t="shared" si="8"/>
        <v>0.57698947033599812</v>
      </c>
      <c r="AY11" s="276">
        <f t="shared" si="8"/>
        <v>-0.39715016549462639</v>
      </c>
      <c r="AZ11" s="276">
        <f t="shared" si="9"/>
        <v>-3.6267132333187894E-2</v>
      </c>
      <c r="BA11" s="276">
        <f t="shared" si="9"/>
        <v>0.43633959627677327</v>
      </c>
      <c r="BB11" s="276">
        <f t="shared" si="9"/>
        <v>-0.93152630250916302</v>
      </c>
      <c r="BC11" s="276">
        <f t="shared" si="9"/>
        <v>-0.62790011854385286</v>
      </c>
      <c r="BD11" s="276">
        <f t="shared" si="9"/>
        <v>-0.37363235887853669</v>
      </c>
      <c r="BE11" s="276">
        <f t="shared" si="9"/>
        <v>-0.48740133912793182</v>
      </c>
      <c r="BF11" s="276">
        <f t="shared" si="9"/>
        <v>-0.44391106285600473</v>
      </c>
      <c r="BG11" s="276">
        <f t="shared" si="9"/>
        <v>0.86582083890529227</v>
      </c>
      <c r="BH11" s="276">
        <f t="shared" si="9"/>
        <v>0.75245749140530194</v>
      </c>
      <c r="BI11" s="276">
        <f t="shared" si="9"/>
        <v>-0.43567222060280403</v>
      </c>
      <c r="BJ11" s="276">
        <f t="shared" si="10"/>
        <v>-0.4629178390236659</v>
      </c>
      <c r="BK11" s="276">
        <f t="shared" si="10"/>
        <v>-0.42383180770441942</v>
      </c>
      <c r="BL11" s="276">
        <f t="shared" si="10"/>
        <v>-0.12770897176611187</v>
      </c>
      <c r="BM11" s="276">
        <f t="shared" si="10"/>
        <v>-0.34829481996304912</v>
      </c>
      <c r="BN11" s="276">
        <f t="shared" si="10"/>
        <v>-0.18061033151551839</v>
      </c>
      <c r="BO11" s="276">
        <f t="shared" si="10"/>
        <v>1.5480634891554785</v>
      </c>
      <c r="BP11" s="276">
        <f t="shared" si="10"/>
        <v>-0.52912828184970273</v>
      </c>
      <c r="BQ11" s="276">
        <f t="shared" si="10"/>
        <v>-0.4412071954288041</v>
      </c>
      <c r="BR11" s="276">
        <f t="shared" si="10"/>
        <v>-0.48189987357505998</v>
      </c>
      <c r="BS11" s="276">
        <f t="shared" si="10"/>
        <v>-0.60517311967945286</v>
      </c>
      <c r="BT11" s="276">
        <f t="shared" si="11"/>
        <v>-0.49223838896821287</v>
      </c>
      <c r="BU11" s="276">
        <f t="shared" si="11"/>
        <v>-0.181310917764167</v>
      </c>
      <c r="BV11" s="276">
        <f t="shared" si="11"/>
        <v>1.3779739598812155</v>
      </c>
      <c r="BW11" s="276">
        <f t="shared" si="11"/>
        <v>-9.8532927816429319E-2</v>
      </c>
      <c r="BX11" s="276">
        <f t="shared" si="11"/>
        <v>-0.3117081614912659</v>
      </c>
      <c r="BY11" s="276">
        <f t="shared" si="11"/>
        <v>-0.14197293500509642</v>
      </c>
      <c r="BZ11" s="276" t="str">
        <f t="shared" si="11"/>
        <v xml:space="preserve"> </v>
      </c>
      <c r="CA11" s="276">
        <f t="shared" si="11"/>
        <v>-0.37467484113333371</v>
      </c>
      <c r="CB11" s="283">
        <f t="shared" si="12"/>
        <v>3</v>
      </c>
      <c r="CD11" s="276">
        <f t="shared" si="14"/>
        <v>-1.4031340046280312</v>
      </c>
      <c r="CE11" s="274" t="str">
        <f t="shared" ref="CE11" si="19">INDEX($B$8:$CA$8,MATCH(CD11,$B11:$CA11,0))</f>
        <v>This Track Place Strike Rate</v>
      </c>
      <c r="CF11" s="255">
        <f t="shared" ref="CF11" si="20">COUNTIF(B11:CB11,"="&amp;CD11)</f>
        <v>1</v>
      </c>
      <c r="CG11" s="255">
        <f t="shared" si="13"/>
        <v>15</v>
      </c>
      <c r="CH11" s="255">
        <f>RANK(Table2[[#This Row],[CLUSTER COUNT]],Table2[CLUSTER COUNT],0)</f>
        <v>1</v>
      </c>
      <c r="CI11" s="255">
        <v>3</v>
      </c>
      <c r="CK11" s="255">
        <f>COUNTIF($CM$50:$CM$75,3)</f>
        <v>3</v>
      </c>
      <c r="CM11" s="255">
        <f>Table2[[#This Row],[CLUSTER COUNT]]/$CK$16</f>
        <v>0.375</v>
      </c>
      <c r="CN11" s="255">
        <v>3</v>
      </c>
      <c r="CP11" s="255" t="s">
        <v>570</v>
      </c>
      <c r="CQ11" s="255">
        <v>3</v>
      </c>
      <c r="CR11" s="316">
        <f>IFERROR(SMALL($CT$20:$CT$45,1)," ")</f>
        <v>3</v>
      </c>
      <c r="CS11" s="316">
        <f>IFERROR(LARGE($CT$20:$CT$45,1)," ")</f>
        <v>6</v>
      </c>
      <c r="CT11" s="317">
        <f t="shared" si="15"/>
        <v>3</v>
      </c>
      <c r="CU11" s="317">
        <f t="shared" si="16"/>
        <v>1</v>
      </c>
      <c r="CV11" s="317">
        <f t="shared" si="17"/>
        <v>1</v>
      </c>
      <c r="CW11" s="318">
        <f>$CZ$19</f>
        <v>6</v>
      </c>
      <c r="CX11" s="316">
        <f>IFERROR(SMALL($CZ$20:$CZ$45,1)," ")</f>
        <v>5</v>
      </c>
      <c r="CY11" s="316">
        <f>IFERROR(LARGE($CZ$20:$CZ$45,1)," ")</f>
        <v>6</v>
      </c>
      <c r="CZ11" s="317">
        <f t="shared" si="18"/>
        <v>1</v>
      </c>
      <c r="DA11" s="317">
        <f>IFERROR(RANK(DB11,$DB$9:$DB$12,1)," ")</f>
        <v>1</v>
      </c>
      <c r="DB11" s="317">
        <f>IFERROR((CZ11-$CZ$13)^2," ")</f>
        <v>1</v>
      </c>
    </row>
    <row r="12" spans="1:118" x14ac:dyDescent="0.3">
      <c r="A12" s="255">
        <v>9</v>
      </c>
      <c r="B12" s="276">
        <f>IF(ISERROR(INDEX(B$50:B$75,MATCH($A12,$A$50:$A$75,))),0,INDEX(B$50:B$75,MATCH($A12,$A$50:$A$75,)))</f>
        <v>1.3746128628673961</v>
      </c>
      <c r="C12" s="276">
        <f t="shared" si="4"/>
        <v>-1.0306126964385542</v>
      </c>
      <c r="D12" s="276">
        <f t="shared" si="4"/>
        <v>-2.3759548165574573</v>
      </c>
      <c r="E12" s="276">
        <f t="shared" si="4"/>
        <v>-1.9758834666495821</v>
      </c>
      <c r="F12" s="276">
        <f>IF(ISERROR(INDEX(F$50:F$75,MATCH($A12,$A$50:$A$75,))),0,INDEX(F$50:F$75,MATCH($A12,$A$50:$A$75,)))</f>
        <v>-1.5649265649973281</v>
      </c>
      <c r="G12" s="276">
        <f t="shared" si="4"/>
        <v>-0.51843631092717435</v>
      </c>
      <c r="H12" s="276">
        <f t="shared" si="4"/>
        <v>-0.47485014253827124</v>
      </c>
      <c r="I12" s="276">
        <f t="shared" si="4"/>
        <v>-1.4442319530609276</v>
      </c>
      <c r="J12" s="276">
        <f t="shared" si="4"/>
        <v>-0.80806604682606653</v>
      </c>
      <c r="K12" s="276">
        <f t="shared" si="4"/>
        <v>-0.82502864732539016</v>
      </c>
      <c r="L12" s="276">
        <f t="shared" si="5"/>
        <v>-0.77049417541876408</v>
      </c>
      <c r="M12" s="276">
        <f t="shared" si="5"/>
        <v>-0.83633544281203076</v>
      </c>
      <c r="N12" s="276">
        <f t="shared" si="5"/>
        <v>-0.91766293548224698</v>
      </c>
      <c r="O12" s="276">
        <f t="shared" si="5"/>
        <v>-1.4031340046280312</v>
      </c>
      <c r="P12" s="276">
        <f t="shared" si="5"/>
        <v>-0.9457687495404794</v>
      </c>
      <c r="Q12" s="276">
        <f t="shared" si="5"/>
        <v>-0.57735026918962584</v>
      </c>
      <c r="R12" s="276">
        <f t="shared" si="5"/>
        <v>-0.57735026918962584</v>
      </c>
      <c r="S12" s="276">
        <f t="shared" si="5"/>
        <v>-0.75117413511879194</v>
      </c>
      <c r="T12" s="276">
        <f t="shared" si="5"/>
        <v>-1.2339053944782488</v>
      </c>
      <c r="U12" s="276">
        <f t="shared" si="5"/>
        <v>-1.4004613016278296</v>
      </c>
      <c r="V12" s="276">
        <f t="shared" si="6"/>
        <v>-1.2909944487358056</v>
      </c>
      <c r="W12" s="276">
        <f t="shared" si="6"/>
        <v>-0.3779644730092272</v>
      </c>
      <c r="X12" s="276">
        <f t="shared" si="6"/>
        <v>-0.3779644730092272</v>
      </c>
      <c r="Y12" s="276">
        <f t="shared" si="6"/>
        <v>0.75270548983788221</v>
      </c>
      <c r="Z12" s="276">
        <f t="shared" si="6"/>
        <v>-1</v>
      </c>
      <c r="AA12" s="276">
        <f t="shared" si="6"/>
        <v>-0.85517516948476924</v>
      </c>
      <c r="AB12" s="276">
        <f t="shared" si="6"/>
        <v>-1.9824814143238607</v>
      </c>
      <c r="AC12" s="276">
        <f t="shared" si="6"/>
        <v>-1.1208970766356099</v>
      </c>
      <c r="AD12" s="276">
        <f t="shared" si="6"/>
        <v>-1.1079486511144132</v>
      </c>
      <c r="AE12" s="276">
        <f t="shared" si="6"/>
        <v>-0.86760795058722551</v>
      </c>
      <c r="AF12" s="276">
        <f t="shared" si="7"/>
        <v>-1.4552137502179978</v>
      </c>
      <c r="AG12" s="276">
        <f t="shared" si="7"/>
        <v>-0.68949355374754917</v>
      </c>
      <c r="AH12" s="276">
        <f t="shared" si="7"/>
        <v>-2.8206354078945572E-2</v>
      </c>
      <c r="AI12" s="276" t="str">
        <f t="shared" si="7"/>
        <v xml:space="preserve"> </v>
      </c>
      <c r="AJ12" s="276">
        <f t="shared" si="7"/>
        <v>-0.76249285166302339</v>
      </c>
      <c r="AK12" s="276">
        <f t="shared" si="7"/>
        <v>-0.76249285166302339</v>
      </c>
      <c r="AL12" s="276">
        <f t="shared" si="7"/>
        <v>-0.12327321425382481</v>
      </c>
      <c r="AM12" s="276">
        <f t="shared" si="7"/>
        <v>-1.0233881846129733</v>
      </c>
      <c r="AN12" s="276">
        <f t="shared" si="7"/>
        <v>-1.0233881846129733</v>
      </c>
      <c r="AO12" s="276">
        <f t="shared" si="7"/>
        <v>0.31802260149968359</v>
      </c>
      <c r="AP12" s="276">
        <f t="shared" si="8"/>
        <v>-3.5107679553715868E-2</v>
      </c>
      <c r="AQ12" s="276">
        <f t="shared" si="8"/>
        <v>0.16595795239718805</v>
      </c>
      <c r="AR12" s="276">
        <f t="shared" si="8"/>
        <v>0.53863662685504843</v>
      </c>
      <c r="AS12" s="276">
        <f t="shared" si="8"/>
        <v>0.76026311234992849</v>
      </c>
      <c r="AT12" s="276">
        <f t="shared" si="8"/>
        <v>6.6807026390233698E-2</v>
      </c>
      <c r="AU12" s="276">
        <f t="shared" si="8"/>
        <v>6.6328790003169519E-2</v>
      </c>
      <c r="AV12" s="276">
        <f t="shared" si="8"/>
        <v>0.3974230488311698</v>
      </c>
      <c r="AW12" s="276">
        <f t="shared" si="8"/>
        <v>5.392878420568388E-2</v>
      </c>
      <c r="AX12" s="276">
        <f t="shared" si="8"/>
        <v>0.32406257922980714</v>
      </c>
      <c r="AY12" s="276">
        <f t="shared" si="8"/>
        <v>0.91669252035552096</v>
      </c>
      <c r="AZ12" s="276">
        <f t="shared" si="9"/>
        <v>0.83414404366332151</v>
      </c>
      <c r="BA12" s="276">
        <f t="shared" si="9"/>
        <v>0.16968762077430072</v>
      </c>
      <c r="BB12" s="276">
        <f t="shared" si="9"/>
        <v>9.339566730337856E-2</v>
      </c>
      <c r="BC12" s="276">
        <f t="shared" si="9"/>
        <v>0.58227989857038931</v>
      </c>
      <c r="BD12" s="276">
        <f t="shared" si="9"/>
        <v>1.1208970766356101</v>
      </c>
      <c r="BE12" s="276">
        <f t="shared" si="9"/>
        <v>1.1519064681491957</v>
      </c>
      <c r="BF12" s="276">
        <f t="shared" si="9"/>
        <v>2.4705946739641091</v>
      </c>
      <c r="BG12" s="276">
        <f t="shared" si="9"/>
        <v>0.26351069010161071</v>
      </c>
      <c r="BH12" s="276">
        <f t="shared" si="9"/>
        <v>3.6399609021192207E-2</v>
      </c>
      <c r="BI12" s="276">
        <f t="shared" si="9"/>
        <v>1.3466012846221849</v>
      </c>
      <c r="BJ12" s="276">
        <f t="shared" si="10"/>
        <v>-0.87719007462450593</v>
      </c>
      <c r="BK12" s="276">
        <f t="shared" si="10"/>
        <v>-0.66602141210694477</v>
      </c>
      <c r="BL12" s="276">
        <f t="shared" si="10"/>
        <v>-0.52396484677872068</v>
      </c>
      <c r="BM12" s="276">
        <f t="shared" si="10"/>
        <v>2.599435857098741</v>
      </c>
      <c r="BN12" s="276">
        <f t="shared" si="10"/>
        <v>-0.73396964509497897</v>
      </c>
      <c r="BO12" s="276">
        <f t="shared" si="10"/>
        <v>-0.86740881879837683</v>
      </c>
      <c r="BP12" s="276">
        <f t="shared" si="10"/>
        <v>1.9663687354092176</v>
      </c>
      <c r="BQ12" s="276">
        <f t="shared" si="10"/>
        <v>-0.93143741257191981</v>
      </c>
      <c r="BR12" s="276">
        <f t="shared" si="10"/>
        <v>-0.6654807777941304</v>
      </c>
      <c r="BS12" s="276">
        <f t="shared" si="10"/>
        <v>0.15457296459296116</v>
      </c>
      <c r="BT12" s="276">
        <f t="shared" si="11"/>
        <v>2.6099498960063308</v>
      </c>
      <c r="BU12" s="276">
        <f t="shared" si="11"/>
        <v>-0.73387752428353314</v>
      </c>
      <c r="BV12" s="276">
        <f t="shared" si="11"/>
        <v>4.7497571555411899E-2</v>
      </c>
      <c r="BW12" s="276">
        <f t="shared" si="11"/>
        <v>1.4779939172464398</v>
      </c>
      <c r="BX12" s="276">
        <f t="shared" si="11"/>
        <v>2.2710166051506526</v>
      </c>
      <c r="BY12" s="276">
        <f t="shared" si="11"/>
        <v>-0.14197293500509642</v>
      </c>
      <c r="BZ12" s="276" t="str">
        <f t="shared" si="11"/>
        <v xml:space="preserve"> </v>
      </c>
      <c r="CA12" s="276">
        <f t="shared" si="11"/>
        <v>-0.31140083514834427</v>
      </c>
      <c r="CB12" s="283">
        <f t="shared" si="12"/>
        <v>8</v>
      </c>
      <c r="CD12" s="276">
        <f>MIN($B12:$CA12,$B12:$CA12)</f>
        <v>-2.3759548165574573</v>
      </c>
      <c r="CE12" s="274" t="str">
        <f t="shared" ref="CE12" si="21">INDEX($B$8:$CA$8,MATCH(CD12,$B12:$CA12,0))</f>
        <v>Career Placings</v>
      </c>
      <c r="CF12" s="255">
        <f t="shared" ref="CF12" si="22">COUNTIF(B12:CB12,"="&amp;CD12)</f>
        <v>1</v>
      </c>
      <c r="CG12" s="255">
        <f>INDEX($B$1:$CA$1,MATCH(CE12,$B$8:$CA$8,0))</f>
        <v>4</v>
      </c>
      <c r="CH12" s="255">
        <f>RANK(Table2[[#This Row],[CLUSTER COUNT]],Table2[CLUSTER COUNT],0)</f>
        <v>3</v>
      </c>
      <c r="CI12" s="255">
        <v>4</v>
      </c>
      <c r="CK12" s="255">
        <f>COUNTIF($CM$50:$CM$75,4)</f>
        <v>1</v>
      </c>
      <c r="CM12" s="255">
        <f>Table2[[#This Row],[CLUSTER COUNT]]/$CK$16</f>
        <v>0.125</v>
      </c>
      <c r="CN12" s="255">
        <v>4</v>
      </c>
      <c r="CP12" s="255" t="s">
        <v>571</v>
      </c>
      <c r="CQ12" s="255">
        <v>4</v>
      </c>
      <c r="CR12" s="316">
        <f>IFERROR(SMALL($CU$20:$CU$45,1)," ")</f>
        <v>4</v>
      </c>
      <c r="CS12" s="316">
        <f>IFERROR(LARGE($CU$20:$CU$45,1)," ")</f>
        <v>4</v>
      </c>
      <c r="CT12" s="317">
        <f t="shared" si="15"/>
        <v>0</v>
      </c>
      <c r="CU12" s="317">
        <f t="shared" si="16"/>
        <v>2</v>
      </c>
      <c r="CV12" s="347">
        <f t="shared" si="17"/>
        <v>4</v>
      </c>
      <c r="CW12" s="318">
        <f>$DA$19</f>
        <v>8</v>
      </c>
      <c r="CX12" s="316">
        <f>IFERROR(SMALL($DA$20:$DA$45,1)," ")</f>
        <v>8</v>
      </c>
      <c r="CY12" s="316">
        <f>IFERROR(LARGE($DA$20:$DA$45,1)," ")</f>
        <v>8</v>
      </c>
      <c r="CZ12" s="317">
        <f t="shared" si="18"/>
        <v>0</v>
      </c>
      <c r="DA12" s="317">
        <f>IFERROR(RANK(DB12,$DB$9:$DB$12,1)," ")</f>
        <v>4</v>
      </c>
      <c r="DB12" s="347">
        <f>IFERROR((CZ12-$CZ$13)^2," ")</f>
        <v>4</v>
      </c>
    </row>
    <row r="13" spans="1:118" x14ac:dyDescent="0.3"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83"/>
      <c r="CD13" s="276"/>
      <c r="CE13" s="274"/>
      <c r="CM13" s="255">
        <f>Table2[[#This Row],[CLUSTER COUNT]]/$CK$16</f>
        <v>0</v>
      </c>
      <c r="CN13" s="255" t="str">
        <f>INDEX(analysis[Label],MATCH($CO$13,$CO$9:$CO$12,0))</f>
        <v>Last Start Distance Change</v>
      </c>
      <c r="CO13" s="255">
        <f>SMALL($CO$9:$CO$12,1)</f>
        <v>641.45630438688795</v>
      </c>
      <c r="CP13" s="255" t="s">
        <v>572</v>
      </c>
      <c r="CR13" s="240">
        <f>IFERROR(RANK(CR14,$CR$14:$CU$14,1),4)</f>
        <v>3</v>
      </c>
      <c r="CS13" s="240">
        <f t="shared" ref="CS13:CU13" si="23">IFERROR(RANK(CS14,$CR$14:$CU$14,1),4)</f>
        <v>4</v>
      </c>
      <c r="CT13" s="240">
        <f t="shared" si="23"/>
        <v>2</v>
      </c>
      <c r="CU13" s="240">
        <f t="shared" si="23"/>
        <v>1</v>
      </c>
      <c r="CV13" s="262" t="s">
        <v>23</v>
      </c>
      <c r="CW13" s="262" t="s">
        <v>25</v>
      </c>
      <c r="CX13" s="240">
        <f>IFERROR(RANK(CX14,$CX$14:$DA$14,1),4)</f>
        <v>3</v>
      </c>
      <c r="CY13" s="240">
        <f t="shared" ref="CY13:DA13" si="24">IFERROR(RANK(CY14,$CX$14:$DA$14,1),4)</f>
        <v>1</v>
      </c>
      <c r="CZ13" s="240">
        <f t="shared" si="24"/>
        <v>2</v>
      </c>
      <c r="DA13" s="240">
        <f t="shared" si="24"/>
        <v>4</v>
      </c>
      <c r="DB13" s="262" t="s">
        <v>23</v>
      </c>
      <c r="DC13" s="262" t="s">
        <v>25</v>
      </c>
    </row>
    <row r="14" spans="1:118" ht="15" thickBot="1" x14ac:dyDescent="0.35"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6"/>
      <c r="BA14" s="276"/>
      <c r="BB14" s="276"/>
      <c r="BC14" s="276"/>
      <c r="BD14" s="276"/>
      <c r="BE14" s="276"/>
      <c r="BF14" s="276"/>
      <c r="BG14" s="276"/>
      <c r="BH14" s="276"/>
      <c r="BI14" s="276"/>
      <c r="BJ14" s="276"/>
      <c r="BK14" s="276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6"/>
      <c r="BW14" s="276"/>
      <c r="BX14" s="276"/>
      <c r="BY14" s="276"/>
      <c r="BZ14" s="276"/>
      <c r="CA14" s="276"/>
      <c r="CB14" s="283"/>
      <c r="CD14" s="276"/>
      <c r="CE14" s="274"/>
      <c r="CM14" s="255">
        <f>Table2[[#This Row],[CLUSTER COUNT]]/$CK$16</f>
        <v>0</v>
      </c>
      <c r="CR14" s="346">
        <f>IFERROR((CR15-$CK$20)^2," ")</f>
        <v>1</v>
      </c>
      <c r="CS14" s="346">
        <f>IFERROR((CS15-$CK$20)^2," ")</f>
        <v>16</v>
      </c>
      <c r="CT14" s="346">
        <f t="shared" ref="CT14:CU14" si="25">IFERROR((CT15-$CK$20)^2," ")</f>
        <v>0.44444444444444486</v>
      </c>
      <c r="CU14" s="346">
        <f t="shared" si="25"/>
        <v>0</v>
      </c>
      <c r="CV14" s="240">
        <f>AVERAGE(CR14:CU14)</f>
        <v>4.3611111111111116</v>
      </c>
      <c r="CW14" s="240">
        <f>_xlfn.STDEV.S(CR14:CU14)</f>
        <v>7.7700358293976635</v>
      </c>
      <c r="CX14" s="346">
        <f t="shared" ref="CX14:DA14" si="26">IFERROR((CX15-$CK$20)^2," ")</f>
        <v>6.25</v>
      </c>
      <c r="CY14" s="346">
        <f t="shared" si="26"/>
        <v>0.25</v>
      </c>
      <c r="CZ14" s="346">
        <f t="shared" si="26"/>
        <v>2.7777777777777786</v>
      </c>
      <c r="DA14" s="346">
        <f t="shared" si="26"/>
        <v>16</v>
      </c>
      <c r="DB14" s="240">
        <f>AVERAGE(CX14:DA14)</f>
        <v>6.3194444444444446</v>
      </c>
      <c r="DC14" s="240">
        <f>_xlfn.STDEV.S(CX14:DA14)</f>
        <v>6.9065074877981818</v>
      </c>
    </row>
    <row r="15" spans="1:118" ht="22.2" thickTop="1" thickBot="1" x14ac:dyDescent="0.35">
      <c r="A15" s="275" t="s">
        <v>479</v>
      </c>
      <c r="B15" s="276">
        <f t="shared" ref="B15:AG15" si="27">IF(ISERROR(INDEX(B$50:B$75,MATCH($A15,$A$50:$A$75,))),0,INDEX(B$50:B$75,MATCH($A15,$A$50:$A$75,)))</f>
        <v>0</v>
      </c>
      <c r="C15" s="276">
        <f t="shared" si="27"/>
        <v>0</v>
      </c>
      <c r="D15" s="276">
        <f t="shared" si="27"/>
        <v>0</v>
      </c>
      <c r="E15" s="276">
        <f t="shared" si="27"/>
        <v>0</v>
      </c>
      <c r="F15" s="276">
        <f t="shared" si="27"/>
        <v>0</v>
      </c>
      <c r="G15" s="276">
        <f t="shared" si="27"/>
        <v>0</v>
      </c>
      <c r="H15" s="276">
        <f t="shared" si="27"/>
        <v>0</v>
      </c>
      <c r="I15" s="276">
        <f t="shared" si="27"/>
        <v>0</v>
      </c>
      <c r="J15" s="276">
        <f t="shared" si="27"/>
        <v>0</v>
      </c>
      <c r="K15" s="276">
        <f t="shared" si="27"/>
        <v>0</v>
      </c>
      <c r="L15" s="276">
        <f t="shared" si="27"/>
        <v>0</v>
      </c>
      <c r="M15" s="276">
        <f t="shared" si="27"/>
        <v>0</v>
      </c>
      <c r="N15" s="276">
        <f t="shared" si="27"/>
        <v>0</v>
      </c>
      <c r="O15" s="276">
        <f t="shared" si="27"/>
        <v>0</v>
      </c>
      <c r="P15" s="276">
        <f t="shared" si="27"/>
        <v>0</v>
      </c>
      <c r="Q15" s="276">
        <f t="shared" si="27"/>
        <v>0</v>
      </c>
      <c r="R15" s="276">
        <f t="shared" si="27"/>
        <v>0</v>
      </c>
      <c r="S15" s="276">
        <f t="shared" si="27"/>
        <v>0</v>
      </c>
      <c r="T15" s="276">
        <f t="shared" si="27"/>
        <v>0</v>
      </c>
      <c r="U15" s="276">
        <f t="shared" si="27"/>
        <v>0</v>
      </c>
      <c r="V15" s="276">
        <f t="shared" si="27"/>
        <v>0</v>
      </c>
      <c r="W15" s="276">
        <f t="shared" si="27"/>
        <v>0</v>
      </c>
      <c r="X15" s="276">
        <f t="shared" si="27"/>
        <v>0</v>
      </c>
      <c r="Y15" s="276">
        <f t="shared" si="27"/>
        <v>0</v>
      </c>
      <c r="Z15" s="276">
        <f t="shared" si="27"/>
        <v>0</v>
      </c>
      <c r="AA15" s="276">
        <f t="shared" si="27"/>
        <v>0</v>
      </c>
      <c r="AB15" s="276">
        <f t="shared" si="27"/>
        <v>0</v>
      </c>
      <c r="AC15" s="276">
        <f t="shared" si="27"/>
        <v>0</v>
      </c>
      <c r="AD15" s="276">
        <f t="shared" si="27"/>
        <v>0</v>
      </c>
      <c r="AE15" s="276">
        <f t="shared" si="27"/>
        <v>0</v>
      </c>
      <c r="AF15" s="276">
        <f t="shared" si="27"/>
        <v>0</v>
      </c>
      <c r="AG15" s="276">
        <f t="shared" si="27"/>
        <v>0</v>
      </c>
      <c r="AH15" s="276">
        <f t="shared" ref="AH15:BM15" si="28">IF(ISERROR(INDEX(AH$50:AH$75,MATCH($A15,$A$50:$A$75,))),0,INDEX(AH$50:AH$75,MATCH($A15,$A$50:$A$75,)))</f>
        <v>0</v>
      </c>
      <c r="AI15" s="276">
        <f t="shared" si="28"/>
        <v>0</v>
      </c>
      <c r="AJ15" s="276">
        <f t="shared" si="28"/>
        <v>0</v>
      </c>
      <c r="AK15" s="276">
        <f t="shared" si="28"/>
        <v>0</v>
      </c>
      <c r="AL15" s="276">
        <f t="shared" si="28"/>
        <v>0</v>
      </c>
      <c r="AM15" s="276">
        <f t="shared" si="28"/>
        <v>0</v>
      </c>
      <c r="AN15" s="276">
        <f t="shared" si="28"/>
        <v>0</v>
      </c>
      <c r="AO15" s="276">
        <f t="shared" si="28"/>
        <v>0</v>
      </c>
      <c r="AP15" s="276">
        <f t="shared" si="28"/>
        <v>0</v>
      </c>
      <c r="AQ15" s="276">
        <f t="shared" si="28"/>
        <v>0</v>
      </c>
      <c r="AR15" s="276">
        <f t="shared" si="28"/>
        <v>0</v>
      </c>
      <c r="AS15" s="276">
        <f t="shared" si="28"/>
        <v>0</v>
      </c>
      <c r="AT15" s="276">
        <f t="shared" si="28"/>
        <v>0</v>
      </c>
      <c r="AU15" s="276">
        <f t="shared" si="28"/>
        <v>0</v>
      </c>
      <c r="AV15" s="276">
        <f t="shared" si="28"/>
        <v>0</v>
      </c>
      <c r="AW15" s="276">
        <f t="shared" si="28"/>
        <v>0</v>
      </c>
      <c r="AX15" s="276">
        <f t="shared" si="28"/>
        <v>0</v>
      </c>
      <c r="AY15" s="276">
        <f t="shared" si="28"/>
        <v>0</v>
      </c>
      <c r="AZ15" s="276">
        <f t="shared" si="28"/>
        <v>0</v>
      </c>
      <c r="BA15" s="276">
        <f t="shared" si="28"/>
        <v>0</v>
      </c>
      <c r="BB15" s="276">
        <f t="shared" si="28"/>
        <v>0</v>
      </c>
      <c r="BC15" s="276">
        <f t="shared" si="28"/>
        <v>0</v>
      </c>
      <c r="BD15" s="276">
        <f t="shared" si="28"/>
        <v>0</v>
      </c>
      <c r="BE15" s="276">
        <f t="shared" si="28"/>
        <v>0</v>
      </c>
      <c r="BF15" s="276">
        <f t="shared" si="28"/>
        <v>0</v>
      </c>
      <c r="BG15" s="276">
        <f t="shared" si="28"/>
        <v>0</v>
      </c>
      <c r="BH15" s="276">
        <f t="shared" si="28"/>
        <v>0</v>
      </c>
      <c r="BI15" s="276">
        <f t="shared" si="28"/>
        <v>0</v>
      </c>
      <c r="BJ15" s="276">
        <f t="shared" si="28"/>
        <v>0</v>
      </c>
      <c r="BK15" s="276">
        <f t="shared" si="28"/>
        <v>0</v>
      </c>
      <c r="BL15" s="276">
        <f t="shared" si="28"/>
        <v>0</v>
      </c>
      <c r="BM15" s="276">
        <f t="shared" si="28"/>
        <v>0</v>
      </c>
      <c r="BN15" s="276">
        <f t="shared" ref="BN15:CA15" si="29">IF(ISERROR(INDEX(BN$50:BN$75,MATCH($A15,$A$50:$A$75,))),0,INDEX(BN$50:BN$75,MATCH($A15,$A$50:$A$75,)))</f>
        <v>0</v>
      </c>
      <c r="BO15" s="276">
        <f t="shared" si="29"/>
        <v>0</v>
      </c>
      <c r="BP15" s="276">
        <f t="shared" si="29"/>
        <v>0</v>
      </c>
      <c r="BQ15" s="276">
        <f t="shared" si="29"/>
        <v>0</v>
      </c>
      <c r="BR15" s="276">
        <f t="shared" si="29"/>
        <v>0</v>
      </c>
      <c r="BS15" s="276">
        <f t="shared" si="29"/>
        <v>0</v>
      </c>
      <c r="BT15" s="276">
        <f t="shared" si="29"/>
        <v>0</v>
      </c>
      <c r="BU15" s="276">
        <f t="shared" si="29"/>
        <v>0</v>
      </c>
      <c r="BV15" s="276">
        <f t="shared" si="29"/>
        <v>0</v>
      </c>
      <c r="BW15" s="276">
        <f t="shared" si="29"/>
        <v>0</v>
      </c>
      <c r="BX15" s="276">
        <f t="shared" si="29"/>
        <v>0</v>
      </c>
      <c r="BY15" s="276">
        <f t="shared" si="29"/>
        <v>0</v>
      </c>
      <c r="BZ15" s="276">
        <f t="shared" si="29"/>
        <v>0</v>
      </c>
      <c r="CA15" s="283">
        <f t="shared" si="29"/>
        <v>0</v>
      </c>
      <c r="CB15" s="303">
        <f>IF(ISERROR(INDEX(CB$20:CB$45,MATCH($A15,$A$20:$A$45,))),0,INDEX(CB$20:CB$45,MATCH($A15,$A$20:$A$45,)))</f>
        <v>0</v>
      </c>
      <c r="CD15" s="276">
        <f>LARGE($CD$9:$CD$12,1)</f>
        <v>-1.4031340046280312</v>
      </c>
      <c r="CE15" s="274">
        <f>AVERAGE($CD$20:$CD$45)</f>
        <v>12.543749999999999</v>
      </c>
      <c r="CJ15"/>
      <c r="CM15" s="285">
        <f>LARGE(CM9:CM12,1)</f>
        <v>0.375</v>
      </c>
      <c r="CN15" s="307" t="str">
        <f>IF($CM$15&gt;(CM16*2),"LARGE","SMALL")</f>
        <v>LARGE</v>
      </c>
      <c r="CO15" s="307" t="s">
        <v>573</v>
      </c>
      <c r="CP15" s="308">
        <f>$CK$9/$CK$16</f>
        <v>0.375</v>
      </c>
      <c r="CQ15" s="274"/>
      <c r="CR15" s="319">
        <f>IFERROR(AVERAGE(CR20:CR45)," ")</f>
        <v>3</v>
      </c>
      <c r="CS15" s="319">
        <f t="shared" ref="CS15:CU15" si="30">IFERROR(AVERAGE(CS20:CS45)," ")</f>
        <v>8</v>
      </c>
      <c r="CT15" s="319">
        <f t="shared" si="30"/>
        <v>4.666666666666667</v>
      </c>
      <c r="CU15" s="319">
        <f t="shared" si="30"/>
        <v>4</v>
      </c>
      <c r="CV15"/>
      <c r="CW15"/>
      <c r="CX15" s="319">
        <f>IFERROR(AVERAGE(CX20:CX45)," ")</f>
        <v>1.5</v>
      </c>
      <c r="CY15" s="319">
        <f t="shared" ref="CY15:DA15" si="31">IFERROR(AVERAGE(CY20:CY45)," ")</f>
        <v>3.5</v>
      </c>
      <c r="CZ15" s="319">
        <f t="shared" si="31"/>
        <v>5.666666666666667</v>
      </c>
      <c r="DA15" s="319">
        <f t="shared" si="31"/>
        <v>8</v>
      </c>
      <c r="DB15"/>
      <c r="DC15"/>
      <c r="DG15" s="274" t="s">
        <v>20</v>
      </c>
      <c r="DI15" s="326" t="s">
        <v>705</v>
      </c>
    </row>
    <row r="16" spans="1:118" ht="22.5" customHeight="1" thickTop="1" thickBot="1" x14ac:dyDescent="0.35">
      <c r="A16" s="285">
        <f>ROUND(B17/2,0)</f>
        <v>5</v>
      </c>
      <c r="B16" s="285">
        <f t="array" ref="B16">MIN(IF($A20:$A45&gt;=1,($A20:$A45)))</f>
        <v>1</v>
      </c>
      <c r="C16" s="284" t="s">
        <v>549</v>
      </c>
      <c r="D16" s="278" t="s">
        <v>481</v>
      </c>
      <c r="E16" s="278" t="s">
        <v>604</v>
      </c>
      <c r="F16" s="278" t="s">
        <v>605</v>
      </c>
      <c r="G16" s="278" t="s">
        <v>606</v>
      </c>
      <c r="H16" s="278" t="s">
        <v>607</v>
      </c>
      <c r="I16" s="278" t="s">
        <v>608</v>
      </c>
      <c r="J16" s="278" t="s">
        <v>609</v>
      </c>
      <c r="K16" s="278" t="s">
        <v>610</v>
      </c>
      <c r="L16" s="278" t="s">
        <v>611</v>
      </c>
      <c r="M16" s="278" t="s">
        <v>612</v>
      </c>
      <c r="N16" s="278" t="s">
        <v>613</v>
      </c>
      <c r="O16" s="278" t="s">
        <v>614</v>
      </c>
      <c r="P16" s="278" t="s">
        <v>615</v>
      </c>
      <c r="Q16" s="278" t="s">
        <v>616</v>
      </c>
      <c r="R16" s="278" t="s">
        <v>617</v>
      </c>
      <c r="S16" s="278" t="s">
        <v>618</v>
      </c>
      <c r="T16" s="278" t="s">
        <v>619</v>
      </c>
      <c r="U16" s="278" t="s">
        <v>620</v>
      </c>
      <c r="V16" s="278" t="s">
        <v>621</v>
      </c>
      <c r="W16" s="278" t="s">
        <v>622</v>
      </c>
      <c r="X16" s="278" t="s">
        <v>623</v>
      </c>
      <c r="Y16" s="278" t="s">
        <v>624</v>
      </c>
      <c r="Z16" s="278" t="s">
        <v>625</v>
      </c>
      <c r="AA16" s="278" t="s">
        <v>626</v>
      </c>
      <c r="AB16" s="278" t="s">
        <v>627</v>
      </c>
      <c r="AC16" s="278" t="s">
        <v>628</v>
      </c>
      <c r="AD16" s="278" t="s">
        <v>629</v>
      </c>
      <c r="AE16" s="278" t="s">
        <v>630</v>
      </c>
      <c r="AF16" s="278" t="s">
        <v>631</v>
      </c>
      <c r="AG16" s="278" t="s">
        <v>632</v>
      </c>
      <c r="AH16" s="278" t="s">
        <v>633</v>
      </c>
      <c r="AI16" s="278" t="s">
        <v>634</v>
      </c>
      <c r="AJ16" s="278" t="s">
        <v>635</v>
      </c>
      <c r="AK16" s="278" t="s">
        <v>636</v>
      </c>
      <c r="AL16" s="278" t="s">
        <v>637</v>
      </c>
      <c r="AM16" s="278" t="s">
        <v>638</v>
      </c>
      <c r="AN16" s="278" t="s">
        <v>639</v>
      </c>
      <c r="AO16" s="278" t="s">
        <v>640</v>
      </c>
      <c r="AP16" s="278" t="s">
        <v>641</v>
      </c>
      <c r="AQ16" s="278" t="s">
        <v>642</v>
      </c>
      <c r="AR16" s="278" t="s">
        <v>643</v>
      </c>
      <c r="AS16" s="278" t="s">
        <v>644</v>
      </c>
      <c r="AT16" s="278" t="s">
        <v>645</v>
      </c>
      <c r="AU16" s="278" t="s">
        <v>646</v>
      </c>
      <c r="AV16" s="278" t="s">
        <v>647</v>
      </c>
      <c r="AW16" s="278" t="s">
        <v>648</v>
      </c>
      <c r="AX16" s="278" t="s">
        <v>649</v>
      </c>
      <c r="AY16" s="278" t="s">
        <v>650</v>
      </c>
      <c r="AZ16" s="278" t="s">
        <v>651</v>
      </c>
      <c r="BA16" s="278" t="s">
        <v>652</v>
      </c>
      <c r="BB16" s="278" t="s">
        <v>653</v>
      </c>
      <c r="BC16" s="278" t="s">
        <v>654</v>
      </c>
      <c r="BD16" s="278" t="s">
        <v>655</v>
      </c>
      <c r="BE16" s="278" t="s">
        <v>656</v>
      </c>
      <c r="BF16" s="278" t="s">
        <v>657</v>
      </c>
      <c r="BG16" s="278" t="s">
        <v>658</v>
      </c>
      <c r="BH16" s="278" t="s">
        <v>659</v>
      </c>
      <c r="BI16" s="278" t="s">
        <v>660</v>
      </c>
      <c r="BJ16" s="278" t="s">
        <v>661</v>
      </c>
      <c r="BK16" s="278" t="s">
        <v>662</v>
      </c>
      <c r="BL16" s="278" t="s">
        <v>663</v>
      </c>
      <c r="BM16" s="278" t="s">
        <v>664</v>
      </c>
      <c r="BN16" s="278" t="s">
        <v>665</v>
      </c>
      <c r="BO16" s="278" t="s">
        <v>666</v>
      </c>
      <c r="BP16" s="278" t="s">
        <v>667</v>
      </c>
      <c r="BQ16" s="278" t="s">
        <v>668</v>
      </c>
      <c r="BR16" s="278" t="s">
        <v>669</v>
      </c>
      <c r="BS16" s="278" t="s">
        <v>670</v>
      </c>
      <c r="BT16" s="278" t="s">
        <v>671</v>
      </c>
      <c r="BU16" s="278" t="s">
        <v>672</v>
      </c>
      <c r="BV16" s="278" t="s">
        <v>673</v>
      </c>
      <c r="BW16" s="278" t="s">
        <v>674</v>
      </c>
      <c r="BX16" s="278" t="s">
        <v>675</v>
      </c>
      <c r="BY16" s="278" t="s">
        <v>676</v>
      </c>
      <c r="BZ16" s="278" t="s">
        <v>677</v>
      </c>
      <c r="CA16" s="278" t="s">
        <v>678</v>
      </c>
      <c r="CB16" s="255" t="s">
        <v>586</v>
      </c>
      <c r="CD16" s="255" t="s">
        <v>696</v>
      </c>
      <c r="CE16" s="255" t="s">
        <v>545</v>
      </c>
      <c r="CK16" s="306">
        <f>SUM(Table2[CLUSTER COUNT])</f>
        <v>8</v>
      </c>
      <c r="CM16" s="285">
        <f>SMALL($CM$9:$CM$12,2)</f>
        <v>0.125</v>
      </c>
      <c r="CN16" s="307" t="str">
        <f>IF($CM$16=0,"SMALL",IF(AND($CM$16&gt;($CM$17/2),$CM$16&gt;=($CM$18*3)),"LARGE","SMALL"))</f>
        <v>SMALL</v>
      </c>
      <c r="CO16" s="307" t="s">
        <v>574</v>
      </c>
      <c r="CP16" s="308">
        <f>$CK$10/$CK$16</f>
        <v>0.125</v>
      </c>
      <c r="CQ16" s="274"/>
      <c r="CR16" s="434" t="s">
        <v>592</v>
      </c>
      <c r="CS16" s="435"/>
      <c r="CT16" s="435"/>
      <c r="CU16" s="435"/>
      <c r="CV16" s="255" t="s">
        <v>23</v>
      </c>
      <c r="CW16" s="255" t="s">
        <v>25</v>
      </c>
      <c r="CX16" s="434" t="s">
        <v>593</v>
      </c>
      <c r="CY16" s="435"/>
      <c r="CZ16" s="435"/>
      <c r="DA16" s="435"/>
      <c r="DB16" s="255" t="s">
        <v>23</v>
      </c>
      <c r="DC16" s="255" t="s">
        <v>25</v>
      </c>
      <c r="DD16" s="255" t="s">
        <v>600</v>
      </c>
      <c r="DE16" s="255" t="s">
        <v>601</v>
      </c>
      <c r="DG16" s="274" t="s">
        <v>679</v>
      </c>
    </row>
    <row r="17" spans="1:118" ht="22.2" thickTop="1" thickBot="1" x14ac:dyDescent="0.35">
      <c r="A17" s="285">
        <f>A16+1</f>
        <v>6</v>
      </c>
      <c r="B17" s="285">
        <f>MAX($A20:$A45)</f>
        <v>9</v>
      </c>
      <c r="C17" s="285"/>
      <c r="D17" s="276">
        <f>SUM($CK$50:$CK$75)</f>
        <v>513.45316808850407</v>
      </c>
      <c r="E17" s="276">
        <f t="shared" ref="E17:BP17" si="32">COUNTIF(E$20:E$45,"&lt;&gt;"&amp;" ")</f>
        <v>8</v>
      </c>
      <c r="F17" s="276">
        <f t="shared" si="32"/>
        <v>8</v>
      </c>
      <c r="G17" s="276">
        <f t="shared" si="32"/>
        <v>8</v>
      </c>
      <c r="H17" s="276">
        <f t="shared" si="32"/>
        <v>8</v>
      </c>
      <c r="I17" s="276">
        <f t="shared" si="32"/>
        <v>8</v>
      </c>
      <c r="J17" s="276">
        <f t="shared" si="32"/>
        <v>8</v>
      </c>
      <c r="K17" s="276">
        <f t="shared" si="32"/>
        <v>8</v>
      </c>
      <c r="L17" s="276">
        <f t="shared" si="32"/>
        <v>8</v>
      </c>
      <c r="M17" s="276">
        <f t="shared" si="32"/>
        <v>8</v>
      </c>
      <c r="N17" s="276">
        <f t="shared" si="32"/>
        <v>8</v>
      </c>
      <c r="O17" s="276">
        <f t="shared" si="32"/>
        <v>8</v>
      </c>
      <c r="P17" s="276">
        <f t="shared" si="32"/>
        <v>8</v>
      </c>
      <c r="Q17" s="276">
        <f t="shared" si="32"/>
        <v>8</v>
      </c>
      <c r="R17" s="276">
        <f t="shared" si="32"/>
        <v>8</v>
      </c>
      <c r="S17" s="276">
        <f t="shared" si="32"/>
        <v>8</v>
      </c>
      <c r="T17" s="276">
        <f t="shared" si="32"/>
        <v>8</v>
      </c>
      <c r="U17" s="276">
        <f t="shared" si="32"/>
        <v>8</v>
      </c>
      <c r="V17" s="276">
        <f t="shared" si="32"/>
        <v>8</v>
      </c>
      <c r="W17" s="276">
        <f t="shared" si="32"/>
        <v>8</v>
      </c>
      <c r="X17" s="276">
        <f t="shared" si="32"/>
        <v>8</v>
      </c>
      <c r="Y17" s="276">
        <f t="shared" si="32"/>
        <v>8</v>
      </c>
      <c r="Z17" s="276">
        <f t="shared" si="32"/>
        <v>8</v>
      </c>
      <c r="AA17" s="276">
        <f t="shared" si="32"/>
        <v>8</v>
      </c>
      <c r="AB17" s="276">
        <f t="shared" si="32"/>
        <v>8</v>
      </c>
      <c r="AC17" s="276">
        <f t="shared" si="32"/>
        <v>8</v>
      </c>
      <c r="AD17" s="276">
        <f t="shared" si="32"/>
        <v>8</v>
      </c>
      <c r="AE17" s="276">
        <f t="shared" si="32"/>
        <v>8</v>
      </c>
      <c r="AF17" s="276">
        <f t="shared" si="32"/>
        <v>8</v>
      </c>
      <c r="AG17" s="276">
        <f t="shared" si="32"/>
        <v>8</v>
      </c>
      <c r="AH17" s="276">
        <f t="shared" si="32"/>
        <v>8</v>
      </c>
      <c r="AI17" s="276">
        <f t="shared" si="32"/>
        <v>8</v>
      </c>
      <c r="AJ17" s="276">
        <f t="shared" si="32"/>
        <v>8</v>
      </c>
      <c r="AK17" s="276">
        <f t="shared" si="32"/>
        <v>8</v>
      </c>
      <c r="AL17" s="276">
        <f t="shared" si="32"/>
        <v>8</v>
      </c>
      <c r="AM17" s="276">
        <f t="shared" si="32"/>
        <v>8</v>
      </c>
      <c r="AN17" s="276">
        <f t="shared" si="32"/>
        <v>8</v>
      </c>
      <c r="AO17" s="276">
        <f t="shared" si="32"/>
        <v>8</v>
      </c>
      <c r="AP17" s="276">
        <f t="shared" si="32"/>
        <v>8</v>
      </c>
      <c r="AQ17" s="276">
        <f t="shared" si="32"/>
        <v>8</v>
      </c>
      <c r="AR17" s="276">
        <f t="shared" si="32"/>
        <v>8</v>
      </c>
      <c r="AS17" s="276">
        <f t="shared" si="32"/>
        <v>8</v>
      </c>
      <c r="AT17" s="276">
        <f t="shared" si="32"/>
        <v>8</v>
      </c>
      <c r="AU17" s="276">
        <f t="shared" si="32"/>
        <v>8</v>
      </c>
      <c r="AV17" s="276">
        <f t="shared" si="32"/>
        <v>8</v>
      </c>
      <c r="AW17" s="276">
        <f t="shared" si="32"/>
        <v>8</v>
      </c>
      <c r="AX17" s="276">
        <f t="shared" si="32"/>
        <v>8</v>
      </c>
      <c r="AY17" s="276">
        <f t="shared" si="32"/>
        <v>8</v>
      </c>
      <c r="AZ17" s="276">
        <f t="shared" si="32"/>
        <v>8</v>
      </c>
      <c r="BA17" s="276">
        <f t="shared" si="32"/>
        <v>8</v>
      </c>
      <c r="BB17" s="276">
        <f t="shared" si="32"/>
        <v>8</v>
      </c>
      <c r="BC17" s="276">
        <f t="shared" si="32"/>
        <v>8</v>
      </c>
      <c r="BD17" s="276">
        <f t="shared" si="32"/>
        <v>8</v>
      </c>
      <c r="BE17" s="276">
        <f t="shared" si="32"/>
        <v>8</v>
      </c>
      <c r="BF17" s="276">
        <f t="shared" si="32"/>
        <v>8</v>
      </c>
      <c r="BG17" s="276">
        <f t="shared" si="32"/>
        <v>8</v>
      </c>
      <c r="BH17" s="276">
        <f t="shared" si="32"/>
        <v>8</v>
      </c>
      <c r="BI17" s="276">
        <f t="shared" si="32"/>
        <v>8</v>
      </c>
      <c r="BJ17" s="276">
        <f t="shared" si="32"/>
        <v>8</v>
      </c>
      <c r="BK17" s="276">
        <f t="shared" si="32"/>
        <v>8</v>
      </c>
      <c r="BL17" s="276">
        <f t="shared" si="32"/>
        <v>8</v>
      </c>
      <c r="BM17" s="276">
        <f t="shared" si="32"/>
        <v>8</v>
      </c>
      <c r="BN17" s="276">
        <f t="shared" si="32"/>
        <v>8</v>
      </c>
      <c r="BO17" s="276">
        <f t="shared" si="32"/>
        <v>8</v>
      </c>
      <c r="BP17" s="276">
        <f t="shared" si="32"/>
        <v>8</v>
      </c>
      <c r="BQ17" s="276">
        <f t="shared" ref="BQ17:BZ17" si="33">COUNTIF(BQ$20:BQ$45,"&lt;&gt;"&amp;" ")</f>
        <v>8</v>
      </c>
      <c r="BR17" s="276">
        <f t="shared" si="33"/>
        <v>8</v>
      </c>
      <c r="BS17" s="276">
        <f t="shared" si="33"/>
        <v>8</v>
      </c>
      <c r="BT17" s="276">
        <f t="shared" si="33"/>
        <v>8</v>
      </c>
      <c r="BU17" s="276">
        <f t="shared" si="33"/>
        <v>8</v>
      </c>
      <c r="BV17" s="276">
        <f t="shared" si="33"/>
        <v>8</v>
      </c>
      <c r="BW17" s="276">
        <f t="shared" si="33"/>
        <v>8</v>
      </c>
      <c r="BX17" s="276">
        <f t="shared" si="33"/>
        <v>8</v>
      </c>
      <c r="BY17" s="276">
        <f t="shared" si="33"/>
        <v>8</v>
      </c>
      <c r="BZ17" s="276">
        <f t="shared" si="33"/>
        <v>3</v>
      </c>
      <c r="CA17" s="276">
        <f>COUNTIF(CA$20:CA$45,"&lt;&gt;"&amp;" ")</f>
        <v>8</v>
      </c>
      <c r="CB17" s="324">
        <f>MAX($G$17)</f>
        <v>8</v>
      </c>
      <c r="CD17" s="286" t="s">
        <v>550</v>
      </c>
      <c r="CE17" s="286" t="s">
        <v>544</v>
      </c>
      <c r="CF17" s="286" t="s">
        <v>546</v>
      </c>
      <c r="CG17" s="286" t="s">
        <v>547</v>
      </c>
      <c r="CH17" s="286" t="s">
        <v>548</v>
      </c>
      <c r="CI17" s="286" t="s">
        <v>564</v>
      </c>
      <c r="CJ17" s="286" t="s">
        <v>584</v>
      </c>
      <c r="CK17" s="285">
        <f>SUM(CK18+CM18)</f>
        <v>0.5</v>
      </c>
      <c r="CL17" s="326"/>
      <c r="CM17" s="285">
        <f>SUM($CM$15:$CM$16)</f>
        <v>0.5</v>
      </c>
      <c r="CN17" s="307" t="str">
        <f xml:space="preserve">
IF(SUM($CM$15:$CM$16)=1,"MAIDEN",
IF(AND($CN$15="SMALL",$CN$16="SMALL",$CN$18="SMALL",$DC$17&lt;2),"SMALL",
IF(AND($CN$15="SMALL",$CN$16="SMALL",$CN$18="SMALL",$DC$17=2),"NOTNORMAL",
IF(AND($CN$15="SMALL",$CN$16="SMALL",$CN$18="SMALL",$DC$17&gt;2),"NOTNORMAL",
IF(AND($CN$15="SMALL",$CN$16="LARGE",$CN$18="SMALL",$DC$17&lt;=2),"NOTNORMAL",
IF(AND($CN$15="LARGE",$CN$16="SMALL",$CN$18="LARGE",$DC$17&gt;2),"NOTNORMAL",
IF(AND($CN$15="LARGE",$CN$16="SMALL",$CN$18="LARGE",$DC$17=2),"NOTNORMAL",
IF(AND($CN$15="SMALL",$CN$16="LARGE",$CN$18="LARGE"),"NOTNORMAL",
IF(AND($CN$15="SMALL",$CN$16="SMALL",$CN$18="LARGE"),"NOTNORMAL",
"NORMAL")))))))))</f>
        <v>NORMAL</v>
      </c>
      <c r="CO17" s="307" t="s">
        <v>575</v>
      </c>
      <c r="CP17" s="308">
        <f>$CK$11/$CK$16</f>
        <v>0.375</v>
      </c>
      <c r="CQ17" s="274"/>
      <c r="CR17" s="327">
        <f>$CK$9</f>
        <v>3</v>
      </c>
      <c r="CS17" s="327">
        <f>$CK$10</f>
        <v>1</v>
      </c>
      <c r="CT17" s="327">
        <f>$CK$11</f>
        <v>3</v>
      </c>
      <c r="CU17" s="327">
        <f>$CK$12</f>
        <v>1</v>
      </c>
      <c r="CV17" s="329">
        <f>AVERAGE(CR17:CU17)</f>
        <v>2</v>
      </c>
      <c r="CW17" s="329">
        <f>_xlfn.STDEV.S(CR17:CU17)</f>
        <v>1.1547005383792515</v>
      </c>
      <c r="CX17" s="327">
        <f>COUNTIF(CX$20:CX$45,"&gt;=1")</f>
        <v>2</v>
      </c>
      <c r="CY17" s="327">
        <f>COUNTIF(CY$20:CY$45,"&gt;=1")</f>
        <v>2</v>
      </c>
      <c r="CZ17" s="327">
        <f>COUNTIF(CZ$20:CZ$45,"&gt;=1")</f>
        <v>3</v>
      </c>
      <c r="DA17" s="327">
        <f>COUNTIF(DA$20:DA$45,"&gt;=1")</f>
        <v>1</v>
      </c>
      <c r="DB17" s="329">
        <f>AVERAGE(CX17:DA17)</f>
        <v>2</v>
      </c>
      <c r="DC17" s="329">
        <f>_xlfn.STDEV.S(CX17:DA17)</f>
        <v>0.81649658092772603</v>
      </c>
      <c r="DD17" s="329">
        <f>SUM(CV18:CW18)+$CV$46+SUM($CV$17:$CW$17)</f>
        <v>10.77902832044839</v>
      </c>
      <c r="DE17" s="329">
        <f>SUM(DB18:DC18)+$DB$46+SUM($DB$17:$DC$17)</f>
        <v>10.163046585219087</v>
      </c>
      <c r="DF17" s="326"/>
      <c r="DG17" s="326"/>
      <c r="DH17" s="326"/>
      <c r="DI17" s="326"/>
      <c r="DJ17" s="326"/>
      <c r="DK17" s="326"/>
      <c r="DL17" s="326"/>
    </row>
    <row r="18" spans="1:118" ht="16.5" customHeight="1" thickTop="1" thickBot="1" x14ac:dyDescent="0.35">
      <c r="CD18" s="285">
        <f>IFERROR(INDEX($CI$9:$CI$14,MATCH(1,$CH$9:$CH$14,0)),$CH$18)</f>
        <v>1</v>
      </c>
      <c r="CE18" s="285">
        <f>IF(ISNA(MATCH(CD19,$CM$20:$CM$25,0)),0,1)</f>
        <v>1</v>
      </c>
      <c r="CF18" s="285">
        <v>6</v>
      </c>
      <c r="CG18" s="285">
        <f>SUM(analysis[Rank])</f>
        <v>8</v>
      </c>
      <c r="CH18" s="285">
        <f>IFERROR(MODE($CM$50:$CM$75),1)</f>
        <v>1</v>
      </c>
      <c r="CI18" s="285">
        <f>COUNT(CI20:CI45)</f>
        <v>7</v>
      </c>
      <c r="CJ18" s="285">
        <f>IFERROR(MODE($CG$20:$CG$45),1)</f>
        <v>4</v>
      </c>
      <c r="CK18" s="285">
        <f>SMALL($CM$9:$CM$11,2)</f>
        <v>0.375</v>
      </c>
      <c r="CL18" s="307" t="s">
        <v>563</v>
      </c>
      <c r="CM18" s="285">
        <f>SMALL(CM9:CM12,1)</f>
        <v>0.125</v>
      </c>
      <c r="CN18" s="307" t="str">
        <f>IF($CM$18&gt;($CM$16),"LARGE","SMALL")</f>
        <v>SMALL</v>
      </c>
      <c r="CO18" s="307" t="s">
        <v>581</v>
      </c>
      <c r="CP18" s="308">
        <f>$CK$12/$CK$16</f>
        <v>0.125</v>
      </c>
      <c r="CQ18" s="274" t="s">
        <v>594</v>
      </c>
      <c r="CR18" s="320">
        <f>IFERROR(RANK(CR14,$CR$14:$CU$14,1)," ")</f>
        <v>3</v>
      </c>
      <c r="CS18" s="320">
        <f t="shared" ref="CS18:CU18" si="34">IFERROR(RANK(CS14,$CR$14:$CU$14,1)," ")</f>
        <v>4</v>
      </c>
      <c r="CT18" s="320">
        <f t="shared" si="34"/>
        <v>2</v>
      </c>
      <c r="CU18" s="320">
        <f t="shared" si="34"/>
        <v>1</v>
      </c>
      <c r="CV18" s="329">
        <f>AVERAGE(CR18:CU18)</f>
        <v>2.5</v>
      </c>
      <c r="CW18" s="329">
        <f>_xlfn.STDEV.S(CR18:CU18)</f>
        <v>1.2909944487358056</v>
      </c>
      <c r="CX18" s="320">
        <f>IFERROR(RANK(CX14,$CX$14:$DA$14,1)," ")</f>
        <v>3</v>
      </c>
      <c r="CY18" s="320">
        <f t="shared" ref="CY18:DA18" si="35">IFERROR(RANK(CY14,$CX$14:$DA$14,1)," ")</f>
        <v>1</v>
      </c>
      <c r="CZ18" s="320">
        <f t="shared" si="35"/>
        <v>2</v>
      </c>
      <c r="DA18" s="320">
        <f t="shared" si="35"/>
        <v>4</v>
      </c>
      <c r="DB18" s="329">
        <f>AVERAGE(CX18:DA18)</f>
        <v>2.5</v>
      </c>
      <c r="DC18" s="329">
        <f>_xlfn.STDEV.S(CX18:DA18)</f>
        <v>1.2909944487358056</v>
      </c>
      <c r="DD18" s="330" t="str">
        <f>IF(CO19="@KURT","NORMAL","NOTNORMAL")</f>
        <v>NOTNORMAL</v>
      </c>
      <c r="DE18" s="326"/>
      <c r="DF18" s="326"/>
      <c r="DG18" s="326"/>
      <c r="DH18" s="326"/>
      <c r="DI18" s="326"/>
      <c r="DJ18" s="326"/>
      <c r="DK18" s="326"/>
      <c r="DL18" s="326" t="s">
        <v>679</v>
      </c>
    </row>
    <row r="19" spans="1:118" ht="33" customHeight="1" thickTop="1" thickBot="1" x14ac:dyDescent="0.35">
      <c r="A19" s="271" t="s">
        <v>211</v>
      </c>
      <c r="B19" s="271" t="s">
        <v>37</v>
      </c>
      <c r="C19" s="271" t="s">
        <v>38</v>
      </c>
      <c r="D19" s="271" t="s">
        <v>39</v>
      </c>
      <c r="E19" s="271" t="s">
        <v>40</v>
      </c>
      <c r="F19" s="271" t="s">
        <v>49</v>
      </c>
      <c r="G19" s="271" t="s">
        <v>51</v>
      </c>
      <c r="H19" s="271" t="s">
        <v>681</v>
      </c>
      <c r="I19" s="271" t="s">
        <v>31</v>
      </c>
      <c r="J19" s="271" t="s">
        <v>55</v>
      </c>
      <c r="K19" s="271" t="s">
        <v>56</v>
      </c>
      <c r="L19" s="271" t="s">
        <v>57</v>
      </c>
      <c r="M19" s="271" t="s">
        <v>58</v>
      </c>
      <c r="N19" s="271" t="s">
        <v>59</v>
      </c>
      <c r="O19" s="271" t="s">
        <v>60</v>
      </c>
      <c r="P19" s="271" t="s">
        <v>61</v>
      </c>
      <c r="Q19" s="271" t="s">
        <v>62</v>
      </c>
      <c r="R19" s="271" t="s">
        <v>63</v>
      </c>
      <c r="S19" s="271" t="s">
        <v>64</v>
      </c>
      <c r="T19" s="271" t="s">
        <v>65</v>
      </c>
      <c r="U19" s="271" t="s">
        <v>66</v>
      </c>
      <c r="V19" s="271" t="s">
        <v>200</v>
      </c>
      <c r="W19" s="271" t="s">
        <v>201</v>
      </c>
      <c r="X19" s="271" t="s">
        <v>202</v>
      </c>
      <c r="Y19" s="271" t="s">
        <v>203</v>
      </c>
      <c r="Z19" s="271" t="s">
        <v>204</v>
      </c>
      <c r="AA19" s="271" t="s">
        <v>205</v>
      </c>
      <c r="AB19" s="271" t="s">
        <v>67</v>
      </c>
      <c r="AC19" s="271" t="s">
        <v>68</v>
      </c>
      <c r="AD19" s="271" t="s">
        <v>69</v>
      </c>
      <c r="AE19" s="271" t="s">
        <v>70</v>
      </c>
      <c r="AF19" s="271" t="s">
        <v>71</v>
      </c>
      <c r="AG19" s="271" t="s">
        <v>72</v>
      </c>
      <c r="AH19" s="271" t="s">
        <v>207</v>
      </c>
      <c r="AI19" s="271" t="s">
        <v>78</v>
      </c>
      <c r="AJ19" s="271" t="s">
        <v>79</v>
      </c>
      <c r="AK19" s="271" t="s">
        <v>80</v>
      </c>
      <c r="AL19" s="271" t="s">
        <v>81</v>
      </c>
      <c r="AM19" s="271" t="s">
        <v>82</v>
      </c>
      <c r="AN19" s="271" t="s">
        <v>83</v>
      </c>
      <c r="AO19" s="271" t="s">
        <v>77</v>
      </c>
      <c r="AP19" s="271" t="s">
        <v>84</v>
      </c>
      <c r="AQ19" s="271" t="s">
        <v>85</v>
      </c>
      <c r="AR19" s="271" t="s">
        <v>86</v>
      </c>
      <c r="AS19" s="271" t="s">
        <v>87</v>
      </c>
      <c r="AT19" s="271" t="s">
        <v>88</v>
      </c>
      <c r="AU19" s="271" t="s">
        <v>89</v>
      </c>
      <c r="AV19" s="271" t="s">
        <v>91</v>
      </c>
      <c r="AW19" s="271" t="s">
        <v>92</v>
      </c>
      <c r="AX19" s="271" t="s">
        <v>93</v>
      </c>
      <c r="AY19" s="271" t="s">
        <v>94</v>
      </c>
      <c r="AZ19" s="271" t="s">
        <v>95</v>
      </c>
      <c r="BA19" s="271" t="s">
        <v>96</v>
      </c>
      <c r="BB19" s="271" t="s">
        <v>97</v>
      </c>
      <c r="BC19" s="271" t="s">
        <v>209</v>
      </c>
      <c r="BD19" s="271" t="s">
        <v>110</v>
      </c>
      <c r="BE19" s="271" t="s">
        <v>111</v>
      </c>
      <c r="BF19" s="271" t="s">
        <v>112</v>
      </c>
      <c r="BG19" s="271" t="s">
        <v>113</v>
      </c>
      <c r="BH19" s="271" t="s">
        <v>114</v>
      </c>
      <c r="BI19" s="271" t="s">
        <v>108</v>
      </c>
      <c r="BJ19" s="271" t="s">
        <v>115</v>
      </c>
      <c r="BK19" s="271" t="s">
        <v>116</v>
      </c>
      <c r="BL19" s="271" t="s">
        <v>117</v>
      </c>
      <c r="BM19" s="271" t="s">
        <v>118</v>
      </c>
      <c r="BN19" s="271" t="s">
        <v>119</v>
      </c>
      <c r="BO19" s="271" t="s">
        <v>120</v>
      </c>
      <c r="BP19" s="271" t="s">
        <v>122</v>
      </c>
      <c r="BQ19" s="271" t="s">
        <v>123</v>
      </c>
      <c r="BR19" s="271" t="s">
        <v>124</v>
      </c>
      <c r="BS19" s="271" t="s">
        <v>125</v>
      </c>
      <c r="BT19" s="271" t="s">
        <v>126</v>
      </c>
      <c r="BU19" s="271" t="s">
        <v>127</v>
      </c>
      <c r="BV19" s="271" t="s">
        <v>128</v>
      </c>
      <c r="BW19" s="271" t="s">
        <v>137</v>
      </c>
      <c r="BX19" s="271" t="s">
        <v>138</v>
      </c>
      <c r="BY19" s="271" t="s">
        <v>140</v>
      </c>
      <c r="BZ19" s="271" t="s">
        <v>141</v>
      </c>
      <c r="CA19" s="271" t="s">
        <v>308</v>
      </c>
      <c r="CB19" s="271" t="s">
        <v>386</v>
      </c>
      <c r="CD19" s="296" t="str">
        <f>$CA$6</f>
        <v>Best Fixed Odds</v>
      </c>
      <c r="CE19" s="297" t="str">
        <f>CD19&amp;" "&amp;"NORMALIZATION"</f>
        <v>Best Fixed Odds NORMALIZATION</v>
      </c>
      <c r="CF19" s="297" t="s">
        <v>557</v>
      </c>
      <c r="CG19" s="297" t="s">
        <v>560</v>
      </c>
      <c r="CH19" s="297" t="s">
        <v>561</v>
      </c>
      <c r="CI19" s="297" t="s">
        <v>562</v>
      </c>
      <c r="CJ19" s="326"/>
      <c r="CK19" s="297" t="s">
        <v>566</v>
      </c>
      <c r="CL19" s="297" t="s">
        <v>577</v>
      </c>
      <c r="CM19" s="280" t="s">
        <v>491</v>
      </c>
      <c r="CN19" s="307" t="str">
        <f>IF(AND($CN$16="LARGE",$CM$18&gt;=($CM$16/2)),"VERY LARGE"," ")</f>
        <v xml:space="preserve"> </v>
      </c>
      <c r="CO19" s="326" t="str">
        <f>IF($CK$34&gt;$CK$20,"-KURT","@KURT")</f>
        <v>-KURT</v>
      </c>
      <c r="CP19" s="312">
        <f>SUM(CP15:CP18)</f>
        <v>1</v>
      </c>
      <c r="CQ19" s="281" t="s">
        <v>587</v>
      </c>
      <c r="CR19" s="327">
        <v>1</v>
      </c>
      <c r="CS19" s="327">
        <v>2</v>
      </c>
      <c r="CT19" s="327">
        <v>3</v>
      </c>
      <c r="CU19" s="327">
        <v>4</v>
      </c>
      <c r="CV19" s="326"/>
      <c r="CW19" s="281" t="s">
        <v>587</v>
      </c>
      <c r="CX19" s="328">
        <f>$CK$24</f>
        <v>2</v>
      </c>
      <c r="CY19" s="328">
        <f>$CK$20</f>
        <v>4</v>
      </c>
      <c r="CZ19" s="328">
        <f>$CK$22</f>
        <v>6</v>
      </c>
      <c r="DA19" s="328">
        <f>$CK$31</f>
        <v>8</v>
      </c>
      <c r="DB19" s="326"/>
      <c r="DC19" s="328">
        <f>$CK$24</f>
        <v>2</v>
      </c>
      <c r="DD19" s="328">
        <f>$CK$20</f>
        <v>4</v>
      </c>
      <c r="DE19" s="328">
        <f>$CK$22</f>
        <v>6</v>
      </c>
      <c r="DF19" s="328">
        <f>$CK$31</f>
        <v>8</v>
      </c>
      <c r="DG19" s="328" t="s">
        <v>20</v>
      </c>
      <c r="DH19" s="328">
        <f>$CK$24</f>
        <v>2</v>
      </c>
      <c r="DI19" s="328">
        <f>$CK$20</f>
        <v>4</v>
      </c>
      <c r="DJ19" s="328">
        <f>$CK$22</f>
        <v>6</v>
      </c>
      <c r="DK19" s="328">
        <f>$CK$31</f>
        <v>8</v>
      </c>
      <c r="DL19" s="328" t="s">
        <v>679</v>
      </c>
      <c r="DN19" s="280" t="s">
        <v>697</v>
      </c>
    </row>
    <row r="20" spans="1:118" ht="15" thickBot="1" x14ac:dyDescent="0.35">
      <c r="A20" s="255">
        <f>'Raw Data'!A3</f>
        <v>1</v>
      </c>
      <c r="B20" s="287">
        <f>IF(INDEX(machina!$A3:$FB3,MATCH(B$19&amp;$C$17,machina[#Headers],))=""," ",INDEX(machina!$A3:$FB3,MATCH(B$19&amp;$C$17,machina[#Headers],)))</f>
        <v>13.33</v>
      </c>
      <c r="C20" s="287">
        <f>IF(INDEX(machina!$A3:$FB3,MATCH(C$19&amp;$C$17,machina[#Headers],))=""," ",INDEX(machina!$A3:$FB3,MATCH(C$19&amp;$C$17,machina[#Headers],)))</f>
        <v>5</v>
      </c>
      <c r="D20" s="287">
        <f>IF(INDEX(machina!$A3:$FB3,MATCH(D$19&amp;$C$17,machina[#Headers],))=""," ",INDEX(machina!$A3:$FB3,MATCH(D$19&amp;$C$17,machina[#Headers],)))</f>
        <v>18</v>
      </c>
      <c r="E20" s="287">
        <f>IF(INDEX(machina!$A3:$FB3,MATCH(E$19&amp;$C$17,machina[#Headers],))=""," ",INDEX(machina!$A3:$FB3,MATCH(E$19&amp;$C$17,machina[#Headers],)))</f>
        <v>40</v>
      </c>
      <c r="F20" s="287">
        <f>IF(INDEX(machina!$A3:$FB3,MATCH(F$19&amp;$C$17,machina[#Headers],))=""," ",INDEX(machina!$A3:$FB3,MATCH(F$19&amp;$C$17,machina[#Headers],)))</f>
        <v>1887</v>
      </c>
      <c r="G20" s="287">
        <f>IF(INDEX(machina!$A3:$FB3,MATCH(G$19&amp;$C$17,machina[#Headers],))=""," ",INDEX(machina!$A3:$FB3,MATCH(G$19&amp;$C$17,machina[#Headers],)))</f>
        <v>21</v>
      </c>
      <c r="H20" s="287">
        <f>IF(INDEX(machina!$A3:$FB3,MATCH(H$19&amp;$C$17,machina[#Headers],))=""," ",INDEX(machina!$A3:$FB3,MATCH(H$19&amp;$C$17,machina[#Headers],)))</f>
        <v>20</v>
      </c>
      <c r="I20" s="287">
        <f>IF(INDEX(machina!$A3:$FB3,MATCH(I$19&amp;$C$17,machina[#Headers],))=""," ",INDEX(machina!$A3:$FB3,MATCH(I$19&amp;$C$17,machina[#Headers],)))</f>
        <v>60.5</v>
      </c>
      <c r="J20" s="287">
        <f>IF(INDEX(machina!$A3:$FB3,MATCH(J$19&amp;$C$17,machina[#Headers],))=""," ",INDEX(machina!$A3:$FB3,MATCH(J$19&amp;$C$17,machina[#Headers],)))</f>
        <v>5</v>
      </c>
      <c r="K20" s="287">
        <f>IF(INDEX(machina!$A3:$FB3,MATCH(K$19&amp;$C$17,machina[#Headers],))=""," ",INDEX(machina!$A3:$FB3,MATCH(K$19&amp;$C$17,machina[#Headers],)))</f>
        <v>1</v>
      </c>
      <c r="L20" s="287">
        <f>IF(INDEX(machina!$A3:$FB3,MATCH(L$19&amp;$C$17,machina[#Headers],))=""," ",INDEX(machina!$A3:$FB3,MATCH(L$19&amp;$C$17,machina[#Headers],)))</f>
        <v>20</v>
      </c>
      <c r="M20" s="287">
        <f>IF(INDEX(machina!$A3:$FB3,MATCH(M$19&amp;$C$17,machina[#Headers],))=""," ",INDEX(machina!$A3:$FB3,MATCH(M$19&amp;$C$17,machina[#Headers],)))</f>
        <v>-16</v>
      </c>
      <c r="N20" s="287">
        <f>IF(INDEX(machina!$A3:$FB3,MATCH(N$19&amp;$C$17,machina[#Headers],))=""," ",INDEX(machina!$A3:$FB3,MATCH(N$19&amp;$C$17,machina[#Headers],)))</f>
        <v>4</v>
      </c>
      <c r="O20" s="287">
        <f>IF(INDEX(machina!$A3:$FB3,MATCH(O$19&amp;$C$17,machina[#Headers],))=""," ",INDEX(machina!$A3:$FB3,MATCH(O$19&amp;$C$17,machina[#Headers],)))</f>
        <v>80</v>
      </c>
      <c r="P20" s="287">
        <f>IF(INDEX(machina!$A3:$FB3,MATCH(P$19&amp;$C$17,machina[#Headers],))=""," ",INDEX(machina!$A3:$FB3,MATCH(P$19&amp;$C$17,machina[#Headers],)))</f>
        <v>0</v>
      </c>
      <c r="Q20" s="287">
        <f>IF(INDEX(machina!$A3:$FB3,MATCH(Q$19&amp;$C$17,machina[#Headers],))=""," ",INDEX(machina!$A3:$FB3,MATCH(Q$19&amp;$C$17,machina[#Headers],)))</f>
        <v>0</v>
      </c>
      <c r="R20" s="287">
        <f>IF(INDEX(machina!$A3:$FB3,MATCH(R$19&amp;$C$17,machina[#Headers],))=""," ",INDEX(machina!$A3:$FB3,MATCH(R$19&amp;$C$17,machina[#Headers],)))</f>
        <v>0</v>
      </c>
      <c r="S20" s="287">
        <f>IF(INDEX(machina!$A3:$FB3,MATCH(S$19&amp;$C$17,machina[#Headers],))=""," ",INDEX(machina!$A3:$FB3,MATCH(S$19&amp;$C$17,machina[#Headers],)))</f>
        <v>0</v>
      </c>
      <c r="T20" s="287">
        <f>IF(INDEX(machina!$A3:$FB3,MATCH(T$19&amp;$C$17,machina[#Headers],))=""," ",INDEX(machina!$A3:$FB3,MATCH(T$19&amp;$C$17,machina[#Headers],)))</f>
        <v>0</v>
      </c>
      <c r="U20" s="287">
        <f>IF(INDEX(machina!$A3:$FB3,MATCH(U$19&amp;$C$17,machina[#Headers],))=""," ",INDEX(machina!$A3:$FB3,MATCH(U$19&amp;$C$17,machina[#Headers],)))</f>
        <v>0</v>
      </c>
      <c r="V20" s="287">
        <f>IF(INDEX(machina!$A3:$FB3,MATCH(V$19&amp;$C$17,machina[#Headers],))=""," ",INDEX(machina!$A3:$FB3,MATCH(V$19&amp;$C$17,machina[#Headers],)))</f>
        <v>0</v>
      </c>
      <c r="W20" s="287">
        <f>IF(INDEX(machina!$A3:$FB3,MATCH(W$19&amp;$C$17,machina[#Headers],))=""," ",INDEX(machina!$A3:$FB3,MATCH(W$19&amp;$C$17,machina[#Headers],)))</f>
        <v>0</v>
      </c>
      <c r="X20" s="287">
        <f>IF(INDEX(machina!$A3:$FB3,MATCH(X$19&amp;$C$17,machina[#Headers],))=""," ",INDEX(machina!$A3:$FB3,MATCH(X$19&amp;$C$17,machina[#Headers],)))</f>
        <v>0</v>
      </c>
      <c r="Y20" s="287">
        <f>IF(INDEX(machina!$A3:$FB3,MATCH(Y$19&amp;$C$17,machina[#Headers],))=""," ",INDEX(machina!$A3:$FB3,MATCH(Y$19&amp;$C$17,machina[#Headers],)))</f>
        <v>0</v>
      </c>
      <c r="Z20" s="287">
        <f>IF(INDEX(machina!$A3:$FB3,MATCH(Z$19&amp;$C$17,machina[#Headers],))=""," ",INDEX(machina!$A3:$FB3,MATCH(Z$19&amp;$C$17,machina[#Headers],)))</f>
        <v>0</v>
      </c>
      <c r="AA20" s="287">
        <f>IF(INDEX(machina!$A3:$FB3,MATCH(AA$19&amp;$C$17,machina[#Headers],))=""," ",INDEX(machina!$A3:$FB3,MATCH(AA$19&amp;$C$17,machina[#Headers],)))</f>
        <v>0</v>
      </c>
      <c r="AB20" s="287">
        <f>IF(INDEX(machina!$A3:$FB3,MATCH(AB$19&amp;$C$17,machina[#Headers],))=""," ",INDEX(machina!$A3:$FB3,MATCH(AB$19&amp;$C$17,machina[#Headers],)))</f>
        <v>10</v>
      </c>
      <c r="AC20" s="287">
        <f>IF(INDEX(machina!$A3:$FB3,MATCH(AC$19&amp;$C$17,machina[#Headers],))=""," ",INDEX(machina!$A3:$FB3,MATCH(AC$19&amp;$C$17,machina[#Headers],)))</f>
        <v>2</v>
      </c>
      <c r="AD20" s="287">
        <f>IF(INDEX(machina!$A3:$FB3,MATCH(AD$19&amp;$C$17,machina[#Headers],))=""," ",INDEX(machina!$A3:$FB3,MATCH(AD$19&amp;$C$17,machina[#Headers],)))</f>
        <v>20</v>
      </c>
      <c r="AE20" s="287">
        <f>IF(INDEX(machina!$A3:$FB3,MATCH(AE$19&amp;$C$17,machina[#Headers],))=""," ",INDEX(machina!$A3:$FB3,MATCH(AE$19&amp;$C$17,machina[#Headers],)))</f>
        <v>52</v>
      </c>
      <c r="AF20" s="287">
        <f>IF(INDEX(machina!$A3:$FB3,MATCH(AF$19&amp;$C$17,machina[#Headers],))=""," ",INDEX(machina!$A3:$FB3,MATCH(AF$19&amp;$C$17,machina[#Headers],)))</f>
        <v>5</v>
      </c>
      <c r="AG20" s="287">
        <f>IF(INDEX(machina!$A3:$FB3,MATCH(AG$19&amp;$C$17,machina[#Headers],))=""," ",INDEX(machina!$A3:$FB3,MATCH(AG$19&amp;$C$17,machina[#Headers],)))</f>
        <v>50</v>
      </c>
      <c r="AH20" s="287">
        <f>IF(INDEX(machina!$A3:$FB3,MATCH(AH$19&amp;$C$17,machina[#Headers],))=""," ",INDEX(machina!$A3:$FB3,MATCH(AH$19&amp;$C$17,machina[#Headers],)))</f>
        <v>2328</v>
      </c>
      <c r="AI20" s="287">
        <f>IF(INDEX(machina!$A3:$FB3,MATCH(AI$19&amp;$C$17,machina[#Headers],))=""," ",INDEX(machina!$A3:$FB3,MATCH(AI$19&amp;$C$17,machina[#Headers],)))</f>
        <v>100</v>
      </c>
      <c r="AJ20" s="287">
        <f>IF(INDEX(machina!$A3:$FB3,MATCH(AJ$19&amp;$C$17,machina[#Headers],))=""," ",INDEX(machina!$A3:$FB3,MATCH(AJ$19&amp;$C$17,machina[#Headers],)))</f>
        <v>11</v>
      </c>
      <c r="AK20" s="287">
        <f>IF(INDEX(machina!$A3:$FB3,MATCH(AK$19&amp;$C$17,machina[#Headers],))=""," ",INDEX(machina!$A3:$FB3,MATCH(AK$19&amp;$C$17,machina[#Headers],)))</f>
        <v>11</v>
      </c>
      <c r="AL20" s="287">
        <f>IF(INDEX(machina!$A3:$FB3,MATCH(AL$19&amp;$C$17,machina[#Headers],))=""," ",INDEX(machina!$A3:$FB3,MATCH(AL$19&amp;$C$17,machina[#Headers],)))</f>
        <v>-7</v>
      </c>
      <c r="AM20" s="287">
        <f>IF(INDEX(machina!$A3:$FB3,MATCH(AM$19&amp;$C$17,machina[#Headers],))=""," ",INDEX(machina!$A3:$FB3,MATCH(AM$19&amp;$C$17,machina[#Headers],)))</f>
        <v>30</v>
      </c>
      <c r="AN20" s="287">
        <f>IF(INDEX(machina!$A3:$FB3,MATCH(AN$19&amp;$C$17,machina[#Headers],))=""," ",INDEX(machina!$A3:$FB3,MATCH(AN$19&amp;$C$17,machina[#Headers],)))</f>
        <v>30</v>
      </c>
      <c r="AO20" s="287">
        <f>IF(INDEX(machina!$A3:$FB3,MATCH(AO$19&amp;$C$17,machina[#Headers],))=""," ",INDEX(machina!$A3:$FB3,MATCH(AO$19&amp;$C$17,machina[#Headers],)))</f>
        <v>2973</v>
      </c>
      <c r="AP20" s="287">
        <f>IF(INDEX(machina!$A3:$FB3,MATCH(AP$19&amp;$C$17,machina[#Headers],))=""," ",INDEX(machina!$A3:$FB3,MATCH(AP$19&amp;$C$17,machina[#Headers],)))</f>
        <v>277</v>
      </c>
      <c r="AQ20" s="287">
        <f>IF(INDEX(machina!$A3:$FB3,MATCH(AQ$19&amp;$C$17,machina[#Headers],))=""," ",INDEX(machina!$A3:$FB3,MATCH(AQ$19&amp;$C$17,machina[#Headers],)))</f>
        <v>30</v>
      </c>
      <c r="AR20" s="287">
        <f>IF(INDEX(machina!$A3:$FB3,MATCH(AR$19&amp;$C$17,machina[#Headers],))=""," ",INDEX(machina!$A3:$FB3,MATCH(AR$19&amp;$C$17,machina[#Headers],)))</f>
        <v>10.83</v>
      </c>
      <c r="AS20" s="287">
        <f>IF(INDEX(machina!$A3:$FB3,MATCH(AS$19&amp;$C$17,machina[#Headers],))=""," ",INDEX(machina!$A3:$FB3,MATCH(AS$19&amp;$C$17,machina[#Headers],)))</f>
        <v>-28</v>
      </c>
      <c r="AT20" s="287">
        <f>IF(INDEX(machina!$A3:$FB3,MATCH(AT$19&amp;$C$17,machina[#Headers],))=""," ",INDEX(machina!$A3:$FB3,MATCH(AT$19&amp;$C$17,machina[#Headers],)))</f>
        <v>88</v>
      </c>
      <c r="AU20" s="287">
        <f>IF(INDEX(machina!$A3:$FB3,MATCH(AU$19&amp;$C$17,machina[#Headers],))=""," ",INDEX(machina!$A3:$FB3,MATCH(AU$19&amp;$C$17,machina[#Headers],)))</f>
        <v>31.77</v>
      </c>
      <c r="AV20" s="287">
        <f>IF(INDEX(machina!$A3:$FB3,MATCH(AV$19&amp;$C$17,machina[#Headers],))=""," ",INDEX(machina!$A3:$FB3,MATCH(AV$19&amp;$C$17,machina[#Headers],)))</f>
        <v>2973</v>
      </c>
      <c r="AW20" s="287">
        <f>IF(INDEX(machina!$A3:$FB3,MATCH(AW$19&amp;$C$17,machina[#Headers],))=""," ",INDEX(machina!$A3:$FB3,MATCH(AW$19&amp;$C$17,machina[#Headers],)))</f>
        <v>277</v>
      </c>
      <c r="AX20" s="287">
        <f>IF(INDEX(machina!$A3:$FB3,MATCH(AX$19&amp;$C$17,machina[#Headers],))=""," ",INDEX(machina!$A3:$FB3,MATCH(AX$19&amp;$C$17,machina[#Headers],)))</f>
        <v>30</v>
      </c>
      <c r="AY20" s="287">
        <f>IF(INDEX(machina!$A3:$FB3,MATCH(AY$19&amp;$C$17,machina[#Headers],))=""," ",INDEX(machina!$A3:$FB3,MATCH(AY$19&amp;$C$17,machina[#Headers],)))</f>
        <v>10.83</v>
      </c>
      <c r="AZ20" s="287">
        <f>IF(INDEX(machina!$A3:$FB3,MATCH(AZ$19&amp;$C$17,machina[#Headers],))=""," ",INDEX(machina!$A3:$FB3,MATCH(AZ$19&amp;$C$17,machina[#Headers],)))</f>
        <v>-28</v>
      </c>
      <c r="BA20" s="287">
        <f>IF(INDEX(machina!$A3:$FB3,MATCH(BA$19&amp;$C$17,machina[#Headers],))=""," ",INDEX(machina!$A3:$FB3,MATCH(BA$19&amp;$C$17,machina[#Headers],)))</f>
        <v>88</v>
      </c>
      <c r="BB20" s="287">
        <f>IF(INDEX(machina!$A3:$FB3,MATCH(BB$19&amp;$C$17,machina[#Headers],))=""," ",INDEX(machina!$A3:$FB3,MATCH(BB$19&amp;$C$17,machina[#Headers],)))</f>
        <v>31.77</v>
      </c>
      <c r="BC20" s="287">
        <f>IF(INDEX(machina!$A3:$FB3,MATCH(BC$19&amp;$C$17,machina[#Headers],))=""," ",INDEX(machina!$A3:$FB3,MATCH(BC$19&amp;$C$17,machina[#Headers],)))</f>
        <v>1258</v>
      </c>
      <c r="BD20" s="287">
        <f>IF(INDEX(machina!$A3:$FB3,MATCH(BD$19&amp;$C$17,machina[#Headers],))=""," ",INDEX(machina!$A3:$FB3,MATCH(BD$19&amp;$C$17,machina[#Headers],)))</f>
        <v>11</v>
      </c>
      <c r="BE20" s="287">
        <f>IF(INDEX(machina!$A3:$FB3,MATCH(BE$19&amp;$C$17,machina[#Headers],))=""," ",INDEX(machina!$A3:$FB3,MATCH(BE$19&amp;$C$17,machina[#Headers],)))</f>
        <v>11</v>
      </c>
      <c r="BF20" s="287">
        <f>IF(INDEX(machina!$A3:$FB3,MATCH(BF$19&amp;$C$17,machina[#Headers],))=""," ",INDEX(machina!$A3:$FB3,MATCH(BF$19&amp;$C$17,machina[#Headers],)))</f>
        <v>-17</v>
      </c>
      <c r="BG20" s="287">
        <f>IF(INDEX(machina!$A3:$FB3,MATCH(BG$19&amp;$C$17,machina[#Headers],))=""," ",INDEX(machina!$A3:$FB3,MATCH(BG$19&amp;$C$17,machina[#Headers],)))</f>
        <v>29</v>
      </c>
      <c r="BH20" s="287">
        <f>IF(INDEX(machina!$A3:$FB3,MATCH(BH$19&amp;$C$17,machina[#Headers],))=""," ",INDEX(machina!$A3:$FB3,MATCH(BH$19&amp;$C$17,machina[#Headers],)))</f>
        <v>29</v>
      </c>
      <c r="BI20" s="287">
        <f>IF(INDEX(machina!$A3:$FB3,MATCH(BI$19&amp;$C$17,machina[#Headers],))=""," ",INDEX(machina!$A3:$FB3,MATCH(BI$19&amp;$C$17,machina[#Headers],)))</f>
        <v>1078</v>
      </c>
      <c r="BJ20" s="287">
        <f>IF(INDEX(machina!$A3:$FB3,MATCH(BJ$19&amp;$C$17,machina[#Headers],))=""," ",INDEX(machina!$A3:$FB3,MATCH(BJ$19&amp;$C$17,machina[#Headers],)))</f>
        <v>79</v>
      </c>
      <c r="BK20" s="287">
        <f>IF(INDEX(machina!$A3:$FB3,MATCH(BK$19&amp;$C$17,machina[#Headers],))=""," ",INDEX(machina!$A3:$FB3,MATCH(BK$19&amp;$C$17,machina[#Headers],)))</f>
        <v>9</v>
      </c>
      <c r="BL20" s="287">
        <f>IF(INDEX(machina!$A3:$FB3,MATCH(BL$19&amp;$C$17,machina[#Headers],))=""," ",INDEX(machina!$A3:$FB3,MATCH(BL$19&amp;$C$17,machina[#Headers],)))</f>
        <v>11.39</v>
      </c>
      <c r="BM20" s="287">
        <f>IF(INDEX(machina!$A3:$FB3,MATCH(BM$19&amp;$C$17,machina[#Headers],))=""," ",INDEX(machina!$A3:$FB3,MATCH(BM$19&amp;$C$17,machina[#Headers],)))</f>
        <v>-22</v>
      </c>
      <c r="BN20" s="287">
        <f>IF(INDEX(machina!$A3:$FB3,MATCH(BN$19&amp;$C$17,machina[#Headers],))=""," ",INDEX(machina!$A3:$FB3,MATCH(BN$19&amp;$C$17,machina[#Headers],)))</f>
        <v>21</v>
      </c>
      <c r="BO20" s="287">
        <f>IF(INDEX(machina!$A3:$FB3,MATCH(BO$19&amp;$C$17,machina[#Headers],))=""," ",INDEX(machina!$A3:$FB3,MATCH(BO$19&amp;$C$17,machina[#Headers],)))</f>
        <v>26.58</v>
      </c>
      <c r="BP20" s="287">
        <f>IF(INDEX(machina!$A3:$FB3,MATCH(BP$19&amp;$C$17,machina[#Headers],))=""," ",INDEX(machina!$A3:$FB3,MATCH(BP$19&amp;$C$17,machina[#Headers],)))</f>
        <v>1164</v>
      </c>
      <c r="BQ20" s="287">
        <f>IF(INDEX(machina!$A3:$FB3,MATCH(BQ$19&amp;$C$17,machina[#Headers],))=""," ",INDEX(machina!$A3:$FB3,MATCH(BQ$19&amp;$C$17,machina[#Headers],)))</f>
        <v>69</v>
      </c>
      <c r="BR20" s="287">
        <f>IF(INDEX(machina!$A3:$FB3,MATCH(BR$19&amp;$C$17,machina[#Headers],))=""," ",INDEX(machina!$A3:$FB3,MATCH(BR$19&amp;$C$17,machina[#Headers],)))</f>
        <v>9</v>
      </c>
      <c r="BS20" s="287">
        <f>IF(INDEX(machina!$A3:$FB3,MATCH(BS$19&amp;$C$17,machina[#Headers],))=""," ",INDEX(machina!$A3:$FB3,MATCH(BS$19&amp;$C$17,machina[#Headers],)))</f>
        <v>13.04</v>
      </c>
      <c r="BT20" s="287">
        <f>IF(INDEX(machina!$A3:$FB3,MATCH(BT$19&amp;$C$17,machina[#Headers],))=""," ",INDEX(machina!$A3:$FB3,MATCH(BT$19&amp;$C$17,machina[#Headers],)))</f>
        <v>-11</v>
      </c>
      <c r="BU20" s="287">
        <f>IF(INDEX(machina!$A3:$FB3,MATCH(BU$19&amp;$C$17,machina[#Headers],))=""," ",INDEX(machina!$A3:$FB3,MATCH(BU$19&amp;$C$17,machina[#Headers],)))</f>
        <v>18</v>
      </c>
      <c r="BV20" s="287">
        <f>IF(INDEX(machina!$A3:$FB3,MATCH(BV$19&amp;$C$17,machina[#Headers],))=""," ",INDEX(machina!$A3:$FB3,MATCH(BV$19&amp;$C$17,machina[#Headers],)))</f>
        <v>26.09</v>
      </c>
      <c r="BW20" s="287">
        <f>IF(INDEX(machina!$A3:$FB3,MATCH(BW$19&amp;$C$17,machina[#Headers],))=""," ",INDEX(machina!$A3:$FB3,MATCH(BW$19&amp;$C$17,machina[#Headers],)))</f>
        <v>2</v>
      </c>
      <c r="BX20" s="287">
        <f>IF(INDEX(machina!$A3:$FB3,MATCH(BX$19&amp;$C$17,machina[#Headers],))=""," ",INDEX(machina!$A3:$FB3,MATCH(BX$19&amp;$C$17,machina[#Headers],)))</f>
        <v>1</v>
      </c>
      <c r="BY20" s="287">
        <f>IF(INDEX(machina!$A3:$FB3,MATCH(BY$19&amp;$C$17,machina[#Headers],))=""," ",INDEX(machina!$A3:$FB3,MATCH(BY$19&amp;$C$17,machina[#Headers],)))</f>
        <v>330</v>
      </c>
      <c r="BZ20" s="287">
        <f>IF(INDEX(machina!$A3:$FB3,MATCH(BZ$19&amp;$C$17,machina[#Headers],))=""," ",INDEX(machina!$A3:$FB3,MATCH(BZ$19&amp;$C$17,machina[#Headers],)))</f>
        <v>20000</v>
      </c>
      <c r="CA20" s="287">
        <f>IF(INDEX(machina!$A3:$FB3,MATCH(CA$19&amp;$C$17,machina[#Headers],))=""," ",INDEX(machina!$A3:$FB3,MATCH(CA$19&amp;$C$17,machina[#Headers],)))</f>
        <v>12321</v>
      </c>
      <c r="CB20" s="288">
        <f>IF(INDEX('Raw Data'!$A3:$EA3,MATCH(CB$19,RawData[#Headers],))=""," ",INDEX('Raw Data'!$A3:$EA3,MATCH(CB$19,RawData[#Headers],)))</f>
        <v>4</v>
      </c>
      <c r="CD20" s="298">
        <f t="shared" ref="CD20:CD28" si="36">IFERROR(INDEX($B20:$CA20,MATCH($CD$19,$B$19:$CA$19,0))," ")</f>
        <v>21</v>
      </c>
      <c r="CE20" s="298">
        <f>IF(CD20=" ","",CD20-$CE$15)</f>
        <v>8.4562500000000007</v>
      </c>
      <c r="CF20" s="298">
        <f>INDEX($CM$50:$CM$75,MATCH(A50,$A$50:$A$75,0))</f>
        <v>1</v>
      </c>
      <c r="CG20" s="298">
        <f>IF(CE20=""," ",INDEX($CU$9:$CU$12,MATCH(CF20,analysis[CLUSTER],0)))</f>
        <v>4</v>
      </c>
      <c r="CH20" s="298">
        <f>IF(CL20=""," ",RANK(CL20,$CL$20:$CL$45,1))</f>
        <v>6</v>
      </c>
      <c r="CI20" s="298">
        <f>IF($DD$18=$DG$15,$DG20,$DL20)</f>
        <v>6</v>
      </c>
      <c r="CJ20" s="297" t="s">
        <v>565</v>
      </c>
      <c r="CK20" s="298">
        <f>ROUND(AVERAGE($CL$20:$CL$45),0)</f>
        <v>4</v>
      </c>
      <c r="CL20" s="298">
        <f>IF(CD20=" ","",RANK(CD20,$CD$20:$CD$45,$CE$18))</f>
        <v>6</v>
      </c>
      <c r="CM20" s="295" t="s">
        <v>51</v>
      </c>
      <c r="CN20" s="326">
        <f t="shared" ref="CN20:CN25" si="37">INDEX($A$1:$CA$1,MATCH(CM20,$A$2:$CA$2,0))</f>
        <v>7</v>
      </c>
      <c r="CO20" s="324">
        <f>SKEW(CL20:CL44)</f>
        <v>2.9795409970404502E-2</v>
      </c>
      <c r="CP20" s="324" t="str">
        <f>IF(CO20&lt;-0.1,"-SKEW",IF(AND(CO20&gt;-0.1,CO20&lt;0.2),"@SKEW","+SKEW"))</f>
        <v>@SKEW</v>
      </c>
      <c r="CQ20" s="315">
        <f t="shared" ref="CQ20:CQ45" si="38">IF($CB20=1,$CB20,IF($CB20=2,$CB20,IF($CB20=3,$CB20,IF($CB20=4,$CB20,""))))</f>
        <v>4</v>
      </c>
      <c r="CR20" s="333">
        <f>IF($CF20=$CR$19,$CH20," ")</f>
        <v>6</v>
      </c>
      <c r="CS20" s="333" t="str">
        <f>IF($CF20=$CS$19,$CH20," ")</f>
        <v xml:space="preserve"> </v>
      </c>
      <c r="CT20" s="333" t="str">
        <f>IF($CF20=$CT$19,$CH20," ")</f>
        <v xml:space="preserve"> </v>
      </c>
      <c r="CU20" s="333" t="str">
        <f>IF($CF20=$CU$19,$CH20," ")</f>
        <v xml:space="preserve"> </v>
      </c>
      <c r="CV20" s="326"/>
      <c r="CW20" s="315">
        <f>IF($CB20=1,$CB20,IF($CB20=2,$CB20,IF($CB20=3,$CB20,IF($CB20=4,$CB20,""))))</f>
        <v>4</v>
      </c>
      <c r="CX20" s="333" t="str">
        <f>IF($CH20&lt;=CX$19,$CH20," ")</f>
        <v xml:space="preserve"> </v>
      </c>
      <c r="CY20" s="333" t="str">
        <f>IF(AND($CH20&gt;CX$19,$CH20&lt;=CY$19),$CH20," ")</f>
        <v xml:space="preserve"> </v>
      </c>
      <c r="CZ20" s="333">
        <f t="shared" ref="CZ20:DA20" si="39">IF(AND($CH20&gt;CY$19,$CH20&lt;=CZ$19),$CH20," ")</f>
        <v>6</v>
      </c>
      <c r="DA20" s="333" t="str">
        <f t="shared" si="39"/>
        <v xml:space="preserve"> </v>
      </c>
      <c r="DB20" s="326">
        <v>1</v>
      </c>
      <c r="DC20" s="337" t="str">
        <f>IF(AND(CX20&lt;=$CK$20,CX$13&lt;=3),CX20," ")</f>
        <v xml:space="preserve"> </v>
      </c>
      <c r="DD20" s="337" t="str">
        <f t="shared" ref="DD20:DF20" si="40">IF(AND(CY20&lt;=$CK$20,CY$13&lt;=3),CY20," ")</f>
        <v xml:space="preserve"> </v>
      </c>
      <c r="DE20" s="337" t="str">
        <f t="shared" si="40"/>
        <v xml:space="preserve"> </v>
      </c>
      <c r="DF20" s="337" t="str">
        <f t="shared" si="40"/>
        <v xml:space="preserve"> </v>
      </c>
      <c r="DG20" s="344" t="str">
        <f>IF(SUM(DC20:DF20)&gt;0,SUM(DC20:DF20)," ")</f>
        <v xml:space="preserve"> </v>
      </c>
      <c r="DH20" s="337" t="str">
        <f>IF(CX20&lt;=$CK$24,CX20,IF(CX20&gt;=$CK$35,CX20," "))</f>
        <v xml:space="preserve"> </v>
      </c>
      <c r="DI20" s="337" t="str">
        <f t="shared" ref="DI20:DK35" si="41">IF(CY20&lt;=$CK$24,CY20,IF(CY20&gt;=$CK$35,CY20," "))</f>
        <v xml:space="preserve"> </v>
      </c>
      <c r="DJ20" s="337">
        <f t="shared" si="41"/>
        <v>6</v>
      </c>
      <c r="DK20" s="337" t="str">
        <f t="shared" si="41"/>
        <v xml:space="preserve"> </v>
      </c>
      <c r="DL20" s="344">
        <f>IF(AND(SUM(DH20:DK20)&gt;0),SUM(DH20:DK20)," ")</f>
        <v>6</v>
      </c>
      <c r="DN20" s="292" t="str">
        <f>IFERROR(VLOOKUP($A20,'Raw Data'!$A$3:$EV$32,152,FALSE)," ")</f>
        <v xml:space="preserve"> </v>
      </c>
    </row>
    <row r="21" spans="1:118" ht="15" thickBot="1" x14ac:dyDescent="0.35">
      <c r="A21" s="255">
        <f>'Raw Data'!A4</f>
        <v>2</v>
      </c>
      <c r="B21" s="287">
        <f>IF(INDEX(machina!$A4:$FB4,MATCH(B$19&amp;$C$17,machina[#Headers],))=""," ",INDEX(machina!$A4:$FB4,MATCH(B$19&amp;$C$17,machina[#Headers],)))</f>
        <v>13.79</v>
      </c>
      <c r="C21" s="287">
        <f>IF(INDEX(machina!$A4:$FB4,MATCH(C$19&amp;$C$17,machina[#Headers],))=""," ",INDEX(machina!$A4:$FB4,MATCH(C$19&amp;$C$17,machina[#Headers],)))</f>
        <v>-32</v>
      </c>
      <c r="D21" s="287">
        <f>IF(INDEX(machina!$A4:$FB4,MATCH(D$19&amp;$C$17,machina[#Headers],))=""," ",INDEX(machina!$A4:$FB4,MATCH(D$19&amp;$C$17,machina[#Headers],)))</f>
        <v>27</v>
      </c>
      <c r="E21" s="287">
        <f>IF(INDEX(machina!$A4:$FB4,MATCH(E$19&amp;$C$17,machina[#Headers],))=""," ",INDEX(machina!$A4:$FB4,MATCH(E$19&amp;$C$17,machina[#Headers],)))</f>
        <v>46.55</v>
      </c>
      <c r="F21" s="287">
        <f>IF(INDEX(machina!$A4:$FB4,MATCH(F$19&amp;$C$17,machina[#Headers],))=""," ",INDEX(machina!$A4:$FB4,MATCH(F$19&amp;$C$17,machina[#Headers],)))</f>
        <v>2721</v>
      </c>
      <c r="G21" s="287">
        <f>IF(INDEX(machina!$A4:$FB4,MATCH(G$19&amp;$C$17,machina[#Headers],))=""," ",INDEX(machina!$A4:$FB4,MATCH(G$19&amp;$C$17,machina[#Headers],)))</f>
        <v>3.25</v>
      </c>
      <c r="H21" s="287">
        <f>IF(INDEX(machina!$A4:$FB4,MATCH(H$19&amp;$C$17,machina[#Headers],))=""," ",INDEX(machina!$A4:$FB4,MATCH(H$19&amp;$C$17,machina[#Headers],)))</f>
        <v>3.1</v>
      </c>
      <c r="I21" s="287">
        <f>IF(INDEX(machina!$A4:$FB4,MATCH(I$19&amp;$C$17,machina[#Headers],))=""," ",INDEX(machina!$A4:$FB4,MATCH(I$19&amp;$C$17,machina[#Headers],)))</f>
        <v>59.5</v>
      </c>
      <c r="J21" s="287">
        <f>IF(INDEX(machina!$A4:$FB4,MATCH(J$19&amp;$C$17,machina[#Headers],))=""," ",INDEX(machina!$A4:$FB4,MATCH(J$19&amp;$C$17,machina[#Headers],)))</f>
        <v>24</v>
      </c>
      <c r="K21" s="287">
        <f>IF(INDEX(machina!$A4:$FB4,MATCH(K$19&amp;$C$17,machina[#Headers],))=""," ",INDEX(machina!$A4:$FB4,MATCH(K$19&amp;$C$17,machina[#Headers],)))</f>
        <v>4</v>
      </c>
      <c r="L21" s="287">
        <f>IF(INDEX(machina!$A4:$FB4,MATCH(L$19&amp;$C$17,machina[#Headers],))=""," ",INDEX(machina!$A4:$FB4,MATCH(L$19&amp;$C$17,machina[#Headers],)))</f>
        <v>16.670000000000002</v>
      </c>
      <c r="M21" s="287">
        <f>IF(INDEX(machina!$A4:$FB4,MATCH(M$19&amp;$C$17,machina[#Headers],))=""," ",INDEX(machina!$A4:$FB4,MATCH(M$19&amp;$C$17,machina[#Headers],)))</f>
        <v>-5</v>
      </c>
      <c r="N21" s="287">
        <f>IF(INDEX(machina!$A4:$FB4,MATCH(N$19&amp;$C$17,machina[#Headers],))=""," ",INDEX(machina!$A4:$FB4,MATCH(N$19&amp;$C$17,machina[#Headers],)))</f>
        <v>13</v>
      </c>
      <c r="O21" s="287">
        <f>IF(INDEX(machina!$A4:$FB4,MATCH(O$19&amp;$C$17,machina[#Headers],))=""," ",INDEX(machina!$A4:$FB4,MATCH(O$19&amp;$C$17,machina[#Headers],)))</f>
        <v>54.17</v>
      </c>
      <c r="P21" s="287">
        <f>IF(INDEX(machina!$A4:$FB4,MATCH(P$19&amp;$C$17,machina[#Headers],))=""," ",INDEX(machina!$A4:$FB4,MATCH(P$19&amp;$C$17,machina[#Headers],)))</f>
        <v>2</v>
      </c>
      <c r="Q21" s="287">
        <f>IF(INDEX(machina!$A4:$FB4,MATCH(Q$19&amp;$C$17,machina[#Headers],))=""," ",INDEX(machina!$A4:$FB4,MATCH(Q$19&amp;$C$17,machina[#Headers],)))</f>
        <v>0</v>
      </c>
      <c r="R21" s="287">
        <f>IF(INDEX(machina!$A4:$FB4,MATCH(R$19&amp;$C$17,machina[#Headers],))=""," ",INDEX(machina!$A4:$FB4,MATCH(R$19&amp;$C$17,machina[#Headers],)))</f>
        <v>0</v>
      </c>
      <c r="S21" s="287">
        <f>IF(INDEX(machina!$A4:$FB4,MATCH(S$19&amp;$C$17,machina[#Headers],))=""," ",INDEX(machina!$A4:$FB4,MATCH(S$19&amp;$C$17,machina[#Headers],)))</f>
        <v>-100</v>
      </c>
      <c r="T21" s="287">
        <f>IF(INDEX(machina!$A4:$FB4,MATCH(T$19&amp;$C$17,machina[#Headers],))=""," ",INDEX(machina!$A4:$FB4,MATCH(T$19&amp;$C$17,machina[#Headers],)))</f>
        <v>1</v>
      </c>
      <c r="U21" s="287">
        <f>IF(INDEX(machina!$A4:$FB4,MATCH(U$19&amp;$C$17,machina[#Headers],))=""," ",INDEX(machina!$A4:$FB4,MATCH(U$19&amp;$C$17,machina[#Headers],)))</f>
        <v>50</v>
      </c>
      <c r="V21" s="287">
        <f>IF(INDEX(machina!$A4:$FB4,MATCH(V$19&amp;$C$17,machina[#Headers],))=""," ",INDEX(machina!$A4:$FB4,MATCH(V$19&amp;$C$17,machina[#Headers],)))</f>
        <v>1</v>
      </c>
      <c r="W21" s="287">
        <f>IF(INDEX(machina!$A4:$FB4,MATCH(W$19&amp;$C$17,machina[#Headers],))=""," ",INDEX(machina!$A4:$FB4,MATCH(W$19&amp;$C$17,machina[#Headers],)))</f>
        <v>0</v>
      </c>
      <c r="X21" s="287">
        <f>IF(INDEX(machina!$A4:$FB4,MATCH(X$19&amp;$C$17,machina[#Headers],))=""," ",INDEX(machina!$A4:$FB4,MATCH(X$19&amp;$C$17,machina[#Headers],)))</f>
        <v>0</v>
      </c>
      <c r="Y21" s="287">
        <f>IF(INDEX(machina!$A4:$FB4,MATCH(Y$19&amp;$C$17,machina[#Headers],))=""," ",INDEX(machina!$A4:$FB4,MATCH(Y$19&amp;$C$17,machina[#Headers],)))</f>
        <v>-100</v>
      </c>
      <c r="Z21" s="287">
        <f>IF(INDEX(machina!$A4:$FB4,MATCH(Z$19&amp;$C$17,machina[#Headers],))=""," ",INDEX(machina!$A4:$FB4,MATCH(Z$19&amp;$C$17,machina[#Headers],)))</f>
        <v>0</v>
      </c>
      <c r="AA21" s="287">
        <f>IF(INDEX(machina!$A4:$FB4,MATCH(AA$19&amp;$C$17,machina[#Headers],))=""," ",INDEX(machina!$A4:$FB4,MATCH(AA$19&amp;$C$17,machina[#Headers],)))</f>
        <v>0</v>
      </c>
      <c r="AB21" s="287">
        <f>IF(INDEX(machina!$A4:$FB4,MATCH(AB$19&amp;$C$17,machina[#Headers],))=""," ",INDEX(machina!$A4:$FB4,MATCH(AB$19&amp;$C$17,machina[#Headers],)))</f>
        <v>13</v>
      </c>
      <c r="AC21" s="287">
        <f>IF(INDEX(machina!$A4:$FB4,MATCH(AC$19&amp;$C$17,machina[#Headers],))=""," ",INDEX(machina!$A4:$FB4,MATCH(AC$19&amp;$C$17,machina[#Headers],)))</f>
        <v>1</v>
      </c>
      <c r="AD21" s="287">
        <f>IF(INDEX(machina!$A4:$FB4,MATCH(AD$19&amp;$C$17,machina[#Headers],))=""," ",INDEX(machina!$A4:$FB4,MATCH(AD$19&amp;$C$17,machina[#Headers],)))</f>
        <v>7.69</v>
      </c>
      <c r="AE21" s="287">
        <f>IF(INDEX(machina!$A4:$FB4,MATCH(AE$19&amp;$C$17,machina[#Headers],))=""," ",INDEX(machina!$A4:$FB4,MATCH(AE$19&amp;$C$17,machina[#Headers],)))</f>
        <v>-54</v>
      </c>
      <c r="AF21" s="287">
        <f>IF(INDEX(machina!$A4:$FB4,MATCH(AF$19&amp;$C$17,machina[#Headers],))=""," ",INDEX(machina!$A4:$FB4,MATCH(AF$19&amp;$C$17,machina[#Headers],)))</f>
        <v>7</v>
      </c>
      <c r="AG21" s="287">
        <f>IF(INDEX(machina!$A4:$FB4,MATCH(AG$19&amp;$C$17,machina[#Headers],))=""," ",INDEX(machina!$A4:$FB4,MATCH(AG$19&amp;$C$17,machina[#Headers],)))</f>
        <v>53.85</v>
      </c>
      <c r="AH21" s="287">
        <f>IF(INDEX(machina!$A4:$FB4,MATCH(AH$19&amp;$C$17,machina[#Headers],))=""," ",INDEX(machina!$A4:$FB4,MATCH(AH$19&amp;$C$17,machina[#Headers],)))</f>
        <v>1538</v>
      </c>
      <c r="AI21" s="287">
        <f>IF(INDEX(machina!$A4:$FB4,MATCH(AI$19&amp;$C$17,machina[#Headers],))=""," ",INDEX(machina!$A4:$FB4,MATCH(AI$19&amp;$C$17,machina[#Headers],)))</f>
        <v>100</v>
      </c>
      <c r="AJ21" s="287">
        <f>IF(INDEX(machina!$A4:$FB4,MATCH(AJ$19&amp;$C$17,machina[#Headers],))=""," ",INDEX(machina!$A4:$FB4,MATCH(AJ$19&amp;$C$17,machina[#Headers],)))</f>
        <v>7</v>
      </c>
      <c r="AK21" s="287">
        <f>IF(INDEX(machina!$A4:$FB4,MATCH(AK$19&amp;$C$17,machina[#Headers],))=""," ",INDEX(machina!$A4:$FB4,MATCH(AK$19&amp;$C$17,machina[#Headers],)))</f>
        <v>7</v>
      </c>
      <c r="AL21" s="287">
        <f>IF(INDEX(machina!$A4:$FB4,MATCH(AL$19&amp;$C$17,machina[#Headers],))=""," ",INDEX(machina!$A4:$FB4,MATCH(AL$19&amp;$C$17,machina[#Headers],)))</f>
        <v>-55</v>
      </c>
      <c r="AM21" s="287">
        <f>IF(INDEX(machina!$A4:$FB4,MATCH(AM$19&amp;$C$17,machina[#Headers],))=""," ",INDEX(machina!$A4:$FB4,MATCH(AM$19&amp;$C$17,machina[#Headers],)))</f>
        <v>35</v>
      </c>
      <c r="AN21" s="287">
        <f>IF(INDEX(machina!$A4:$FB4,MATCH(AN$19&amp;$C$17,machina[#Headers],))=""," ",INDEX(machina!$A4:$FB4,MATCH(AN$19&amp;$C$17,machina[#Headers],)))</f>
        <v>35</v>
      </c>
      <c r="AO21" s="287">
        <f>IF(INDEX(machina!$A4:$FB4,MATCH(AO$19&amp;$C$17,machina[#Headers],))=""," ",INDEX(machina!$A4:$FB4,MATCH(AO$19&amp;$C$17,machina[#Headers],)))</f>
        <v>1360</v>
      </c>
      <c r="AP21" s="287">
        <f>IF(INDEX(machina!$A4:$FB4,MATCH(AP$19&amp;$C$17,machina[#Headers],))=""," ",INDEX(machina!$A4:$FB4,MATCH(AP$19&amp;$C$17,machina[#Headers],)))</f>
        <v>224</v>
      </c>
      <c r="AQ21" s="287">
        <f>IF(INDEX(machina!$A4:$FB4,MATCH(AQ$19&amp;$C$17,machina[#Headers],))=""," ",INDEX(machina!$A4:$FB4,MATCH(AQ$19&amp;$C$17,machina[#Headers],)))</f>
        <v>18</v>
      </c>
      <c r="AR21" s="287">
        <f>IF(INDEX(machina!$A4:$FB4,MATCH(AR$19&amp;$C$17,machina[#Headers],))=""," ",INDEX(machina!$A4:$FB4,MATCH(AR$19&amp;$C$17,machina[#Headers],)))</f>
        <v>8.0399999999999991</v>
      </c>
      <c r="AS21" s="287">
        <f>IF(INDEX(machina!$A4:$FB4,MATCH(AS$19&amp;$C$17,machina[#Headers],))=""," ",INDEX(machina!$A4:$FB4,MATCH(AS$19&amp;$C$17,machina[#Headers],)))</f>
        <v>-50</v>
      </c>
      <c r="AT21" s="287">
        <f>IF(INDEX(machina!$A4:$FB4,MATCH(AT$19&amp;$C$17,machina[#Headers],))=""," ",INDEX(machina!$A4:$FB4,MATCH(AT$19&amp;$C$17,machina[#Headers],)))</f>
        <v>72</v>
      </c>
      <c r="AU21" s="287">
        <f>IF(INDEX(machina!$A4:$FB4,MATCH(AU$19&amp;$C$17,machina[#Headers],))=""," ",INDEX(machina!$A4:$FB4,MATCH(AU$19&amp;$C$17,machina[#Headers],)))</f>
        <v>32.14</v>
      </c>
      <c r="AV21" s="287">
        <f>IF(INDEX(machina!$A4:$FB4,MATCH(AV$19&amp;$C$17,machina[#Headers],))=""," ",INDEX(machina!$A4:$FB4,MATCH(AV$19&amp;$C$17,machina[#Headers],)))</f>
        <v>1313</v>
      </c>
      <c r="AW21" s="287">
        <f>IF(INDEX(machina!$A4:$FB4,MATCH(AW$19&amp;$C$17,machina[#Headers],))=""," ",INDEX(machina!$A4:$FB4,MATCH(AW$19&amp;$C$17,machina[#Headers],)))</f>
        <v>186</v>
      </c>
      <c r="AX21" s="287">
        <f>IF(INDEX(machina!$A4:$FB4,MATCH(AX$19&amp;$C$17,machina[#Headers],))=""," ",INDEX(machina!$A4:$FB4,MATCH(AX$19&amp;$C$17,machina[#Headers],)))</f>
        <v>14</v>
      </c>
      <c r="AY21" s="287">
        <f>IF(INDEX(machina!$A4:$FB4,MATCH(AY$19&amp;$C$17,machina[#Headers],))=""," ",INDEX(machina!$A4:$FB4,MATCH(AY$19&amp;$C$17,machina[#Headers],)))</f>
        <v>7.53</v>
      </c>
      <c r="AZ21" s="287">
        <f>IF(INDEX(machina!$A4:$FB4,MATCH(AZ$19&amp;$C$17,machina[#Headers],))=""," ",INDEX(machina!$A4:$FB4,MATCH(AZ$19&amp;$C$17,machina[#Headers],)))</f>
        <v>-55</v>
      </c>
      <c r="BA21" s="287">
        <f>IF(INDEX(machina!$A4:$FB4,MATCH(BA$19&amp;$C$17,machina[#Headers],))=""," ",INDEX(machina!$A4:$FB4,MATCH(BA$19&amp;$C$17,machina[#Headers],)))</f>
        <v>58</v>
      </c>
      <c r="BB21" s="287">
        <f>IF(INDEX(machina!$A4:$FB4,MATCH(BB$19&amp;$C$17,machina[#Headers],))=""," ",INDEX(machina!$A4:$FB4,MATCH(BB$19&amp;$C$17,machina[#Headers],)))</f>
        <v>31.18</v>
      </c>
      <c r="BC21" s="287">
        <f>IF(INDEX(machina!$A4:$FB4,MATCH(BC$19&amp;$C$17,machina[#Headers],))=""," ",INDEX(machina!$A4:$FB4,MATCH(BC$19&amp;$C$17,machina[#Headers],)))</f>
        <v>4224</v>
      </c>
      <c r="BD21" s="287">
        <f>IF(INDEX(machina!$A4:$FB4,MATCH(BD$19&amp;$C$17,machina[#Headers],))=""," ",INDEX(machina!$A4:$FB4,MATCH(BD$19&amp;$C$17,machina[#Headers],)))</f>
        <v>11</v>
      </c>
      <c r="BE21" s="287">
        <f>IF(INDEX(machina!$A4:$FB4,MATCH(BE$19&amp;$C$17,machina[#Headers],))=""," ",INDEX(machina!$A4:$FB4,MATCH(BE$19&amp;$C$17,machina[#Headers],)))</f>
        <v>11</v>
      </c>
      <c r="BF21" s="287">
        <f>IF(INDEX(machina!$A4:$FB4,MATCH(BF$19&amp;$C$17,machina[#Headers],))=""," ",INDEX(machina!$A4:$FB4,MATCH(BF$19&amp;$C$17,machina[#Headers],)))</f>
        <v>-58</v>
      </c>
      <c r="BG21" s="287">
        <f>IF(INDEX(machina!$A4:$FB4,MATCH(BG$19&amp;$C$17,machina[#Headers],))=""," ",INDEX(machina!$A4:$FB4,MATCH(BG$19&amp;$C$17,machina[#Headers],)))</f>
        <v>41</v>
      </c>
      <c r="BH21" s="287">
        <f>IF(INDEX(machina!$A4:$FB4,MATCH(BH$19&amp;$C$17,machina[#Headers],))=""," ",INDEX(machina!$A4:$FB4,MATCH(BH$19&amp;$C$17,machina[#Headers],)))</f>
        <v>41</v>
      </c>
      <c r="BI21" s="287">
        <f>IF(INDEX(machina!$A4:$FB4,MATCH(BI$19&amp;$C$17,machina[#Headers],))=""," ",INDEX(machina!$A4:$FB4,MATCH(BI$19&amp;$C$17,machina[#Headers],)))</f>
        <v>3211</v>
      </c>
      <c r="BJ21" s="287">
        <f>IF(INDEX(machina!$A4:$FB4,MATCH(BJ$19&amp;$C$17,machina[#Headers],))=""," ",INDEX(machina!$A4:$FB4,MATCH(BJ$19&amp;$C$17,machina[#Headers],)))</f>
        <v>285</v>
      </c>
      <c r="BK21" s="287">
        <f>IF(INDEX(machina!$A4:$FB4,MATCH(BK$19&amp;$C$17,machina[#Headers],))=""," ",INDEX(machina!$A4:$FB4,MATCH(BK$19&amp;$C$17,machina[#Headers],)))</f>
        <v>41</v>
      </c>
      <c r="BL21" s="287">
        <f>IF(INDEX(machina!$A4:$FB4,MATCH(BL$19&amp;$C$17,machina[#Headers],))=""," ",INDEX(machina!$A4:$FB4,MATCH(BL$19&amp;$C$17,machina[#Headers],)))</f>
        <v>14.39</v>
      </c>
      <c r="BM21" s="287">
        <f>IF(INDEX(machina!$A4:$FB4,MATCH(BM$19&amp;$C$17,machina[#Headers],))=""," ",INDEX(machina!$A4:$FB4,MATCH(BM$19&amp;$C$17,machina[#Headers],)))</f>
        <v>-23</v>
      </c>
      <c r="BN21" s="287">
        <f>IF(INDEX(machina!$A4:$FB4,MATCH(BN$19&amp;$C$17,machina[#Headers],))=""," ",INDEX(machina!$A4:$FB4,MATCH(BN$19&amp;$C$17,machina[#Headers],)))</f>
        <v>111</v>
      </c>
      <c r="BO21" s="287">
        <f>IF(INDEX(machina!$A4:$FB4,MATCH(BO$19&amp;$C$17,machina[#Headers],))=""," ",INDEX(machina!$A4:$FB4,MATCH(BO$19&amp;$C$17,machina[#Headers],)))</f>
        <v>38.950000000000003</v>
      </c>
      <c r="BP21" s="287">
        <f>IF(INDEX(machina!$A4:$FB4,MATCH(BP$19&amp;$C$17,machina[#Headers],))=""," ",INDEX(machina!$A4:$FB4,MATCH(BP$19&amp;$C$17,machina[#Headers],)))</f>
        <v>3313</v>
      </c>
      <c r="BQ21" s="287">
        <f>IF(INDEX(machina!$A4:$FB4,MATCH(BQ$19&amp;$C$17,machina[#Headers],))=""," ",INDEX(machina!$A4:$FB4,MATCH(BQ$19&amp;$C$17,machina[#Headers],)))</f>
        <v>254</v>
      </c>
      <c r="BR21" s="287">
        <f>IF(INDEX(machina!$A4:$FB4,MATCH(BR$19&amp;$C$17,machina[#Headers],))=""," ",INDEX(machina!$A4:$FB4,MATCH(BR$19&amp;$C$17,machina[#Headers],)))</f>
        <v>36</v>
      </c>
      <c r="BS21" s="287">
        <f>IF(INDEX(machina!$A4:$FB4,MATCH(BS$19&amp;$C$17,machina[#Headers],))=""," ",INDEX(machina!$A4:$FB4,MATCH(BS$19&amp;$C$17,machina[#Headers],)))</f>
        <v>14.17</v>
      </c>
      <c r="BT21" s="287">
        <f>IF(INDEX(machina!$A4:$FB4,MATCH(BT$19&amp;$C$17,machina[#Headers],))=""," ",INDEX(machina!$A4:$FB4,MATCH(BT$19&amp;$C$17,machina[#Headers],)))</f>
        <v>-26</v>
      </c>
      <c r="BU21" s="287">
        <f>IF(INDEX(machina!$A4:$FB4,MATCH(BU$19&amp;$C$17,machina[#Headers],))=""," ",INDEX(machina!$A4:$FB4,MATCH(BU$19&amp;$C$17,machina[#Headers],)))</f>
        <v>99</v>
      </c>
      <c r="BV21" s="287">
        <f>IF(INDEX(machina!$A4:$FB4,MATCH(BV$19&amp;$C$17,machina[#Headers],))=""," ",INDEX(machina!$A4:$FB4,MATCH(BV$19&amp;$C$17,machina[#Headers],)))</f>
        <v>38.979999999999997</v>
      </c>
      <c r="BW21" s="287">
        <f>IF(INDEX(machina!$A4:$FB4,MATCH(BW$19&amp;$C$17,machina[#Headers],))=""," ",INDEX(machina!$A4:$FB4,MATCH(BW$19&amp;$C$17,machina[#Headers],)))</f>
        <v>6</v>
      </c>
      <c r="BX21" s="287">
        <f>IF(INDEX(machina!$A4:$FB4,MATCH(BX$19&amp;$C$17,machina[#Headers],))=""," ",INDEX(machina!$A4:$FB4,MATCH(BX$19&amp;$C$17,machina[#Headers],)))</f>
        <v>5.0999999999999996</v>
      </c>
      <c r="BY21" s="287">
        <f>IF(INDEX(machina!$A4:$FB4,MATCH(BY$19&amp;$C$17,machina[#Headers],))=""," ",INDEX(machina!$A4:$FB4,MATCH(BY$19&amp;$C$17,machina[#Headers],)))</f>
        <v>430</v>
      </c>
      <c r="BZ21" s="287" t="str">
        <f>IF(INDEX(machina!$A4:$FB4,MATCH(BZ$19&amp;$C$17,machina[#Headers],))=""," ",INDEX(machina!$A4:$FB4,MATCH(BZ$19&amp;$C$17,machina[#Headers],)))</f>
        <v xml:space="preserve"> </v>
      </c>
      <c r="CA21" s="287">
        <f>IF(INDEX(machina!$A4:$FB4,MATCH(CA$19&amp;$C$17,machina[#Headers],))=""," ",INDEX(machina!$A4:$FB4,MATCH(CA$19&amp;$C$17,machina[#Headers],)))</f>
        <v>21618.801111111112</v>
      </c>
      <c r="CB21" s="288">
        <f>IF(INDEX('Raw Data'!$A4:$EA4,MATCH(CB$19,RawData[#Headers],))=""," ",INDEX('Raw Data'!$A4:$EA4,MATCH(CB$19,RawData[#Headers],)))</f>
        <v>6</v>
      </c>
      <c r="CD21" s="299">
        <f t="shared" si="36"/>
        <v>3.25</v>
      </c>
      <c r="CE21" s="299">
        <f t="shared" ref="CE21:CE45" si="42">IF(CD21=" ","",CD21-$CE$15)</f>
        <v>-9.2937499999999993</v>
      </c>
      <c r="CF21" s="299">
        <f t="shared" ref="CF21:CF45" si="43">INDEX($CM$50:$CM$75,MATCH(A51,$A$50:$A$75,0))</f>
        <v>1</v>
      </c>
      <c r="CG21" s="299">
        <f>IF(CE21=""," ",INDEX($CU$9:$CU$12,MATCH(CF21,analysis[CLUSTER],0)))</f>
        <v>4</v>
      </c>
      <c r="CH21" s="299">
        <f t="shared" ref="CH21:CH45" si="44">IF(CL21=""," ",RANK(CL21,$CL$20:$CL$45,1))</f>
        <v>2</v>
      </c>
      <c r="CI21" s="298">
        <f t="shared" ref="CI21:CI45" si="45">IF($DD$18=$DG$15,$DG21,$DL21)</f>
        <v>2</v>
      </c>
      <c r="CJ21" s="297"/>
      <c r="CK21" s="299"/>
      <c r="CL21" s="298">
        <f t="shared" ref="CL21:CL43" si="46">IF(CD21=" ","",RANK(CD21,$CD$20:$CD$45,$CE$18))</f>
        <v>2</v>
      </c>
      <c r="CM21" s="296" t="s">
        <v>137</v>
      </c>
      <c r="CN21" s="326">
        <f>INDEX($A$1:$CA$1,MATCH(CM21,$A$2:$CA$2,0))</f>
        <v>75</v>
      </c>
      <c r="CO21" s="324">
        <f>KURT(CL20:CL44)</f>
        <v>-0.77843348691304737</v>
      </c>
      <c r="CP21" s="324" t="str">
        <f>IF(CO21&lt;0,"-KURT",IF(AND(CO21&gt;=-0.1,CO21&lt;=0),"@KURT","+KURT"))</f>
        <v>-KURT</v>
      </c>
      <c r="CQ21" s="315" t="str">
        <f t="shared" si="38"/>
        <v/>
      </c>
      <c r="CR21" s="333">
        <f t="shared" ref="CR21:CR45" si="47">IF($CF21=$CR$19,$CH21," ")</f>
        <v>2</v>
      </c>
      <c r="CS21" s="333" t="str">
        <f t="shared" ref="CS21:CS45" si="48">IF($CF21=$CS$19,$CH21," ")</f>
        <v xml:space="preserve"> </v>
      </c>
      <c r="CT21" s="333" t="str">
        <f t="shared" ref="CT21:CT45" si="49">IF($CF21=$CT$19,$CH21," ")</f>
        <v xml:space="preserve"> </v>
      </c>
      <c r="CU21" s="333" t="str">
        <f t="shared" ref="CU21:CU45" si="50">IF($CF21=$CU$19,$CH21," ")</f>
        <v xml:space="preserve"> </v>
      </c>
      <c r="CV21" s="326"/>
      <c r="CW21" s="315" t="str">
        <f t="shared" ref="CW21:CW45" si="51">IF($CB21=1,$CB21,IF($CB21=2,$CB21,IF($CB21=3,$CB21,IF($CB21=4,$CB21,""))))</f>
        <v/>
      </c>
      <c r="CX21" s="333">
        <f t="shared" ref="CX21:CX45" si="52">IF($CH21&lt;=CX$19,$CH21," ")</f>
        <v>2</v>
      </c>
      <c r="CY21" s="333" t="str">
        <f t="shared" ref="CY21:DA36" si="53">IF(AND($CH21&gt;CX$19,$CH21&lt;=CY$19),$CH21," ")</f>
        <v xml:space="preserve"> </v>
      </c>
      <c r="CZ21" s="333" t="str">
        <f t="shared" si="53"/>
        <v xml:space="preserve"> </v>
      </c>
      <c r="DA21" s="333" t="str">
        <f t="shared" si="53"/>
        <v xml:space="preserve"> </v>
      </c>
      <c r="DB21" s="326">
        <v>2</v>
      </c>
      <c r="DC21" s="337">
        <f t="shared" ref="DC21:DC44" si="54">IF(AND(CX21&lt;=$CK$20,CX$13&lt;=3),CX21," ")</f>
        <v>2</v>
      </c>
      <c r="DD21" s="337" t="str">
        <f t="shared" ref="DD21:DD44" si="55">IF(AND(CY21&lt;=$CK$20,CY$13&lt;=3),CY21," ")</f>
        <v xml:space="preserve"> </v>
      </c>
      <c r="DE21" s="337" t="str">
        <f t="shared" ref="DE21:DE44" si="56">IF(AND(CZ21&lt;=$CK$20,CZ$13&lt;=3),CZ21," ")</f>
        <v xml:space="preserve"> </v>
      </c>
      <c r="DF21" s="337" t="str">
        <f t="shared" ref="DF21:DF44" si="57">IF(AND(DA21&lt;=$CK$20,DA$13&lt;=3),DA21," ")</f>
        <v xml:space="preserve"> </v>
      </c>
      <c r="DG21" s="344">
        <f t="shared" ref="DG21:DG44" si="58">IF(SUM(DC21:DF21)&gt;0,SUM(DC21:DF21)," ")</f>
        <v>2</v>
      </c>
      <c r="DH21" s="337">
        <f t="shared" ref="DH21:DK44" si="59">IF(CX21&lt;=$CK$24,CX21,IF(CX21&gt;=$CK$35,CX21," "))</f>
        <v>2</v>
      </c>
      <c r="DI21" s="337" t="str">
        <f t="shared" si="41"/>
        <v xml:space="preserve"> </v>
      </c>
      <c r="DJ21" s="337" t="str">
        <f t="shared" si="41"/>
        <v xml:space="preserve"> </v>
      </c>
      <c r="DK21" s="337" t="str">
        <f t="shared" si="41"/>
        <v xml:space="preserve"> </v>
      </c>
      <c r="DL21" s="344">
        <f t="shared" ref="DL21:DL44" si="60">IF(AND(SUM(DH21:DK21)&gt;0),SUM(DH21:DK21)," ")</f>
        <v>2</v>
      </c>
      <c r="DN21" s="292" t="str">
        <f>IFERROR(VLOOKUP($A21,'Raw Data'!$A$3:$EV$32,152,FALSE)," ")</f>
        <v xml:space="preserve"> </v>
      </c>
    </row>
    <row r="22" spans="1:118" ht="15" thickBot="1" x14ac:dyDescent="0.35">
      <c r="A22" s="255">
        <f>'Raw Data'!A5</f>
        <v>3</v>
      </c>
      <c r="B22" s="287">
        <f>IF(INDEX(machina!$A5:$FB5,MATCH(B$19&amp;$C$17,machina[#Headers],))=""," ",INDEX(machina!$A5:$FB5,MATCH(B$19&amp;$C$17,machina[#Headers],)))</f>
        <v>10.91</v>
      </c>
      <c r="C22" s="287">
        <f>IF(INDEX(machina!$A5:$FB5,MATCH(C$19&amp;$C$17,machina[#Headers],))=""," ",INDEX(machina!$A5:$FB5,MATCH(C$19&amp;$C$17,machina[#Headers],)))</f>
        <v>-20</v>
      </c>
      <c r="D22" s="287">
        <f>IF(INDEX(machina!$A5:$FB5,MATCH(D$19&amp;$C$17,machina[#Headers],))=""," ",INDEX(machina!$A5:$FB5,MATCH(D$19&amp;$C$17,machina[#Headers],)))</f>
        <v>23</v>
      </c>
      <c r="E22" s="287">
        <f>IF(INDEX(machina!$A5:$FB5,MATCH(E$19&amp;$C$17,machina[#Headers],))=""," ",INDEX(machina!$A5:$FB5,MATCH(E$19&amp;$C$17,machina[#Headers],)))</f>
        <v>41.82</v>
      </c>
      <c r="F22" s="287">
        <f>IF(INDEX(machina!$A5:$FB5,MATCH(F$19&amp;$C$17,machina[#Headers],))=""," ",INDEX(machina!$A5:$FB5,MATCH(F$19&amp;$C$17,machina[#Headers],)))</f>
        <v>1705</v>
      </c>
      <c r="G22" s="287">
        <f>IF(INDEX(machina!$A5:$FB5,MATCH(G$19&amp;$C$17,machina[#Headers],))=""," ",INDEX(machina!$A5:$FB5,MATCH(G$19&amp;$C$17,machina[#Headers],)))</f>
        <v>3</v>
      </c>
      <c r="H22" s="287">
        <f>IF(INDEX(machina!$A5:$FB5,MATCH(H$19&amp;$C$17,machina[#Headers],))=""," ",INDEX(machina!$A5:$FB5,MATCH(H$19&amp;$C$17,machina[#Headers],)))</f>
        <v>2.8</v>
      </c>
      <c r="I22" s="287">
        <f>IF(INDEX(machina!$A5:$FB5,MATCH(I$19&amp;$C$17,machina[#Headers],))=""," ",INDEX(machina!$A5:$FB5,MATCH(I$19&amp;$C$17,machina[#Headers],)))</f>
        <v>58.5</v>
      </c>
      <c r="J22" s="287">
        <f>IF(INDEX(machina!$A5:$FB5,MATCH(J$19&amp;$C$17,machina[#Headers],))=""," ",INDEX(machina!$A5:$FB5,MATCH(J$19&amp;$C$17,machina[#Headers],)))</f>
        <v>15</v>
      </c>
      <c r="K22" s="287">
        <f>IF(INDEX(machina!$A5:$FB5,MATCH(K$19&amp;$C$17,machina[#Headers],))=""," ",INDEX(machina!$A5:$FB5,MATCH(K$19&amp;$C$17,machina[#Headers],)))</f>
        <v>2</v>
      </c>
      <c r="L22" s="287">
        <f>IF(INDEX(machina!$A5:$FB5,MATCH(L$19&amp;$C$17,machina[#Headers],))=""," ",INDEX(machina!$A5:$FB5,MATCH(L$19&amp;$C$17,machina[#Headers],)))</f>
        <v>13.33</v>
      </c>
      <c r="M22" s="287">
        <f>IF(INDEX(machina!$A5:$FB5,MATCH(M$19&amp;$C$17,machina[#Headers],))=""," ",INDEX(machina!$A5:$FB5,MATCH(M$19&amp;$C$17,machina[#Headers],)))</f>
        <v>60</v>
      </c>
      <c r="N22" s="287">
        <f>IF(INDEX(machina!$A5:$FB5,MATCH(N$19&amp;$C$17,machina[#Headers],))=""," ",INDEX(machina!$A5:$FB5,MATCH(N$19&amp;$C$17,machina[#Headers],)))</f>
        <v>9</v>
      </c>
      <c r="O22" s="287">
        <f>IF(INDEX(machina!$A5:$FB5,MATCH(O$19&amp;$C$17,machina[#Headers],))=""," ",INDEX(machina!$A5:$FB5,MATCH(O$19&amp;$C$17,machina[#Headers],)))</f>
        <v>60</v>
      </c>
      <c r="P22" s="287">
        <f>IF(INDEX(machina!$A5:$FB5,MATCH(P$19&amp;$C$17,machina[#Headers],))=""," ",INDEX(machina!$A5:$FB5,MATCH(P$19&amp;$C$17,machina[#Headers],)))</f>
        <v>3</v>
      </c>
      <c r="Q22" s="287">
        <f>IF(INDEX(machina!$A5:$FB5,MATCH(Q$19&amp;$C$17,machina[#Headers],))=""," ",INDEX(machina!$A5:$FB5,MATCH(Q$19&amp;$C$17,machina[#Headers],)))</f>
        <v>0</v>
      </c>
      <c r="R22" s="287">
        <f>IF(INDEX(machina!$A5:$FB5,MATCH(R$19&amp;$C$17,machina[#Headers],))=""," ",INDEX(machina!$A5:$FB5,MATCH(R$19&amp;$C$17,machina[#Headers],)))</f>
        <v>0</v>
      </c>
      <c r="S22" s="287">
        <f>IF(INDEX(machina!$A5:$FB5,MATCH(S$19&amp;$C$17,machina[#Headers],))=""," ",INDEX(machina!$A5:$FB5,MATCH(S$19&amp;$C$17,machina[#Headers],)))</f>
        <v>-100</v>
      </c>
      <c r="T22" s="287">
        <f>IF(INDEX(machina!$A5:$FB5,MATCH(T$19&amp;$C$17,machina[#Headers],))=""," ",INDEX(machina!$A5:$FB5,MATCH(T$19&amp;$C$17,machina[#Headers],)))</f>
        <v>2</v>
      </c>
      <c r="U22" s="287">
        <f>IF(INDEX(machina!$A5:$FB5,MATCH(U$19&amp;$C$17,machina[#Headers],))=""," ",INDEX(machina!$A5:$FB5,MATCH(U$19&amp;$C$17,machina[#Headers],)))</f>
        <v>66.67</v>
      </c>
      <c r="V22" s="287">
        <f>IF(INDEX(machina!$A5:$FB5,MATCH(V$19&amp;$C$17,machina[#Headers],))=""," ",INDEX(machina!$A5:$FB5,MATCH(V$19&amp;$C$17,machina[#Headers],)))</f>
        <v>1</v>
      </c>
      <c r="W22" s="287">
        <f>IF(INDEX(machina!$A5:$FB5,MATCH(W$19&amp;$C$17,machina[#Headers],))=""," ",INDEX(machina!$A5:$FB5,MATCH(W$19&amp;$C$17,machina[#Headers],)))</f>
        <v>0</v>
      </c>
      <c r="X22" s="287">
        <f>IF(INDEX(machina!$A5:$FB5,MATCH(X$19&amp;$C$17,machina[#Headers],))=""," ",INDEX(machina!$A5:$FB5,MATCH(X$19&amp;$C$17,machina[#Headers],)))</f>
        <v>0</v>
      </c>
      <c r="Y22" s="287">
        <f>IF(INDEX(machina!$A5:$FB5,MATCH(Y$19&amp;$C$17,machina[#Headers],))=""," ",INDEX(machina!$A5:$FB5,MATCH(Y$19&amp;$C$17,machina[#Headers],)))</f>
        <v>-100</v>
      </c>
      <c r="Z22" s="287">
        <f>IF(INDEX(machina!$A5:$FB5,MATCH(Z$19&amp;$C$17,machina[#Headers],))=""," ",INDEX(machina!$A5:$FB5,MATCH(Z$19&amp;$C$17,machina[#Headers],)))</f>
        <v>1</v>
      </c>
      <c r="AA22" s="287">
        <f>IF(INDEX(machina!$A5:$FB5,MATCH(AA$19&amp;$C$17,machina[#Headers],))=""," ",INDEX(machina!$A5:$FB5,MATCH(AA$19&amp;$C$17,machina[#Headers],)))</f>
        <v>100</v>
      </c>
      <c r="AB22" s="287">
        <f>IF(INDEX(machina!$A5:$FB5,MATCH(AB$19&amp;$C$17,machina[#Headers],))=""," ",INDEX(machina!$A5:$FB5,MATCH(AB$19&amp;$C$17,machina[#Headers],)))</f>
        <v>14</v>
      </c>
      <c r="AC22" s="287">
        <f>IF(INDEX(machina!$A5:$FB5,MATCH(AC$19&amp;$C$17,machina[#Headers],))=""," ",INDEX(machina!$A5:$FB5,MATCH(AC$19&amp;$C$17,machina[#Headers],)))</f>
        <v>2</v>
      </c>
      <c r="AD22" s="287">
        <f>IF(INDEX(machina!$A5:$FB5,MATCH(AD$19&amp;$C$17,machina[#Headers],))=""," ",INDEX(machina!$A5:$FB5,MATCH(AD$19&amp;$C$17,machina[#Headers],)))</f>
        <v>14.29</v>
      </c>
      <c r="AE22" s="287">
        <f>IF(INDEX(machina!$A5:$FB5,MATCH(AE$19&amp;$C$17,machina[#Headers],))=""," ",INDEX(machina!$A5:$FB5,MATCH(AE$19&amp;$C$17,machina[#Headers],)))</f>
        <v>71</v>
      </c>
      <c r="AF22" s="287">
        <f>IF(INDEX(machina!$A5:$FB5,MATCH(AF$19&amp;$C$17,machina[#Headers],))=""," ",INDEX(machina!$A5:$FB5,MATCH(AF$19&amp;$C$17,machina[#Headers],)))</f>
        <v>7</v>
      </c>
      <c r="AG22" s="287">
        <f>IF(INDEX(machina!$A5:$FB5,MATCH(AG$19&amp;$C$17,machina[#Headers],))=""," ",INDEX(machina!$A5:$FB5,MATCH(AG$19&amp;$C$17,machina[#Headers],)))</f>
        <v>50</v>
      </c>
      <c r="AH22" s="287">
        <f>IF(INDEX(machina!$A5:$FB5,MATCH(AH$19&amp;$C$17,machina[#Headers],))=""," ",INDEX(machina!$A5:$FB5,MATCH(AH$19&amp;$C$17,machina[#Headers],)))</f>
        <v>1666</v>
      </c>
      <c r="AI22" s="287">
        <f>IF(INDEX(machina!$A5:$FB5,MATCH(AI$19&amp;$C$17,machina[#Headers],))=""," ",INDEX(machina!$A5:$FB5,MATCH(AI$19&amp;$C$17,machina[#Headers],)))</f>
        <v>100</v>
      </c>
      <c r="AJ22" s="287">
        <f>IF(INDEX(machina!$A5:$FB5,MATCH(AJ$19&amp;$C$17,machina[#Headers],))=""," ",INDEX(machina!$A5:$FB5,MATCH(AJ$19&amp;$C$17,machina[#Headers],)))</f>
        <v>10</v>
      </c>
      <c r="AK22" s="287">
        <f>IF(INDEX(machina!$A5:$FB5,MATCH(AK$19&amp;$C$17,machina[#Headers],))=""," ",INDEX(machina!$A5:$FB5,MATCH(AK$19&amp;$C$17,machina[#Headers],)))</f>
        <v>10</v>
      </c>
      <c r="AL22" s="287">
        <f>IF(INDEX(machina!$A5:$FB5,MATCH(AL$19&amp;$C$17,machina[#Headers],))=""," ",INDEX(machina!$A5:$FB5,MATCH(AL$19&amp;$C$17,machina[#Headers],)))</f>
        <v>7</v>
      </c>
      <c r="AM22" s="287">
        <f>IF(INDEX(machina!$A5:$FB5,MATCH(AM$19&amp;$C$17,machina[#Headers],))=""," ",INDEX(machina!$A5:$FB5,MATCH(AM$19&amp;$C$17,machina[#Headers],)))</f>
        <v>33</v>
      </c>
      <c r="AN22" s="287">
        <f>IF(INDEX(machina!$A5:$FB5,MATCH(AN$19&amp;$C$17,machina[#Headers],))=""," ",INDEX(machina!$A5:$FB5,MATCH(AN$19&amp;$C$17,machina[#Headers],)))</f>
        <v>33</v>
      </c>
      <c r="AO22" s="287">
        <f>IF(INDEX(machina!$A5:$FB5,MATCH(AO$19&amp;$C$17,machina[#Headers],))=""," ",INDEX(machina!$A5:$FB5,MATCH(AO$19&amp;$C$17,machina[#Headers],)))</f>
        <v>1537</v>
      </c>
      <c r="AP22" s="287">
        <f>IF(INDEX(machina!$A5:$FB5,MATCH(AP$19&amp;$C$17,machina[#Headers],))=""," ",INDEX(machina!$A5:$FB5,MATCH(AP$19&amp;$C$17,machina[#Headers],)))</f>
        <v>144</v>
      </c>
      <c r="AQ22" s="287">
        <f>IF(INDEX(machina!$A5:$FB5,MATCH(AQ$19&amp;$C$17,machina[#Headers],))=""," ",INDEX(machina!$A5:$FB5,MATCH(AQ$19&amp;$C$17,machina[#Headers],)))</f>
        <v>13</v>
      </c>
      <c r="AR22" s="287">
        <f>IF(INDEX(machina!$A5:$FB5,MATCH(AR$19&amp;$C$17,machina[#Headers],))=""," ",INDEX(machina!$A5:$FB5,MATCH(AR$19&amp;$C$17,machina[#Headers],)))</f>
        <v>9.0299999999999994</v>
      </c>
      <c r="AS22" s="287">
        <f>IF(INDEX(machina!$A5:$FB5,MATCH(AS$19&amp;$C$17,machina[#Headers],))=""," ",INDEX(machina!$A5:$FB5,MATCH(AS$19&amp;$C$17,machina[#Headers],)))</f>
        <v>-19</v>
      </c>
      <c r="AT22" s="287">
        <f>IF(INDEX(machina!$A5:$FB5,MATCH(AT$19&amp;$C$17,machina[#Headers],))=""," ",INDEX(machina!$A5:$FB5,MATCH(AT$19&amp;$C$17,machina[#Headers],)))</f>
        <v>49</v>
      </c>
      <c r="AU22" s="287">
        <f>IF(INDEX(machina!$A5:$FB5,MATCH(AU$19&amp;$C$17,machina[#Headers],))=""," ",INDEX(machina!$A5:$FB5,MATCH(AU$19&amp;$C$17,machina[#Headers],)))</f>
        <v>34.03</v>
      </c>
      <c r="AV22" s="287">
        <f>IF(INDEX(machina!$A5:$FB5,MATCH(AV$19&amp;$C$17,machina[#Headers],))=""," ",INDEX(machina!$A5:$FB5,MATCH(AV$19&amp;$C$17,machina[#Headers],)))</f>
        <v>1537</v>
      </c>
      <c r="AW22" s="287">
        <f>IF(INDEX(machina!$A5:$FB5,MATCH(AW$19&amp;$C$17,machina[#Headers],))=""," ",INDEX(machina!$A5:$FB5,MATCH(AW$19&amp;$C$17,machina[#Headers],)))</f>
        <v>144</v>
      </c>
      <c r="AX22" s="287">
        <f>IF(INDEX(machina!$A5:$FB5,MATCH(AX$19&amp;$C$17,machina[#Headers],))=""," ",INDEX(machina!$A5:$FB5,MATCH(AX$19&amp;$C$17,machina[#Headers],)))</f>
        <v>13</v>
      </c>
      <c r="AY22" s="287">
        <f>IF(INDEX(machina!$A5:$FB5,MATCH(AY$19&amp;$C$17,machina[#Headers],))=""," ",INDEX(machina!$A5:$FB5,MATCH(AY$19&amp;$C$17,machina[#Headers],)))</f>
        <v>9.0299999999999994</v>
      </c>
      <c r="AZ22" s="287">
        <f>IF(INDEX(machina!$A5:$FB5,MATCH(AZ$19&amp;$C$17,machina[#Headers],))=""," ",INDEX(machina!$A5:$FB5,MATCH(AZ$19&amp;$C$17,machina[#Headers],)))</f>
        <v>-19</v>
      </c>
      <c r="BA22" s="287">
        <f>IF(INDEX(machina!$A5:$FB5,MATCH(BA$19&amp;$C$17,machina[#Headers],))=""," ",INDEX(machina!$A5:$FB5,MATCH(BA$19&amp;$C$17,machina[#Headers],)))</f>
        <v>49</v>
      </c>
      <c r="BB22" s="287">
        <f>IF(INDEX(machina!$A5:$FB5,MATCH(BB$19&amp;$C$17,machina[#Headers],))=""," ",INDEX(machina!$A5:$FB5,MATCH(BB$19&amp;$C$17,machina[#Headers],)))</f>
        <v>34.03</v>
      </c>
      <c r="BC22" s="287">
        <f>IF(INDEX(machina!$A5:$FB5,MATCH(BC$19&amp;$C$17,machina[#Headers],))=""," ",INDEX(machina!$A5:$FB5,MATCH(BC$19&amp;$C$17,machina[#Headers],)))</f>
        <v>2606</v>
      </c>
      <c r="BD22" s="287">
        <f>IF(INDEX(machina!$A5:$FB5,MATCH(BD$19&amp;$C$17,machina[#Headers],))=""," ",INDEX(machina!$A5:$FB5,MATCH(BD$19&amp;$C$17,machina[#Headers],)))</f>
        <v>16</v>
      </c>
      <c r="BE22" s="287">
        <f>IF(INDEX(machina!$A5:$FB5,MATCH(BE$19&amp;$C$17,machina[#Headers],))=""," ",INDEX(machina!$A5:$FB5,MATCH(BE$19&amp;$C$17,machina[#Headers],)))</f>
        <v>16</v>
      </c>
      <c r="BF22" s="287">
        <f>IF(INDEX(machina!$A5:$FB5,MATCH(BF$19&amp;$C$17,machina[#Headers],))=""," ",INDEX(machina!$A5:$FB5,MATCH(BF$19&amp;$C$17,machina[#Headers],)))</f>
        <v>-38</v>
      </c>
      <c r="BG22" s="287">
        <f>IF(INDEX(machina!$A5:$FB5,MATCH(BG$19&amp;$C$17,machina[#Headers],))=""," ",INDEX(machina!$A5:$FB5,MATCH(BG$19&amp;$C$17,machina[#Headers],)))</f>
        <v>39</v>
      </c>
      <c r="BH22" s="287">
        <f>IF(INDEX(machina!$A5:$FB5,MATCH(BH$19&amp;$C$17,machina[#Headers],))=""," ",INDEX(machina!$A5:$FB5,MATCH(BH$19&amp;$C$17,machina[#Headers],)))</f>
        <v>39</v>
      </c>
      <c r="BI22" s="287">
        <f>IF(INDEX(machina!$A5:$FB5,MATCH(BI$19&amp;$C$17,machina[#Headers],))=""," ",INDEX(machina!$A5:$FB5,MATCH(BI$19&amp;$C$17,machina[#Headers],)))</f>
        <v>2471</v>
      </c>
      <c r="BJ22" s="287">
        <f>IF(INDEX(machina!$A5:$FB5,MATCH(BJ$19&amp;$C$17,machina[#Headers],))=""," ",INDEX(machina!$A5:$FB5,MATCH(BJ$19&amp;$C$17,machina[#Headers],)))</f>
        <v>67</v>
      </c>
      <c r="BK22" s="287">
        <f>IF(INDEX(machina!$A5:$FB5,MATCH(BK$19&amp;$C$17,machina[#Headers],))=""," ",INDEX(machina!$A5:$FB5,MATCH(BK$19&amp;$C$17,machina[#Headers],)))</f>
        <v>10</v>
      </c>
      <c r="BL22" s="287">
        <f>IF(INDEX(machina!$A5:$FB5,MATCH(BL$19&amp;$C$17,machina[#Headers],))=""," ",INDEX(machina!$A5:$FB5,MATCH(BL$19&amp;$C$17,machina[#Headers],)))</f>
        <v>14.93</v>
      </c>
      <c r="BM22" s="287">
        <f>IF(INDEX(machina!$A5:$FB5,MATCH(BM$19&amp;$C$17,machina[#Headers],))=""," ",INDEX(machina!$A5:$FB5,MATCH(BM$19&amp;$C$17,machina[#Headers],)))</f>
        <v>-39</v>
      </c>
      <c r="BN22" s="287">
        <f>IF(INDEX(machina!$A5:$FB5,MATCH(BN$19&amp;$C$17,machina[#Headers],))=""," ",INDEX(machina!$A5:$FB5,MATCH(BN$19&amp;$C$17,machina[#Headers],)))</f>
        <v>25</v>
      </c>
      <c r="BO22" s="287">
        <f>IF(INDEX(machina!$A5:$FB5,MATCH(BO$19&amp;$C$17,machina[#Headers],))=""," ",INDEX(machina!$A5:$FB5,MATCH(BO$19&amp;$C$17,machina[#Headers],)))</f>
        <v>37.31</v>
      </c>
      <c r="BP22" s="287">
        <f>IF(INDEX(machina!$A5:$FB5,MATCH(BP$19&amp;$C$17,machina[#Headers],))=""," ",INDEX(machina!$A5:$FB5,MATCH(BP$19&amp;$C$17,machina[#Headers],)))</f>
        <v>2483</v>
      </c>
      <c r="BQ22" s="287">
        <f>IF(INDEX(machina!$A5:$FB5,MATCH(BQ$19&amp;$C$17,machina[#Headers],))=""," ",INDEX(machina!$A5:$FB5,MATCH(BQ$19&amp;$C$17,machina[#Headers],)))</f>
        <v>62</v>
      </c>
      <c r="BR22" s="287">
        <f>IF(INDEX(machina!$A5:$FB5,MATCH(BR$19&amp;$C$17,machina[#Headers],))=""," ",INDEX(machina!$A5:$FB5,MATCH(BR$19&amp;$C$17,machina[#Headers],)))</f>
        <v>9</v>
      </c>
      <c r="BS22" s="287">
        <f>IF(INDEX(machina!$A5:$FB5,MATCH(BS$19&amp;$C$17,machina[#Headers],))=""," ",INDEX(machina!$A5:$FB5,MATCH(BS$19&amp;$C$17,machina[#Headers],)))</f>
        <v>14.52</v>
      </c>
      <c r="BT22" s="287">
        <f>IF(INDEX(machina!$A5:$FB5,MATCH(BT$19&amp;$C$17,machina[#Headers],))=""," ",INDEX(machina!$A5:$FB5,MATCH(BT$19&amp;$C$17,machina[#Headers],)))</f>
        <v>-39</v>
      </c>
      <c r="BU22" s="287">
        <f>IF(INDEX(machina!$A5:$FB5,MATCH(BU$19&amp;$C$17,machina[#Headers],))=""," ",INDEX(machina!$A5:$FB5,MATCH(BU$19&amp;$C$17,machina[#Headers],)))</f>
        <v>24</v>
      </c>
      <c r="BV22" s="287">
        <f>IF(INDEX(machina!$A5:$FB5,MATCH(BV$19&amp;$C$17,machina[#Headers],))=""," ",INDEX(machina!$A5:$FB5,MATCH(BV$19&amp;$C$17,machina[#Headers],)))</f>
        <v>38.71</v>
      </c>
      <c r="BW22" s="287">
        <f>IF(INDEX(machina!$A5:$FB5,MATCH(BW$19&amp;$C$17,machina[#Headers],))=""," ",INDEX(machina!$A5:$FB5,MATCH(BW$19&amp;$C$17,machina[#Headers],)))</f>
        <v>7</v>
      </c>
      <c r="BX22" s="287">
        <f>IF(INDEX(machina!$A5:$FB5,MATCH(BX$19&amp;$C$17,machina[#Headers],))=""," ",INDEX(machina!$A5:$FB5,MATCH(BX$19&amp;$C$17,machina[#Headers],)))</f>
        <v>2.8</v>
      </c>
      <c r="BY22" s="287">
        <f>IF(INDEX(machina!$A5:$FB5,MATCH(BY$19&amp;$C$17,machina[#Headers],))=""," ",INDEX(machina!$A5:$FB5,MATCH(BY$19&amp;$C$17,machina[#Headers],)))</f>
        <v>-10</v>
      </c>
      <c r="BZ22" s="287" t="str">
        <f>IF(INDEX(machina!$A5:$FB5,MATCH(BZ$19&amp;$C$17,machina[#Headers],))=""," ",INDEX(machina!$A5:$FB5,MATCH(BZ$19&amp;$C$17,machina[#Headers],)))</f>
        <v xml:space="preserve"> </v>
      </c>
      <c r="CA22" s="287">
        <f>IF(INDEX(machina!$A5:$FB5,MATCH(CA$19&amp;$C$17,machina[#Headers],))=""," ",INDEX(machina!$A5:$FB5,MATCH(CA$19&amp;$C$17,machina[#Headers],)))</f>
        <v>4.4444444444444132E-3</v>
      </c>
      <c r="CB22" s="288">
        <f>IF(INDEX('Raw Data'!$A5:$EA5,MATCH(CB$19,RawData[#Headers],))=""," ",INDEX('Raw Data'!$A5:$EA5,MATCH(CB$19,RawData[#Headers],)))</f>
        <v>2</v>
      </c>
      <c r="CD22" s="298">
        <f t="shared" si="36"/>
        <v>3</v>
      </c>
      <c r="CE22" s="298">
        <f>IF(CD22=" ","",CD22-$CE$15)</f>
        <v>-9.5437499999999993</v>
      </c>
      <c r="CF22" s="298">
        <f t="shared" si="43"/>
        <v>1</v>
      </c>
      <c r="CG22" s="298">
        <f>IF(CE22=""," ",INDEX($CU$9:$CU$12,MATCH(CF22,analysis[CLUSTER],0)))</f>
        <v>4</v>
      </c>
      <c r="CH22" s="298">
        <f t="shared" si="44"/>
        <v>1</v>
      </c>
      <c r="CI22" s="298">
        <f t="shared" si="45"/>
        <v>1</v>
      </c>
      <c r="CJ22" s="309" t="s">
        <v>576</v>
      </c>
      <c r="CK22" s="298">
        <f>ROUND((STDEV(CL20:CL45)+$CK$20),0)</f>
        <v>6</v>
      </c>
      <c r="CL22" s="298">
        <f t="shared" si="46"/>
        <v>1</v>
      </c>
      <c r="CM22" s="295" t="s">
        <v>140</v>
      </c>
      <c r="CN22" s="326">
        <f t="shared" si="37"/>
        <v>77</v>
      </c>
      <c r="CO22" s="324">
        <f>(CO21+CO20)^2</f>
        <v>0.56045897024837843</v>
      </c>
      <c r="CP22" s="324" t="s">
        <v>704</v>
      </c>
      <c r="CQ22" s="315">
        <f t="shared" si="38"/>
        <v>2</v>
      </c>
      <c r="CR22" s="333">
        <f t="shared" si="47"/>
        <v>1</v>
      </c>
      <c r="CS22" s="333" t="str">
        <f t="shared" si="48"/>
        <v xml:space="preserve"> </v>
      </c>
      <c r="CT22" s="333" t="str">
        <f t="shared" si="49"/>
        <v xml:space="preserve"> </v>
      </c>
      <c r="CU22" s="333" t="str">
        <f t="shared" si="50"/>
        <v xml:space="preserve"> </v>
      </c>
      <c r="CV22" s="326"/>
      <c r="CW22" s="315">
        <f t="shared" si="51"/>
        <v>2</v>
      </c>
      <c r="CX22" s="333">
        <f t="shared" si="52"/>
        <v>1</v>
      </c>
      <c r="CY22" s="333" t="str">
        <f t="shared" si="53"/>
        <v xml:space="preserve"> </v>
      </c>
      <c r="CZ22" s="333" t="str">
        <f t="shared" si="53"/>
        <v xml:space="preserve"> </v>
      </c>
      <c r="DA22" s="333" t="str">
        <f t="shared" si="53"/>
        <v xml:space="preserve"> </v>
      </c>
      <c r="DB22" s="326">
        <v>3</v>
      </c>
      <c r="DC22" s="337">
        <f t="shared" si="54"/>
        <v>1</v>
      </c>
      <c r="DD22" s="337" t="str">
        <f t="shared" si="55"/>
        <v xml:space="preserve"> </v>
      </c>
      <c r="DE22" s="337" t="str">
        <f t="shared" si="56"/>
        <v xml:space="preserve"> </v>
      </c>
      <c r="DF22" s="337" t="str">
        <f t="shared" si="57"/>
        <v xml:space="preserve"> </v>
      </c>
      <c r="DG22" s="344">
        <f t="shared" si="58"/>
        <v>1</v>
      </c>
      <c r="DH22" s="337">
        <f t="shared" si="59"/>
        <v>1</v>
      </c>
      <c r="DI22" s="337" t="str">
        <f t="shared" si="41"/>
        <v xml:space="preserve"> </v>
      </c>
      <c r="DJ22" s="337" t="str">
        <f t="shared" si="41"/>
        <v xml:space="preserve"> </v>
      </c>
      <c r="DK22" s="337" t="str">
        <f t="shared" si="41"/>
        <v xml:space="preserve"> </v>
      </c>
      <c r="DL22" s="344">
        <f t="shared" si="60"/>
        <v>1</v>
      </c>
      <c r="DN22" s="292" t="str">
        <f>IFERROR(VLOOKUP($A22,'Raw Data'!$A$3:$EV$32,152,FALSE)," ")</f>
        <v xml:space="preserve"> </v>
      </c>
    </row>
    <row r="23" spans="1:118" x14ac:dyDescent="0.3">
      <c r="A23" s="255">
        <f>'Raw Data'!A6</f>
        <v>5</v>
      </c>
      <c r="B23" s="287">
        <f>IF(INDEX(machina!$A6:$FB6,MATCH(B$19&amp;$C$17,machina[#Headers],))=""," ",INDEX(machina!$A6:$FB6,MATCH(B$19&amp;$C$17,machina[#Headers],)))</f>
        <v>16.39</v>
      </c>
      <c r="C23" s="287">
        <f>IF(INDEX(machina!$A6:$FB6,MATCH(C$19&amp;$C$17,machina[#Headers],))=""," ",INDEX(machina!$A6:$FB6,MATCH(C$19&amp;$C$17,machina[#Headers],)))</f>
        <v>-36</v>
      </c>
      <c r="D23" s="287">
        <f>IF(INDEX(machina!$A6:$FB6,MATCH(D$19&amp;$C$17,machina[#Headers],))=""," ",INDEX(machina!$A6:$FB6,MATCH(D$19&amp;$C$17,machina[#Headers],)))</f>
        <v>24</v>
      </c>
      <c r="E23" s="287">
        <f>IF(INDEX(machina!$A6:$FB6,MATCH(E$19&amp;$C$17,machina[#Headers],))=""," ",INDEX(machina!$A6:$FB6,MATCH(E$19&amp;$C$17,machina[#Headers],)))</f>
        <v>39.340000000000003</v>
      </c>
      <c r="F23" s="287">
        <f>IF(INDEX(machina!$A6:$FB6,MATCH(F$19&amp;$C$17,machina[#Headers],))=""," ",INDEX(machina!$A6:$FB6,MATCH(F$19&amp;$C$17,machina[#Headers],)))</f>
        <v>1920</v>
      </c>
      <c r="G23" s="287">
        <f>IF(INDEX(machina!$A6:$FB6,MATCH(G$19&amp;$C$17,machina[#Headers],))=""," ",INDEX(machina!$A6:$FB6,MATCH(G$19&amp;$C$17,machina[#Headers],)))</f>
        <v>7.1</v>
      </c>
      <c r="H23" s="287">
        <f>IF(INDEX(machina!$A6:$FB6,MATCH(H$19&amp;$C$17,machina[#Headers],))=""," ",INDEX(machina!$A6:$FB6,MATCH(H$19&amp;$C$17,machina[#Headers],)))</f>
        <v>6.5</v>
      </c>
      <c r="I23" s="287">
        <f>IF(INDEX(machina!$A6:$FB6,MATCH(I$19&amp;$C$17,machina[#Headers],))=""," ",INDEX(machina!$A6:$FB6,MATCH(I$19&amp;$C$17,machina[#Headers],)))</f>
        <v>58</v>
      </c>
      <c r="J23" s="287">
        <f>IF(INDEX(machina!$A6:$FB6,MATCH(J$19&amp;$C$17,machina[#Headers],))=""," ",INDEX(machina!$A6:$FB6,MATCH(J$19&amp;$C$17,machina[#Headers],)))</f>
        <v>6</v>
      </c>
      <c r="K23" s="287">
        <f>IF(INDEX(machina!$A6:$FB6,MATCH(K$19&amp;$C$17,machina[#Headers],))=""," ",INDEX(machina!$A6:$FB6,MATCH(K$19&amp;$C$17,machina[#Headers],)))</f>
        <v>0</v>
      </c>
      <c r="L23" s="287">
        <f>IF(INDEX(machina!$A6:$FB6,MATCH(L$19&amp;$C$17,machina[#Headers],))=""," ",INDEX(machina!$A6:$FB6,MATCH(L$19&amp;$C$17,machina[#Headers],)))</f>
        <v>0</v>
      </c>
      <c r="M23" s="287">
        <f>IF(INDEX(machina!$A6:$FB6,MATCH(M$19&amp;$C$17,machina[#Headers],))=""," ",INDEX(machina!$A6:$FB6,MATCH(M$19&amp;$C$17,machina[#Headers],)))</f>
        <v>-100</v>
      </c>
      <c r="N23" s="287">
        <f>IF(INDEX(machina!$A6:$FB6,MATCH(N$19&amp;$C$17,machina[#Headers],))=""," ",INDEX(machina!$A6:$FB6,MATCH(N$19&amp;$C$17,machina[#Headers],)))</f>
        <v>1</v>
      </c>
      <c r="O23" s="287">
        <f>IF(INDEX(machina!$A6:$FB6,MATCH(O$19&amp;$C$17,machina[#Headers],))=""," ",INDEX(machina!$A6:$FB6,MATCH(O$19&amp;$C$17,machina[#Headers],)))</f>
        <v>16.670000000000002</v>
      </c>
      <c r="P23" s="287">
        <f>IF(INDEX(machina!$A6:$FB6,MATCH(P$19&amp;$C$17,machina[#Headers],))=""," ",INDEX(machina!$A6:$FB6,MATCH(P$19&amp;$C$17,machina[#Headers],)))</f>
        <v>12</v>
      </c>
      <c r="Q23" s="287">
        <f>IF(INDEX(machina!$A6:$FB6,MATCH(Q$19&amp;$C$17,machina[#Headers],))=""," ",INDEX(machina!$A6:$FB6,MATCH(Q$19&amp;$C$17,machina[#Headers],)))</f>
        <v>0</v>
      </c>
      <c r="R23" s="287">
        <f>IF(INDEX(machina!$A6:$FB6,MATCH(R$19&amp;$C$17,machina[#Headers],))=""," ",INDEX(machina!$A6:$FB6,MATCH(R$19&amp;$C$17,machina[#Headers],)))</f>
        <v>0</v>
      </c>
      <c r="S23" s="287">
        <f>IF(INDEX(machina!$A6:$FB6,MATCH(S$19&amp;$C$17,machina[#Headers],))=""," ",INDEX(machina!$A6:$FB6,MATCH(S$19&amp;$C$17,machina[#Headers],)))</f>
        <v>-100</v>
      </c>
      <c r="T23" s="287">
        <f>IF(INDEX(machina!$A6:$FB6,MATCH(T$19&amp;$C$17,machina[#Headers],))=""," ",INDEX(machina!$A6:$FB6,MATCH(T$19&amp;$C$17,machina[#Headers],)))</f>
        <v>4</v>
      </c>
      <c r="U23" s="287">
        <f>IF(INDEX(machina!$A6:$FB6,MATCH(U$19&amp;$C$17,machina[#Headers],))=""," ",INDEX(machina!$A6:$FB6,MATCH(U$19&amp;$C$17,machina[#Headers],)))</f>
        <v>33.33</v>
      </c>
      <c r="V23" s="287">
        <f>IF(INDEX(machina!$A6:$FB6,MATCH(V$19&amp;$C$17,machina[#Headers],))=""," ",INDEX(machina!$A6:$FB6,MATCH(V$19&amp;$C$17,machina[#Headers],)))</f>
        <v>3</v>
      </c>
      <c r="W23" s="287">
        <f>IF(INDEX(machina!$A6:$FB6,MATCH(W$19&amp;$C$17,machina[#Headers],))=""," ",INDEX(machina!$A6:$FB6,MATCH(W$19&amp;$C$17,machina[#Headers],)))</f>
        <v>0</v>
      </c>
      <c r="X23" s="287">
        <f>IF(INDEX(machina!$A6:$FB6,MATCH(X$19&amp;$C$17,machina[#Headers],))=""," ",INDEX(machina!$A6:$FB6,MATCH(X$19&amp;$C$17,machina[#Headers],)))</f>
        <v>0</v>
      </c>
      <c r="Y23" s="287">
        <f>IF(INDEX(machina!$A6:$FB6,MATCH(Y$19&amp;$C$17,machina[#Headers],))=""," ",INDEX(machina!$A6:$FB6,MATCH(Y$19&amp;$C$17,machina[#Headers],)))</f>
        <v>-100</v>
      </c>
      <c r="Z23" s="287">
        <f>IF(INDEX(machina!$A6:$FB6,MATCH(Z$19&amp;$C$17,machina[#Headers],))=""," ",INDEX(machina!$A6:$FB6,MATCH(Z$19&amp;$C$17,machina[#Headers],)))</f>
        <v>1</v>
      </c>
      <c r="AA23" s="287">
        <f>IF(INDEX(machina!$A6:$FB6,MATCH(AA$19&amp;$C$17,machina[#Headers],))=""," ",INDEX(machina!$A6:$FB6,MATCH(AA$19&amp;$C$17,machina[#Headers],)))</f>
        <v>33.33</v>
      </c>
      <c r="AB23" s="287">
        <f>IF(INDEX(machina!$A6:$FB6,MATCH(AB$19&amp;$C$17,machina[#Headers],))=""," ",INDEX(machina!$A6:$FB6,MATCH(AB$19&amp;$C$17,machina[#Headers],)))</f>
        <v>11</v>
      </c>
      <c r="AC23" s="287">
        <f>IF(INDEX(machina!$A6:$FB6,MATCH(AC$19&amp;$C$17,machina[#Headers],))=""," ",INDEX(machina!$A6:$FB6,MATCH(AC$19&amp;$C$17,machina[#Headers],)))</f>
        <v>1</v>
      </c>
      <c r="AD23" s="287">
        <f>IF(INDEX(machina!$A6:$FB6,MATCH(AD$19&amp;$C$17,machina[#Headers],))=""," ",INDEX(machina!$A6:$FB6,MATCH(AD$19&amp;$C$17,machina[#Headers],)))</f>
        <v>9.09</v>
      </c>
      <c r="AE23" s="287">
        <f>IF(INDEX(machina!$A6:$FB6,MATCH(AE$19&amp;$C$17,machina[#Headers],))=""," ",INDEX(machina!$A6:$FB6,MATCH(AE$19&amp;$C$17,machina[#Headers],)))</f>
        <v>-50</v>
      </c>
      <c r="AF23" s="287">
        <f>IF(INDEX(machina!$A6:$FB6,MATCH(AF$19&amp;$C$17,machina[#Headers],))=""," ",INDEX(machina!$A6:$FB6,MATCH(AF$19&amp;$C$17,machina[#Headers],)))</f>
        <v>4</v>
      </c>
      <c r="AG23" s="287">
        <f>IF(INDEX(machina!$A6:$FB6,MATCH(AG$19&amp;$C$17,machina[#Headers],))=""," ",INDEX(machina!$A6:$FB6,MATCH(AG$19&amp;$C$17,machina[#Headers],)))</f>
        <v>36.36</v>
      </c>
      <c r="AH23" s="287">
        <f>IF(INDEX(machina!$A6:$FB6,MATCH(AH$19&amp;$C$17,machina[#Headers],))=""," ",INDEX(machina!$A6:$FB6,MATCH(AH$19&amp;$C$17,machina[#Headers],)))</f>
        <v>3594</v>
      </c>
      <c r="AI23" s="287">
        <f>IF(INDEX(machina!$A6:$FB6,MATCH(AI$19&amp;$C$17,machina[#Headers],))=""," ",INDEX(machina!$A6:$FB6,MATCH(AI$19&amp;$C$17,machina[#Headers],)))</f>
        <v>100</v>
      </c>
      <c r="AJ23" s="287">
        <f>IF(INDEX(machina!$A6:$FB6,MATCH(AJ$19&amp;$C$17,machina[#Headers],))=""," ",INDEX(machina!$A6:$FB6,MATCH(AJ$19&amp;$C$17,machina[#Headers],)))</f>
        <v>11</v>
      </c>
      <c r="AK23" s="287">
        <f>IF(INDEX(machina!$A6:$FB6,MATCH(AK$19&amp;$C$17,machina[#Headers],))=""," ",INDEX(machina!$A6:$FB6,MATCH(AK$19&amp;$C$17,machina[#Headers],)))</f>
        <v>11</v>
      </c>
      <c r="AL23" s="287">
        <f>IF(INDEX(machina!$A6:$FB6,MATCH(AL$19&amp;$C$17,machina[#Headers],))=""," ",INDEX(machina!$A6:$FB6,MATCH(AL$19&amp;$C$17,machina[#Headers],)))</f>
        <v>-39</v>
      </c>
      <c r="AM23" s="287">
        <f>IF(INDEX(machina!$A6:$FB6,MATCH(AM$19&amp;$C$17,machina[#Headers],))=""," ",INDEX(machina!$A6:$FB6,MATCH(AM$19&amp;$C$17,machina[#Headers],)))</f>
        <v>47</v>
      </c>
      <c r="AN23" s="287">
        <f>IF(INDEX(machina!$A6:$FB6,MATCH(AN$19&amp;$C$17,machina[#Headers],))=""," ",INDEX(machina!$A6:$FB6,MATCH(AN$19&amp;$C$17,machina[#Headers],)))</f>
        <v>47</v>
      </c>
      <c r="AO23" s="287">
        <f>IF(INDEX(machina!$A6:$FB6,MATCH(AO$19&amp;$C$17,machina[#Headers],))=""," ",INDEX(machina!$A6:$FB6,MATCH(AO$19&amp;$C$17,machina[#Headers],)))</f>
        <v>2241</v>
      </c>
      <c r="AP23" s="287">
        <f>IF(INDEX(machina!$A6:$FB6,MATCH(AP$19&amp;$C$17,machina[#Headers],))=""," ",INDEX(machina!$A6:$FB6,MATCH(AP$19&amp;$C$17,machina[#Headers],)))</f>
        <v>542</v>
      </c>
      <c r="AQ23" s="287">
        <f>IF(INDEX(machina!$A6:$FB6,MATCH(AQ$19&amp;$C$17,machina[#Headers],))=""," ",INDEX(machina!$A6:$FB6,MATCH(AQ$19&amp;$C$17,machina[#Headers],)))</f>
        <v>63</v>
      </c>
      <c r="AR23" s="287">
        <f>IF(INDEX(machina!$A6:$FB6,MATCH(AR$19&amp;$C$17,machina[#Headers],))=""," ",INDEX(machina!$A6:$FB6,MATCH(AR$19&amp;$C$17,machina[#Headers],)))</f>
        <v>11.62</v>
      </c>
      <c r="AS23" s="287">
        <f>IF(INDEX(machina!$A6:$FB6,MATCH(AS$19&amp;$C$17,machina[#Headers],))=""," ",INDEX(machina!$A6:$FB6,MATCH(AS$19&amp;$C$17,machina[#Headers],)))</f>
        <v>-24</v>
      </c>
      <c r="AT23" s="287">
        <f>IF(INDEX(machina!$A6:$FB6,MATCH(AT$19&amp;$C$17,machina[#Headers],))=""," ",INDEX(machina!$A6:$FB6,MATCH(AT$19&amp;$C$17,machina[#Headers],)))</f>
        <v>172</v>
      </c>
      <c r="AU23" s="287">
        <f>IF(INDEX(machina!$A6:$FB6,MATCH(AU$19&amp;$C$17,machina[#Headers],))=""," ",INDEX(machina!$A6:$FB6,MATCH(AU$19&amp;$C$17,machina[#Headers],)))</f>
        <v>31.73</v>
      </c>
      <c r="AV23" s="287">
        <f>IF(INDEX(machina!$A6:$FB6,MATCH(AV$19&amp;$C$17,machina[#Headers],))=""," ",INDEX(machina!$A6:$FB6,MATCH(AV$19&amp;$C$17,machina[#Headers],)))</f>
        <v>2286</v>
      </c>
      <c r="AW23" s="287">
        <f>IF(INDEX(machina!$A6:$FB6,MATCH(AW$19&amp;$C$17,machina[#Headers],))=""," ",INDEX(machina!$A6:$FB6,MATCH(AW$19&amp;$C$17,machina[#Headers],)))</f>
        <v>492</v>
      </c>
      <c r="AX23" s="287">
        <f>IF(INDEX(machina!$A6:$FB6,MATCH(AX$19&amp;$C$17,machina[#Headers],))=""," ",INDEX(machina!$A6:$FB6,MATCH(AX$19&amp;$C$17,machina[#Headers],)))</f>
        <v>57</v>
      </c>
      <c r="AY23" s="287">
        <f>IF(INDEX(machina!$A6:$FB6,MATCH(AY$19&amp;$C$17,machina[#Headers],))=""," ",INDEX(machina!$A6:$FB6,MATCH(AY$19&amp;$C$17,machina[#Headers],)))</f>
        <v>11.59</v>
      </c>
      <c r="AZ23" s="287">
        <f>IF(INDEX(machina!$A6:$FB6,MATCH(AZ$19&amp;$C$17,machina[#Headers],))=""," ",INDEX(machina!$A6:$FB6,MATCH(AZ$19&amp;$C$17,machina[#Headers],)))</f>
        <v>-24</v>
      </c>
      <c r="BA23" s="287">
        <f>IF(INDEX(machina!$A6:$FB6,MATCH(BA$19&amp;$C$17,machina[#Headers],))=""," ",INDEX(machina!$A6:$FB6,MATCH(BA$19&amp;$C$17,machina[#Headers],)))</f>
        <v>162</v>
      </c>
      <c r="BB23" s="287">
        <f>IF(INDEX(machina!$A6:$FB6,MATCH(BB$19&amp;$C$17,machina[#Headers],))=""," ",INDEX(machina!$A6:$FB6,MATCH(BB$19&amp;$C$17,machina[#Headers],)))</f>
        <v>32.93</v>
      </c>
      <c r="BC23" s="287">
        <f>IF(INDEX(machina!$A6:$FB6,MATCH(BC$19&amp;$C$17,machina[#Headers],))=""," ",INDEX(machina!$A6:$FB6,MATCH(BC$19&amp;$C$17,machina[#Headers],)))</f>
        <v>486</v>
      </c>
      <c r="BD23" s="287">
        <f>IF(INDEX(machina!$A6:$FB6,MATCH(BD$19&amp;$C$17,machina[#Headers],))=""," ",INDEX(machina!$A6:$FB6,MATCH(BD$19&amp;$C$17,machina[#Headers],)))</f>
        <v>4</v>
      </c>
      <c r="BE23" s="287">
        <f>IF(INDEX(machina!$A6:$FB6,MATCH(BE$19&amp;$C$17,machina[#Headers],))=""," ",INDEX(machina!$A6:$FB6,MATCH(BE$19&amp;$C$17,machina[#Headers],)))</f>
        <v>4</v>
      </c>
      <c r="BF23" s="287">
        <f>IF(INDEX(machina!$A6:$FB6,MATCH(BF$19&amp;$C$17,machina[#Headers],))=""," ",INDEX(machina!$A6:$FB6,MATCH(BF$19&amp;$C$17,machina[#Headers],)))</f>
        <v>-69</v>
      </c>
      <c r="BG23" s="287">
        <f>IF(INDEX(machina!$A6:$FB6,MATCH(BG$19&amp;$C$17,machina[#Headers],))=""," ",INDEX(machina!$A6:$FB6,MATCH(BG$19&amp;$C$17,machina[#Headers],)))</f>
        <v>15</v>
      </c>
      <c r="BH23" s="287">
        <f>IF(INDEX(machina!$A6:$FB6,MATCH(BH$19&amp;$C$17,machina[#Headers],))=""," ",INDEX(machina!$A6:$FB6,MATCH(BH$19&amp;$C$17,machina[#Headers],)))</f>
        <v>15</v>
      </c>
      <c r="BI23" s="287">
        <f>IF(INDEX(machina!$A6:$FB6,MATCH(BI$19&amp;$C$17,machina[#Headers],))=""," ",INDEX(machina!$A6:$FB6,MATCH(BI$19&amp;$C$17,machina[#Headers],)))</f>
        <v>476</v>
      </c>
      <c r="BJ23" s="287">
        <f>IF(INDEX(machina!$A6:$FB6,MATCH(BJ$19&amp;$C$17,machina[#Headers],))=""," ",INDEX(machina!$A6:$FB6,MATCH(BJ$19&amp;$C$17,machina[#Headers],)))</f>
        <v>102</v>
      </c>
      <c r="BK23" s="287">
        <f>IF(INDEX(machina!$A6:$FB6,MATCH(BK$19&amp;$C$17,machina[#Headers],))=""," ",INDEX(machina!$A6:$FB6,MATCH(BK$19&amp;$C$17,machina[#Headers],)))</f>
        <v>4</v>
      </c>
      <c r="BL23" s="287">
        <f>IF(INDEX(machina!$A6:$FB6,MATCH(BL$19&amp;$C$17,machina[#Headers],))=""," ",INDEX(machina!$A6:$FB6,MATCH(BL$19&amp;$C$17,machina[#Headers],)))</f>
        <v>3.92</v>
      </c>
      <c r="BM23" s="287">
        <f>IF(INDEX(machina!$A6:$FB6,MATCH(BM$19&amp;$C$17,machina[#Headers],))=""," ",INDEX(machina!$A6:$FB6,MATCH(BM$19&amp;$C$17,machina[#Headers],)))</f>
        <v>-70</v>
      </c>
      <c r="BN23" s="287">
        <f>IF(INDEX(machina!$A6:$FB6,MATCH(BN$19&amp;$C$17,machina[#Headers],))=""," ",INDEX(machina!$A6:$FB6,MATCH(BN$19&amp;$C$17,machina[#Headers],)))</f>
        <v>15</v>
      </c>
      <c r="BO23" s="287">
        <f>IF(INDEX(machina!$A6:$FB6,MATCH(BO$19&amp;$C$17,machina[#Headers],))=""," ",INDEX(machina!$A6:$FB6,MATCH(BO$19&amp;$C$17,machina[#Headers],)))</f>
        <v>14.71</v>
      </c>
      <c r="BP23" s="287">
        <f>IF(INDEX(machina!$A6:$FB6,MATCH(BP$19&amp;$C$17,machina[#Headers],))=""," ",INDEX(machina!$A6:$FB6,MATCH(BP$19&amp;$C$17,machina[#Headers],)))</f>
        <v>449</v>
      </c>
      <c r="BQ23" s="287">
        <f>IF(INDEX(machina!$A6:$FB6,MATCH(BQ$19&amp;$C$17,machina[#Headers],))=""," ",INDEX(machina!$A6:$FB6,MATCH(BQ$19&amp;$C$17,machina[#Headers],)))</f>
        <v>98</v>
      </c>
      <c r="BR23" s="287">
        <f>IF(INDEX(machina!$A6:$FB6,MATCH(BR$19&amp;$C$17,machina[#Headers],))=""," ",INDEX(machina!$A6:$FB6,MATCH(BR$19&amp;$C$17,machina[#Headers],)))</f>
        <v>3</v>
      </c>
      <c r="BS23" s="287">
        <f>IF(INDEX(machina!$A6:$FB6,MATCH(BS$19&amp;$C$17,machina[#Headers],))=""," ",INDEX(machina!$A6:$FB6,MATCH(BS$19&amp;$C$17,machina[#Headers],)))</f>
        <v>3.06</v>
      </c>
      <c r="BT23" s="287">
        <f>IF(INDEX(machina!$A6:$FB6,MATCH(BT$19&amp;$C$17,machina[#Headers],))=""," ",INDEX(machina!$A6:$FB6,MATCH(BT$19&amp;$C$17,machina[#Headers],)))</f>
        <v>-78</v>
      </c>
      <c r="BU23" s="287">
        <f>IF(INDEX(machina!$A6:$FB6,MATCH(BU$19&amp;$C$17,machina[#Headers],))=""," ",INDEX(machina!$A6:$FB6,MATCH(BU$19&amp;$C$17,machina[#Headers],)))</f>
        <v>14</v>
      </c>
      <c r="BV23" s="287">
        <f>IF(INDEX(machina!$A6:$FB6,MATCH(BV$19&amp;$C$17,machina[#Headers],))=""," ",INDEX(machina!$A6:$FB6,MATCH(BV$19&amp;$C$17,machina[#Headers],)))</f>
        <v>14.29</v>
      </c>
      <c r="BW23" s="287">
        <f>IF(INDEX(machina!$A6:$FB6,MATCH(BW$19&amp;$C$17,machina[#Headers],))=""," ",INDEX(machina!$A6:$FB6,MATCH(BW$19&amp;$C$17,machina[#Headers],)))</f>
        <v>2</v>
      </c>
      <c r="BX23" s="287">
        <f>IF(INDEX(machina!$A6:$FB6,MATCH(BX$19&amp;$C$17,machina[#Headers],))=""," ",INDEX(machina!$A6:$FB6,MATCH(BX$19&amp;$C$17,machina[#Headers],)))</f>
        <v>4.5</v>
      </c>
      <c r="BY23" s="287">
        <f>IF(INDEX(machina!$A6:$FB6,MATCH(BY$19&amp;$C$17,machina[#Headers],))=""," ",INDEX(machina!$A6:$FB6,MATCH(BY$19&amp;$C$17,machina[#Headers],)))</f>
        <v>160</v>
      </c>
      <c r="BZ23" s="287">
        <f>IF(INDEX(machina!$A6:$FB6,MATCH(BZ$19&amp;$C$17,machina[#Headers],))=""," ",INDEX(machina!$A6:$FB6,MATCH(BZ$19&amp;$C$17,machina[#Headers],)))</f>
        <v>1600</v>
      </c>
      <c r="CA23" s="287">
        <f>IF(INDEX(machina!$A6:$FB6,MATCH(CA$19&amp;$C$17,machina[#Headers],))=""," ",INDEX(machina!$A6:$FB6,MATCH(CA$19&amp;$C$17,machina[#Headers],)))</f>
        <v>3080.25</v>
      </c>
      <c r="CB23" s="288">
        <f>IF(INDEX('Raw Data'!$A6:$EA6,MATCH(CB$19,RawData[#Headers],))=""," ",INDEX('Raw Data'!$A6:$EA6,MATCH(CB$19,RawData[#Headers],)))</f>
        <v>5</v>
      </c>
      <c r="CD23" s="299">
        <f t="shared" si="36"/>
        <v>7.1</v>
      </c>
      <c r="CE23" s="299">
        <f t="shared" si="42"/>
        <v>-5.4437499999999996</v>
      </c>
      <c r="CF23" s="299">
        <f t="shared" si="43"/>
        <v>3</v>
      </c>
      <c r="CG23" s="299">
        <f>IF(CE23=""," ",INDEX($CU$9:$CU$12,MATCH(CF23,analysis[CLUSTER],0)))</f>
        <v>1</v>
      </c>
      <c r="CH23" s="299">
        <f t="shared" si="44"/>
        <v>3</v>
      </c>
      <c r="CI23" s="298" t="str">
        <f t="shared" si="45"/>
        <v xml:space="preserve"> </v>
      </c>
      <c r="CJ23"/>
      <c r="CK23" s="299"/>
      <c r="CL23" s="298">
        <f t="shared" si="46"/>
        <v>3</v>
      </c>
      <c r="CM23" s="296" t="s">
        <v>138</v>
      </c>
      <c r="CN23" s="326">
        <f t="shared" si="37"/>
        <v>76</v>
      </c>
      <c r="CO23" s="326" t="s">
        <v>694</v>
      </c>
      <c r="CP23" s="326"/>
      <c r="CQ23" s="315" t="str">
        <f t="shared" si="38"/>
        <v/>
      </c>
      <c r="CR23" s="333" t="str">
        <f t="shared" si="47"/>
        <v xml:space="preserve"> </v>
      </c>
      <c r="CS23" s="333" t="str">
        <f t="shared" si="48"/>
        <v xml:space="preserve"> </v>
      </c>
      <c r="CT23" s="333">
        <f t="shared" si="49"/>
        <v>3</v>
      </c>
      <c r="CU23" s="333" t="str">
        <f t="shared" si="50"/>
        <v xml:space="preserve"> </v>
      </c>
      <c r="CV23" s="326"/>
      <c r="CW23" s="315" t="str">
        <f t="shared" si="51"/>
        <v/>
      </c>
      <c r="CX23" s="333" t="str">
        <f t="shared" si="52"/>
        <v xml:space="preserve"> </v>
      </c>
      <c r="CY23" s="333">
        <f t="shared" si="53"/>
        <v>3</v>
      </c>
      <c r="CZ23" s="333" t="str">
        <f t="shared" si="53"/>
        <v xml:space="preserve"> </v>
      </c>
      <c r="DA23" s="333" t="str">
        <f t="shared" si="53"/>
        <v xml:space="preserve"> </v>
      </c>
      <c r="DB23" s="326">
        <v>4</v>
      </c>
      <c r="DC23" s="337" t="str">
        <f t="shared" si="54"/>
        <v xml:space="preserve"> </v>
      </c>
      <c r="DD23" s="337">
        <f t="shared" si="55"/>
        <v>3</v>
      </c>
      <c r="DE23" s="337" t="str">
        <f t="shared" si="56"/>
        <v xml:space="preserve"> </v>
      </c>
      <c r="DF23" s="337" t="str">
        <f t="shared" si="57"/>
        <v xml:space="preserve"> </v>
      </c>
      <c r="DG23" s="344">
        <f t="shared" si="58"/>
        <v>3</v>
      </c>
      <c r="DH23" s="337" t="str">
        <f t="shared" si="59"/>
        <v xml:space="preserve"> </v>
      </c>
      <c r="DI23" s="337" t="str">
        <f t="shared" si="41"/>
        <v xml:space="preserve"> </v>
      </c>
      <c r="DJ23" s="337" t="str">
        <f t="shared" si="41"/>
        <v xml:space="preserve"> </v>
      </c>
      <c r="DK23" s="337" t="str">
        <f t="shared" si="41"/>
        <v xml:space="preserve"> </v>
      </c>
      <c r="DL23" s="344" t="str">
        <f t="shared" si="60"/>
        <v xml:space="preserve"> </v>
      </c>
      <c r="DN23" s="292" t="str">
        <f>IFERROR(VLOOKUP($A23,'Raw Data'!$A$3:$EV$32,152,FALSE)," ")</f>
        <v>NOW</v>
      </c>
    </row>
    <row r="24" spans="1:118" ht="28.5" customHeight="1" thickBot="1" x14ac:dyDescent="0.35">
      <c r="A24" s="255">
        <f>'Raw Data'!A7</f>
        <v>6</v>
      </c>
      <c r="B24" s="287">
        <f>IF(INDEX(machina!$A7:$FB7,MATCH(B$19&amp;$C$17,machina[#Headers],))=""," ",INDEX(machina!$A7:$FB7,MATCH(B$19&amp;$C$17,machina[#Headers],)))</f>
        <v>17.649999999999999</v>
      </c>
      <c r="C24" s="287">
        <f>IF(INDEX(machina!$A7:$FB7,MATCH(C$19&amp;$C$17,machina[#Headers],))=""," ",INDEX(machina!$A7:$FB7,MATCH(C$19&amp;$C$17,machina[#Headers],)))</f>
        <v>14</v>
      </c>
      <c r="D24" s="287">
        <f>IF(INDEX(machina!$A7:$FB7,MATCH(D$19&amp;$C$17,machina[#Headers],))=""," ",INDEX(machina!$A7:$FB7,MATCH(D$19&amp;$C$17,machina[#Headers],)))</f>
        <v>27</v>
      </c>
      <c r="E24" s="287">
        <f>IF(INDEX(machina!$A7:$FB7,MATCH(E$19&amp;$C$17,machina[#Headers],))=""," ",INDEX(machina!$A7:$FB7,MATCH(E$19&amp;$C$17,machina[#Headers],)))</f>
        <v>39.71</v>
      </c>
      <c r="F24" s="287">
        <f>IF(INDEX(machina!$A7:$FB7,MATCH(F$19&amp;$C$17,machina[#Headers],))=""," ",INDEX(machina!$A7:$FB7,MATCH(F$19&amp;$C$17,machina[#Headers],)))</f>
        <v>1841</v>
      </c>
      <c r="G24" s="287">
        <f>IF(INDEX(machina!$A7:$FB7,MATCH(G$19&amp;$C$17,machina[#Headers],))=""," ",INDEX(machina!$A7:$FB7,MATCH(G$19&amp;$C$17,machina[#Headers],)))</f>
        <v>21</v>
      </c>
      <c r="H24" s="287">
        <f>IF(INDEX(machina!$A7:$FB7,MATCH(H$19&amp;$C$17,machina[#Headers],))=""," ",INDEX(machina!$A7:$FB7,MATCH(H$19&amp;$C$17,machina[#Headers],)))</f>
        <v>17</v>
      </c>
      <c r="I24" s="287">
        <f>IF(INDEX(machina!$A7:$FB7,MATCH(I$19&amp;$C$17,machina[#Headers],))=""," ",INDEX(machina!$A7:$FB7,MATCH(I$19&amp;$C$17,machina[#Headers],)))</f>
        <v>57</v>
      </c>
      <c r="J24" s="287">
        <f>IF(INDEX(machina!$A7:$FB7,MATCH(J$19&amp;$C$17,machina[#Headers],))=""," ",INDEX(machina!$A7:$FB7,MATCH(J$19&amp;$C$17,machina[#Headers],)))</f>
        <v>4</v>
      </c>
      <c r="K24" s="287">
        <f>IF(INDEX(machina!$A7:$FB7,MATCH(K$19&amp;$C$17,machina[#Headers],))=""," ",INDEX(machina!$A7:$FB7,MATCH(K$19&amp;$C$17,machina[#Headers],)))</f>
        <v>2</v>
      </c>
      <c r="L24" s="287">
        <f>IF(INDEX(machina!$A7:$FB7,MATCH(L$19&amp;$C$17,machina[#Headers],))=""," ",INDEX(machina!$A7:$FB7,MATCH(L$19&amp;$C$17,machina[#Headers],)))</f>
        <v>50</v>
      </c>
      <c r="M24" s="287">
        <f>IF(INDEX(machina!$A7:$FB7,MATCH(M$19&amp;$C$17,machina[#Headers],))=""," ",INDEX(machina!$A7:$FB7,MATCH(M$19&amp;$C$17,machina[#Headers],)))</f>
        <v>158</v>
      </c>
      <c r="N24" s="287">
        <f>IF(INDEX(machina!$A7:$FB7,MATCH(N$19&amp;$C$17,machina[#Headers],))=""," ",INDEX(machina!$A7:$FB7,MATCH(N$19&amp;$C$17,machina[#Headers],)))</f>
        <v>2</v>
      </c>
      <c r="O24" s="287">
        <f>IF(INDEX(machina!$A7:$FB7,MATCH(O$19&amp;$C$17,machina[#Headers],))=""," ",INDEX(machina!$A7:$FB7,MATCH(O$19&amp;$C$17,machina[#Headers],)))</f>
        <v>50</v>
      </c>
      <c r="P24" s="287">
        <f>IF(INDEX(machina!$A7:$FB7,MATCH(P$19&amp;$C$17,machina[#Headers],))=""," ",INDEX(machina!$A7:$FB7,MATCH(P$19&amp;$C$17,machina[#Headers],)))</f>
        <v>6</v>
      </c>
      <c r="Q24" s="287">
        <f>IF(INDEX(machina!$A7:$FB7,MATCH(Q$19&amp;$C$17,machina[#Headers],))=""," ",INDEX(machina!$A7:$FB7,MATCH(Q$19&amp;$C$17,machina[#Headers],)))</f>
        <v>1</v>
      </c>
      <c r="R24" s="287">
        <f>IF(INDEX(machina!$A7:$FB7,MATCH(R$19&amp;$C$17,machina[#Headers],))=""," ",INDEX(machina!$A7:$FB7,MATCH(R$19&amp;$C$17,machina[#Headers],)))</f>
        <v>16.670000000000002</v>
      </c>
      <c r="S24" s="287">
        <f>IF(INDEX(machina!$A7:$FB7,MATCH(S$19&amp;$C$17,machina[#Headers],))=""," ",INDEX(machina!$A7:$FB7,MATCH(S$19&amp;$C$17,machina[#Headers],)))</f>
        <v>-37</v>
      </c>
      <c r="T24" s="287">
        <f>IF(INDEX(machina!$A7:$FB7,MATCH(T$19&amp;$C$17,machina[#Headers],))=""," ",INDEX(machina!$A7:$FB7,MATCH(T$19&amp;$C$17,machina[#Headers],)))</f>
        <v>3</v>
      </c>
      <c r="U24" s="287">
        <f>IF(INDEX(machina!$A7:$FB7,MATCH(U$19&amp;$C$17,machina[#Headers],))=""," ",INDEX(machina!$A7:$FB7,MATCH(U$19&amp;$C$17,machina[#Headers],)))</f>
        <v>50</v>
      </c>
      <c r="V24" s="287">
        <f>IF(INDEX(machina!$A7:$FB7,MATCH(V$19&amp;$C$17,machina[#Headers],))=""," ",INDEX(machina!$A7:$FB7,MATCH(V$19&amp;$C$17,machina[#Headers],)))</f>
        <v>2</v>
      </c>
      <c r="W24" s="287">
        <f>IF(INDEX(machina!$A7:$FB7,MATCH(W$19&amp;$C$17,machina[#Headers],))=""," ",INDEX(machina!$A7:$FB7,MATCH(W$19&amp;$C$17,machina[#Headers],)))</f>
        <v>1</v>
      </c>
      <c r="X24" s="287">
        <f>IF(INDEX(machina!$A7:$FB7,MATCH(X$19&amp;$C$17,machina[#Headers],))=""," ",INDEX(machina!$A7:$FB7,MATCH(X$19&amp;$C$17,machina[#Headers],)))</f>
        <v>50</v>
      </c>
      <c r="Y24" s="287">
        <f>IF(INDEX(machina!$A7:$FB7,MATCH(Y$19&amp;$C$17,machina[#Headers],))=""," ",INDEX(machina!$A7:$FB7,MATCH(Y$19&amp;$C$17,machina[#Headers],)))</f>
        <v>90</v>
      </c>
      <c r="Z24" s="287">
        <f>IF(INDEX(machina!$A7:$FB7,MATCH(Z$19&amp;$C$17,machina[#Headers],))=""," ",INDEX(machina!$A7:$FB7,MATCH(Z$19&amp;$C$17,machina[#Headers],)))</f>
        <v>1</v>
      </c>
      <c r="AA24" s="287">
        <f>IF(INDEX(machina!$A7:$FB7,MATCH(AA$19&amp;$C$17,machina[#Headers],))=""," ",INDEX(machina!$A7:$FB7,MATCH(AA$19&amp;$C$17,machina[#Headers],)))</f>
        <v>50</v>
      </c>
      <c r="AB24" s="287">
        <f>IF(INDEX(machina!$A7:$FB7,MATCH(AB$19&amp;$C$17,machina[#Headers],))=""," ",INDEX(machina!$A7:$FB7,MATCH(AB$19&amp;$C$17,machina[#Headers],)))</f>
        <v>8</v>
      </c>
      <c r="AC24" s="287">
        <f>IF(INDEX(machina!$A7:$FB7,MATCH(AC$19&amp;$C$17,machina[#Headers],))=""," ",INDEX(machina!$A7:$FB7,MATCH(AC$19&amp;$C$17,machina[#Headers],)))</f>
        <v>0</v>
      </c>
      <c r="AD24" s="287">
        <f>IF(INDEX(machina!$A7:$FB7,MATCH(AD$19&amp;$C$17,machina[#Headers],))=""," ",INDEX(machina!$A7:$FB7,MATCH(AD$19&amp;$C$17,machina[#Headers],)))</f>
        <v>0</v>
      </c>
      <c r="AE24" s="287">
        <f>IF(INDEX(machina!$A7:$FB7,MATCH(AE$19&amp;$C$17,machina[#Headers],))=""," ",INDEX(machina!$A7:$FB7,MATCH(AE$19&amp;$C$17,machina[#Headers],)))</f>
        <v>-100</v>
      </c>
      <c r="AF24" s="287">
        <f>IF(INDEX(machina!$A7:$FB7,MATCH(AF$19&amp;$C$17,machina[#Headers],))=""," ",INDEX(machina!$A7:$FB7,MATCH(AF$19&amp;$C$17,machina[#Headers],)))</f>
        <v>3</v>
      </c>
      <c r="AG24" s="287">
        <f>IF(INDEX(machina!$A7:$FB7,MATCH(AG$19&amp;$C$17,machina[#Headers],))=""," ",INDEX(machina!$A7:$FB7,MATCH(AG$19&amp;$C$17,machina[#Headers],)))</f>
        <v>37.5</v>
      </c>
      <c r="AH24" s="287">
        <f>IF(INDEX(machina!$A7:$FB7,MATCH(AH$19&amp;$C$17,machina[#Headers],))=""," ",INDEX(machina!$A7:$FB7,MATCH(AH$19&amp;$C$17,machina[#Headers],)))</f>
        <v>1209</v>
      </c>
      <c r="AI24" s="287">
        <f>IF(INDEX(machina!$A7:$FB7,MATCH(AI$19&amp;$C$17,machina[#Headers],))=""," ",INDEX(machina!$A7:$FB7,MATCH(AI$19&amp;$C$17,machina[#Headers],)))</f>
        <v>100</v>
      </c>
      <c r="AJ24" s="287">
        <f>IF(INDEX(machina!$A7:$FB7,MATCH(AJ$19&amp;$C$17,machina[#Headers],))=""," ",INDEX(machina!$A7:$FB7,MATCH(AJ$19&amp;$C$17,machina[#Headers],)))</f>
        <v>10</v>
      </c>
      <c r="AK24" s="287">
        <f>IF(INDEX(machina!$A7:$FB7,MATCH(AK$19&amp;$C$17,machina[#Headers],))=""," ",INDEX(machina!$A7:$FB7,MATCH(AK$19&amp;$C$17,machina[#Headers],)))</f>
        <v>10</v>
      </c>
      <c r="AL24" s="287">
        <f>IF(INDEX(machina!$A7:$FB7,MATCH(AL$19&amp;$C$17,machina[#Headers],))=""," ",INDEX(machina!$A7:$FB7,MATCH(AL$19&amp;$C$17,machina[#Headers],)))</f>
        <v>-56</v>
      </c>
      <c r="AM24" s="287">
        <f>IF(INDEX(machina!$A7:$FB7,MATCH(AM$19&amp;$C$17,machina[#Headers],))=""," ",INDEX(machina!$A7:$FB7,MATCH(AM$19&amp;$C$17,machina[#Headers],)))</f>
        <v>29</v>
      </c>
      <c r="AN24" s="287">
        <f>IF(INDEX(machina!$A7:$FB7,MATCH(AN$19&amp;$C$17,machina[#Headers],))=""," ",INDEX(machina!$A7:$FB7,MATCH(AN$19&amp;$C$17,machina[#Headers],)))</f>
        <v>29</v>
      </c>
      <c r="AO24" s="287">
        <f>IF(INDEX(machina!$A7:$FB7,MATCH(AO$19&amp;$C$17,machina[#Headers],))=""," ",INDEX(machina!$A7:$FB7,MATCH(AO$19&amp;$C$17,machina[#Headers],)))</f>
        <v>1703</v>
      </c>
      <c r="AP24" s="287">
        <f>IF(INDEX(machina!$A7:$FB7,MATCH(AP$19&amp;$C$17,machina[#Headers],))=""," ",INDEX(machina!$A7:$FB7,MATCH(AP$19&amp;$C$17,machina[#Headers],)))</f>
        <v>42</v>
      </c>
      <c r="AQ24" s="287">
        <f>IF(INDEX(machina!$A7:$FB7,MATCH(AQ$19&amp;$C$17,machina[#Headers],))=""," ",INDEX(machina!$A7:$FB7,MATCH(AQ$19&amp;$C$17,machina[#Headers],)))</f>
        <v>6</v>
      </c>
      <c r="AR24" s="287">
        <f>IF(INDEX(machina!$A7:$FB7,MATCH(AR$19&amp;$C$17,machina[#Headers],))=""," ",INDEX(machina!$A7:$FB7,MATCH(AR$19&amp;$C$17,machina[#Headers],)))</f>
        <v>14.29</v>
      </c>
      <c r="AS24" s="287">
        <f>IF(INDEX(machina!$A7:$FB7,MATCH(AS$19&amp;$C$17,machina[#Headers],))=""," ",INDEX(machina!$A7:$FB7,MATCH(AS$19&amp;$C$17,machina[#Headers],)))</f>
        <v>-20</v>
      </c>
      <c r="AT24" s="287">
        <f>IF(INDEX(machina!$A7:$FB7,MATCH(AT$19&amp;$C$17,machina[#Headers],))=""," ",INDEX(machina!$A7:$FB7,MATCH(AT$19&amp;$C$17,machina[#Headers],)))</f>
        <v>12</v>
      </c>
      <c r="AU24" s="287">
        <f>IF(INDEX(machina!$A7:$FB7,MATCH(AU$19&amp;$C$17,machina[#Headers],))=""," ",INDEX(machina!$A7:$FB7,MATCH(AU$19&amp;$C$17,machina[#Headers],)))</f>
        <v>28.57</v>
      </c>
      <c r="AV24" s="287">
        <f>IF(INDEX(machina!$A7:$FB7,MATCH(AV$19&amp;$C$17,machina[#Headers],))=""," ",INDEX(machina!$A7:$FB7,MATCH(AV$19&amp;$C$17,machina[#Headers],)))</f>
        <v>1703</v>
      </c>
      <c r="AW24" s="287">
        <f>IF(INDEX(machina!$A7:$FB7,MATCH(AW$19&amp;$C$17,machina[#Headers],))=""," ",INDEX(machina!$A7:$FB7,MATCH(AW$19&amp;$C$17,machina[#Headers],)))</f>
        <v>42</v>
      </c>
      <c r="AX24" s="287">
        <f>IF(INDEX(machina!$A7:$FB7,MATCH(AX$19&amp;$C$17,machina[#Headers],))=""," ",INDEX(machina!$A7:$FB7,MATCH(AX$19&amp;$C$17,machina[#Headers],)))</f>
        <v>6</v>
      </c>
      <c r="AY24" s="287">
        <f>IF(INDEX(machina!$A7:$FB7,MATCH(AY$19&amp;$C$17,machina[#Headers],))=""," ",INDEX(machina!$A7:$FB7,MATCH(AY$19&amp;$C$17,machina[#Headers],)))</f>
        <v>14.29</v>
      </c>
      <c r="AZ24" s="287">
        <f>IF(INDEX(machina!$A7:$FB7,MATCH(AZ$19&amp;$C$17,machina[#Headers],))=""," ",INDEX(machina!$A7:$FB7,MATCH(AZ$19&amp;$C$17,machina[#Headers],)))</f>
        <v>-20</v>
      </c>
      <c r="BA24" s="287">
        <f>IF(INDEX(machina!$A7:$FB7,MATCH(BA$19&amp;$C$17,machina[#Headers],))=""," ",INDEX(machina!$A7:$FB7,MATCH(BA$19&amp;$C$17,machina[#Headers],)))</f>
        <v>12</v>
      </c>
      <c r="BB24" s="287">
        <f>IF(INDEX(machina!$A7:$FB7,MATCH(BB$19&amp;$C$17,machina[#Headers],))=""," ",INDEX(machina!$A7:$FB7,MATCH(BB$19&amp;$C$17,machina[#Headers],)))</f>
        <v>28.57</v>
      </c>
      <c r="BC24" s="287">
        <f>IF(INDEX(machina!$A7:$FB7,MATCH(BC$19&amp;$C$17,machina[#Headers],))=""," ",INDEX(machina!$A7:$FB7,MATCH(BC$19&amp;$C$17,machina[#Headers],)))</f>
        <v>957</v>
      </c>
      <c r="BD24" s="287">
        <f>IF(INDEX(machina!$A7:$FB7,MATCH(BD$19&amp;$C$17,machina[#Headers],))=""," ",INDEX(machina!$A7:$FB7,MATCH(BD$19&amp;$C$17,machina[#Headers],)))</f>
        <v>2</v>
      </c>
      <c r="BE24" s="287">
        <f>IF(INDEX(machina!$A7:$FB7,MATCH(BE$19&amp;$C$17,machina[#Headers],))=""," ",INDEX(machina!$A7:$FB7,MATCH(BE$19&amp;$C$17,machina[#Headers],)))</f>
        <v>4.6500000000000004</v>
      </c>
      <c r="BF24" s="287">
        <f>IF(INDEX(machina!$A7:$FB7,MATCH(BF$19&amp;$C$17,machina[#Headers],))=""," ",INDEX(machina!$A7:$FB7,MATCH(BF$19&amp;$C$17,machina[#Headers],)))</f>
        <v>-42</v>
      </c>
      <c r="BG24" s="287">
        <f>IF(INDEX(machina!$A7:$FB7,MATCH(BG$19&amp;$C$17,machina[#Headers],))=""," ",INDEX(machina!$A7:$FB7,MATCH(BG$19&amp;$C$17,machina[#Headers],)))</f>
        <v>14</v>
      </c>
      <c r="BH24" s="287">
        <f>IF(INDEX(machina!$A7:$FB7,MATCH(BH$19&amp;$C$17,machina[#Headers],))=""," ",INDEX(machina!$A7:$FB7,MATCH(BH$19&amp;$C$17,machina[#Headers],)))</f>
        <v>32.56</v>
      </c>
      <c r="BI24" s="287">
        <f>IF(INDEX(machina!$A7:$FB7,MATCH(BI$19&amp;$C$17,machina[#Headers],))=""," ",INDEX(machina!$A7:$FB7,MATCH(BI$19&amp;$C$17,machina[#Headers],)))</f>
        <v>781</v>
      </c>
      <c r="BJ24" s="287">
        <f>IF(INDEX(machina!$A7:$FB7,MATCH(BJ$19&amp;$C$17,machina[#Headers],))=""," ",INDEX(machina!$A7:$FB7,MATCH(BJ$19&amp;$C$17,machina[#Headers],)))</f>
        <v>36</v>
      </c>
      <c r="BK24" s="287">
        <f>IF(INDEX(machina!$A7:$FB7,MATCH(BK$19&amp;$C$17,machina[#Headers],))=""," ",INDEX(machina!$A7:$FB7,MATCH(BK$19&amp;$C$17,machina[#Headers],)))</f>
        <v>1</v>
      </c>
      <c r="BL24" s="287">
        <f>IF(INDEX(machina!$A7:$FB7,MATCH(BL$19&amp;$C$17,machina[#Headers],))=""," ",INDEX(machina!$A7:$FB7,MATCH(BL$19&amp;$C$17,machina[#Headers],)))</f>
        <v>2.78</v>
      </c>
      <c r="BM24" s="287">
        <f>IF(INDEX(machina!$A7:$FB7,MATCH(BM$19&amp;$C$17,machina[#Headers],))=""," ",INDEX(machina!$A7:$FB7,MATCH(BM$19&amp;$C$17,machina[#Headers],)))</f>
        <v>-53</v>
      </c>
      <c r="BN24" s="287">
        <f>IF(INDEX(machina!$A7:$FB7,MATCH(BN$19&amp;$C$17,machina[#Headers],))=""," ",INDEX(machina!$A7:$FB7,MATCH(BN$19&amp;$C$17,machina[#Headers],)))</f>
        <v>10</v>
      </c>
      <c r="BO24" s="287">
        <f>IF(INDEX(machina!$A7:$FB7,MATCH(BO$19&amp;$C$17,machina[#Headers],))=""," ",INDEX(machina!$A7:$FB7,MATCH(BO$19&amp;$C$17,machina[#Headers],)))</f>
        <v>27.78</v>
      </c>
      <c r="BP24" s="287">
        <f>IF(INDEX(machina!$A7:$FB7,MATCH(BP$19&amp;$C$17,machina[#Headers],))=""," ",INDEX(machina!$A7:$FB7,MATCH(BP$19&amp;$C$17,machina[#Headers],)))</f>
        <v>763</v>
      </c>
      <c r="BQ24" s="287">
        <f>IF(INDEX(machina!$A7:$FB7,MATCH(BQ$19&amp;$C$17,machina[#Headers],))=""," ",INDEX(machina!$A7:$FB7,MATCH(BQ$19&amp;$C$17,machina[#Headers],)))</f>
        <v>35</v>
      </c>
      <c r="BR24" s="287">
        <f>IF(INDEX(machina!$A7:$FB7,MATCH(BR$19&amp;$C$17,machina[#Headers],))=""," ",INDEX(machina!$A7:$FB7,MATCH(BR$19&amp;$C$17,machina[#Headers],)))</f>
        <v>1</v>
      </c>
      <c r="BS24" s="287">
        <f>IF(INDEX(machina!$A7:$FB7,MATCH(BS$19&amp;$C$17,machina[#Headers],))=""," ",INDEX(machina!$A7:$FB7,MATCH(BS$19&amp;$C$17,machina[#Headers],)))</f>
        <v>2.86</v>
      </c>
      <c r="BT24" s="287">
        <f>IF(INDEX(machina!$A7:$FB7,MATCH(BT$19&amp;$C$17,machina[#Headers],))=""," ",INDEX(machina!$A7:$FB7,MATCH(BT$19&amp;$C$17,machina[#Headers],)))</f>
        <v>-51</v>
      </c>
      <c r="BU24" s="287">
        <f>IF(INDEX(machina!$A7:$FB7,MATCH(BU$19&amp;$C$17,machina[#Headers],))=""," ",INDEX(machina!$A7:$FB7,MATCH(BU$19&amp;$C$17,machina[#Headers],)))</f>
        <v>9</v>
      </c>
      <c r="BV24" s="287">
        <f>IF(INDEX(machina!$A7:$FB7,MATCH(BV$19&amp;$C$17,machina[#Headers],))=""," ",INDEX(machina!$A7:$FB7,MATCH(BV$19&amp;$C$17,machina[#Headers],)))</f>
        <v>25.71</v>
      </c>
      <c r="BW24" s="287">
        <f>IF(INDEX(machina!$A7:$FB7,MATCH(BW$19&amp;$C$17,machina[#Headers],))=""," ",INDEX(machina!$A7:$FB7,MATCH(BW$19&amp;$C$17,machina[#Headers],)))</f>
        <v>3</v>
      </c>
      <c r="BX24" s="287">
        <f>IF(INDEX(machina!$A7:$FB7,MATCH(BX$19&amp;$C$17,machina[#Headers],))=""," ",INDEX(machina!$A7:$FB7,MATCH(BX$19&amp;$C$17,machina[#Headers],)))</f>
        <v>2.85</v>
      </c>
      <c r="BY24" s="287">
        <f>IF(INDEX(machina!$A7:$FB7,MATCH(BY$19&amp;$C$17,machina[#Headers],))=""," ",INDEX(machina!$A7:$FB7,MATCH(BY$19&amp;$C$17,machina[#Headers],)))</f>
        <v>130</v>
      </c>
      <c r="BZ24" s="287">
        <f>IF(INDEX(machina!$A7:$FB7,MATCH(BZ$19&amp;$C$17,machina[#Headers],))=""," ",INDEX(machina!$A7:$FB7,MATCH(BZ$19&amp;$C$17,machina[#Headers],)))</f>
        <v>700</v>
      </c>
      <c r="CA24" s="287">
        <f>IF(INDEX(machina!$A7:$FB7,MATCH(CA$19&amp;$C$17,machina[#Headers],))=""," ",INDEX(machina!$A7:$FB7,MATCH(CA$19&amp;$C$17,machina[#Headers],)))</f>
        <v>2050.5802777777776</v>
      </c>
      <c r="CB24" s="288">
        <f>IF(INDEX('Raw Data'!$A7:$EA7,MATCH(CB$19,RawData[#Headers],))=""," ",INDEX('Raw Data'!$A7:$EA7,MATCH(CB$19,RawData[#Headers],)))</f>
        <v>1</v>
      </c>
      <c r="CD24" s="298">
        <f t="shared" si="36"/>
        <v>21</v>
      </c>
      <c r="CE24" s="298">
        <f t="shared" si="42"/>
        <v>8.4562500000000007</v>
      </c>
      <c r="CF24" s="298">
        <f t="shared" si="43"/>
        <v>3</v>
      </c>
      <c r="CG24" s="298">
        <f>IF(CE24=""," ",INDEX($CU$9:$CU$12,MATCH(CF24,analysis[CLUSTER],0)))</f>
        <v>1</v>
      </c>
      <c r="CH24" s="298">
        <f t="shared" si="44"/>
        <v>6</v>
      </c>
      <c r="CI24" s="298">
        <f t="shared" si="45"/>
        <v>6</v>
      </c>
      <c r="CJ24" s="309" t="s">
        <v>578</v>
      </c>
      <c r="CK24" s="298">
        <f>$CK$20-ROUND(STDEV($CL$20:$CL$45),0)</f>
        <v>2</v>
      </c>
      <c r="CL24" s="298">
        <f t="shared" si="46"/>
        <v>6</v>
      </c>
      <c r="CM24" s="295" t="s">
        <v>308</v>
      </c>
      <c r="CN24" s="326">
        <f t="shared" si="37"/>
        <v>79</v>
      </c>
      <c r="CO24" s="326" t="s">
        <v>695</v>
      </c>
      <c r="CP24" s="326"/>
      <c r="CQ24" s="315">
        <f t="shared" si="38"/>
        <v>1</v>
      </c>
      <c r="CR24" s="333" t="str">
        <f t="shared" si="47"/>
        <v xml:space="preserve"> </v>
      </c>
      <c r="CS24" s="333" t="str">
        <f t="shared" si="48"/>
        <v xml:space="preserve"> </v>
      </c>
      <c r="CT24" s="333">
        <f t="shared" si="49"/>
        <v>6</v>
      </c>
      <c r="CU24" s="333" t="str">
        <f t="shared" si="50"/>
        <v xml:space="preserve"> </v>
      </c>
      <c r="CV24" s="326"/>
      <c r="CW24" s="315">
        <f t="shared" si="51"/>
        <v>1</v>
      </c>
      <c r="CX24" s="333" t="str">
        <f>IF($CH24&lt;=CX$19,$CH24," ")</f>
        <v xml:space="preserve"> </v>
      </c>
      <c r="CY24" s="333" t="str">
        <f t="shared" si="53"/>
        <v xml:space="preserve"> </v>
      </c>
      <c r="CZ24" s="333">
        <f t="shared" si="53"/>
        <v>6</v>
      </c>
      <c r="DA24" s="333" t="str">
        <f t="shared" si="53"/>
        <v xml:space="preserve"> </v>
      </c>
      <c r="DB24" s="326">
        <v>5</v>
      </c>
      <c r="DC24" s="337" t="str">
        <f t="shared" si="54"/>
        <v xml:space="preserve"> </v>
      </c>
      <c r="DD24" s="337" t="str">
        <f t="shared" si="55"/>
        <v xml:space="preserve"> </v>
      </c>
      <c r="DE24" s="337" t="str">
        <f t="shared" si="56"/>
        <v xml:space="preserve"> </v>
      </c>
      <c r="DF24" s="337" t="str">
        <f t="shared" si="57"/>
        <v xml:space="preserve"> </v>
      </c>
      <c r="DG24" s="344" t="str">
        <f t="shared" si="58"/>
        <v xml:space="preserve"> </v>
      </c>
      <c r="DH24" s="337" t="str">
        <f t="shared" si="59"/>
        <v xml:space="preserve"> </v>
      </c>
      <c r="DI24" s="337" t="str">
        <f t="shared" si="41"/>
        <v xml:space="preserve"> </v>
      </c>
      <c r="DJ24" s="337">
        <f t="shared" si="41"/>
        <v>6</v>
      </c>
      <c r="DK24" s="337" t="str">
        <f t="shared" si="41"/>
        <v xml:space="preserve"> </v>
      </c>
      <c r="DL24" s="344">
        <f t="shared" si="60"/>
        <v>6</v>
      </c>
      <c r="DN24" s="292" t="str">
        <f>IFERROR(VLOOKUP($A24,'Raw Data'!$A$3:$EV$32,152,FALSE)," ")</f>
        <v>NOW</v>
      </c>
    </row>
    <row r="25" spans="1:118" x14ac:dyDescent="0.3">
      <c r="A25" s="255">
        <f>'Raw Data'!A8</f>
        <v>7</v>
      </c>
      <c r="B25" s="287">
        <f>IF(INDEX(machina!$A8:$FB8,MATCH(B$19&amp;$C$17,machina[#Headers],))=""," ",INDEX(machina!$A8:$FB8,MATCH(B$19&amp;$C$17,machina[#Headers],)))</f>
        <v>10.96</v>
      </c>
      <c r="C25" s="287">
        <f>IF(INDEX(machina!$A8:$FB8,MATCH(C$19&amp;$C$17,machina[#Headers],))=""," ",INDEX(machina!$A8:$FB8,MATCH(C$19&amp;$C$17,machina[#Headers],)))</f>
        <v>-32</v>
      </c>
      <c r="D25" s="287">
        <f>IF(INDEX(machina!$A8:$FB8,MATCH(D$19&amp;$C$17,machina[#Headers],))=""," ",INDEX(machina!$A8:$FB8,MATCH(D$19&amp;$C$17,machina[#Headers],)))</f>
        <v>24</v>
      </c>
      <c r="E25" s="287">
        <f>IF(INDEX(machina!$A8:$FB8,MATCH(E$19&amp;$C$17,machina[#Headers],))=""," ",INDEX(machina!$A8:$FB8,MATCH(E$19&amp;$C$17,machina[#Headers],)))</f>
        <v>32.880000000000003</v>
      </c>
      <c r="F25" s="287">
        <f>IF(INDEX(machina!$A8:$FB8,MATCH(F$19&amp;$C$17,machina[#Headers],))=""," ",INDEX(machina!$A8:$FB8,MATCH(F$19&amp;$C$17,machina[#Headers],)))</f>
        <v>1511</v>
      </c>
      <c r="G25" s="287">
        <f>IF(INDEX(machina!$A8:$FB8,MATCH(G$19&amp;$C$17,machina[#Headers],))=""," ",INDEX(machina!$A8:$FB8,MATCH(G$19&amp;$C$17,machina[#Headers],)))</f>
        <v>23.5</v>
      </c>
      <c r="H25" s="287">
        <f>IF(INDEX(machina!$A8:$FB8,MATCH(H$19&amp;$C$17,machina[#Headers],))=""," ",INDEX(machina!$A8:$FB8,MATCH(H$19&amp;$C$17,machina[#Headers],)))</f>
        <v>20</v>
      </c>
      <c r="I25" s="287">
        <f>IF(INDEX(machina!$A8:$FB8,MATCH(I$19&amp;$C$17,machina[#Headers],))=""," ",INDEX(machina!$A8:$FB8,MATCH(I$19&amp;$C$17,machina[#Headers],)))</f>
        <v>55.5</v>
      </c>
      <c r="J25" s="287">
        <f>IF(INDEX(machina!$A8:$FB8,MATCH(J$19&amp;$C$17,machina[#Headers],))=""," ",INDEX(machina!$A8:$FB8,MATCH(J$19&amp;$C$17,machina[#Headers],)))</f>
        <v>6</v>
      </c>
      <c r="K25" s="287">
        <f>IF(INDEX(machina!$A8:$FB8,MATCH(K$19&amp;$C$17,machina[#Headers],))=""," ",INDEX(machina!$A8:$FB8,MATCH(K$19&amp;$C$17,machina[#Headers],)))</f>
        <v>0</v>
      </c>
      <c r="L25" s="287">
        <f>IF(INDEX(machina!$A8:$FB8,MATCH(L$19&amp;$C$17,machina[#Headers],))=""," ",INDEX(machina!$A8:$FB8,MATCH(L$19&amp;$C$17,machina[#Headers],)))</f>
        <v>0</v>
      </c>
      <c r="M25" s="287">
        <f>IF(INDEX(machina!$A8:$FB8,MATCH(M$19&amp;$C$17,machina[#Headers],))=""," ",INDEX(machina!$A8:$FB8,MATCH(M$19&amp;$C$17,machina[#Headers],)))</f>
        <v>-100</v>
      </c>
      <c r="N25" s="287">
        <f>IF(INDEX(machina!$A8:$FB8,MATCH(N$19&amp;$C$17,machina[#Headers],))=""," ",INDEX(machina!$A8:$FB8,MATCH(N$19&amp;$C$17,machina[#Headers],)))</f>
        <v>3</v>
      </c>
      <c r="O25" s="287">
        <f>IF(INDEX(machina!$A8:$FB8,MATCH(O$19&amp;$C$17,machina[#Headers],))=""," ",INDEX(machina!$A8:$FB8,MATCH(O$19&amp;$C$17,machina[#Headers],)))</f>
        <v>50</v>
      </c>
      <c r="P25" s="287">
        <f>IF(INDEX(machina!$A8:$FB8,MATCH(P$19&amp;$C$17,machina[#Headers],))=""," ",INDEX(machina!$A8:$FB8,MATCH(P$19&amp;$C$17,machina[#Headers],)))</f>
        <v>5</v>
      </c>
      <c r="Q25" s="287">
        <f>IF(INDEX(machina!$A8:$FB8,MATCH(Q$19&amp;$C$17,machina[#Headers],))=""," ",INDEX(machina!$A8:$FB8,MATCH(Q$19&amp;$C$17,machina[#Headers],)))</f>
        <v>0</v>
      </c>
      <c r="R25" s="287">
        <f>IF(INDEX(machina!$A8:$FB8,MATCH(R$19&amp;$C$17,machina[#Headers],))=""," ",INDEX(machina!$A8:$FB8,MATCH(R$19&amp;$C$17,machina[#Headers],)))</f>
        <v>0</v>
      </c>
      <c r="S25" s="287">
        <f>IF(INDEX(machina!$A8:$FB8,MATCH(S$19&amp;$C$17,machina[#Headers],))=""," ",INDEX(machina!$A8:$FB8,MATCH(S$19&amp;$C$17,machina[#Headers],)))</f>
        <v>-100</v>
      </c>
      <c r="T25" s="287">
        <f>IF(INDEX(machina!$A8:$FB8,MATCH(T$19&amp;$C$17,machina[#Headers],))=""," ",INDEX(machina!$A8:$FB8,MATCH(T$19&amp;$C$17,machina[#Headers],)))</f>
        <v>2</v>
      </c>
      <c r="U25" s="287">
        <f>IF(INDEX(machina!$A8:$FB8,MATCH(U$19&amp;$C$17,machina[#Headers],))=""," ",INDEX(machina!$A8:$FB8,MATCH(U$19&amp;$C$17,machina[#Headers],)))</f>
        <v>40</v>
      </c>
      <c r="V25" s="287">
        <f>IF(INDEX(machina!$A8:$FB8,MATCH(V$19&amp;$C$17,machina[#Headers],))=""," ",INDEX(machina!$A8:$FB8,MATCH(V$19&amp;$C$17,machina[#Headers],)))</f>
        <v>2</v>
      </c>
      <c r="W25" s="287">
        <f>IF(INDEX(machina!$A8:$FB8,MATCH(W$19&amp;$C$17,machina[#Headers],))=""," ",INDEX(machina!$A8:$FB8,MATCH(W$19&amp;$C$17,machina[#Headers],)))</f>
        <v>0</v>
      </c>
      <c r="X25" s="287">
        <f>IF(INDEX(machina!$A8:$FB8,MATCH(X$19&amp;$C$17,machina[#Headers],))=""," ",INDEX(machina!$A8:$FB8,MATCH(X$19&amp;$C$17,machina[#Headers],)))</f>
        <v>0</v>
      </c>
      <c r="Y25" s="287">
        <f>IF(INDEX(machina!$A8:$FB8,MATCH(Y$19&amp;$C$17,machina[#Headers],))=""," ",INDEX(machina!$A8:$FB8,MATCH(Y$19&amp;$C$17,machina[#Headers],)))</f>
        <v>-100</v>
      </c>
      <c r="Z25" s="287">
        <f>IF(INDEX(machina!$A8:$FB8,MATCH(Z$19&amp;$C$17,machina[#Headers],))=""," ",INDEX(machina!$A8:$FB8,MATCH(Z$19&amp;$C$17,machina[#Headers],)))</f>
        <v>1</v>
      </c>
      <c r="AA25" s="287">
        <f>IF(INDEX(machina!$A8:$FB8,MATCH(AA$19&amp;$C$17,machina[#Headers],))=""," ",INDEX(machina!$A8:$FB8,MATCH(AA$19&amp;$C$17,machina[#Headers],)))</f>
        <v>50</v>
      </c>
      <c r="AB25" s="287">
        <f>IF(INDEX(machina!$A8:$FB8,MATCH(AB$19&amp;$C$17,machina[#Headers],))=""," ",INDEX(machina!$A8:$FB8,MATCH(AB$19&amp;$C$17,machina[#Headers],)))</f>
        <v>10</v>
      </c>
      <c r="AC25" s="287">
        <f>IF(INDEX(machina!$A8:$FB8,MATCH(AC$19&amp;$C$17,machina[#Headers],))=""," ",INDEX(machina!$A8:$FB8,MATCH(AC$19&amp;$C$17,machina[#Headers],)))</f>
        <v>1</v>
      </c>
      <c r="AD25" s="287">
        <f>IF(INDEX(machina!$A8:$FB8,MATCH(AD$19&amp;$C$17,machina[#Headers],))=""," ",INDEX(machina!$A8:$FB8,MATCH(AD$19&amp;$C$17,machina[#Headers],)))</f>
        <v>10</v>
      </c>
      <c r="AE25" s="287">
        <f>IF(INDEX(machina!$A8:$FB8,MATCH(AE$19&amp;$C$17,machina[#Headers],))=""," ",INDEX(machina!$A8:$FB8,MATCH(AE$19&amp;$C$17,machina[#Headers],)))</f>
        <v>-74</v>
      </c>
      <c r="AF25" s="287">
        <f>IF(INDEX(machina!$A8:$FB8,MATCH(AF$19&amp;$C$17,machina[#Headers],))=""," ",INDEX(machina!$A8:$FB8,MATCH(AF$19&amp;$C$17,machina[#Headers],)))</f>
        <v>2</v>
      </c>
      <c r="AG25" s="287">
        <f>IF(INDEX(machina!$A8:$FB8,MATCH(AG$19&amp;$C$17,machina[#Headers],))=""," ",INDEX(machina!$A8:$FB8,MATCH(AG$19&amp;$C$17,machina[#Headers],)))</f>
        <v>20</v>
      </c>
      <c r="AH25" s="287">
        <f>IF(INDEX(machina!$A8:$FB8,MATCH(AH$19&amp;$C$17,machina[#Headers],))=""," ",INDEX(machina!$A8:$FB8,MATCH(AH$19&amp;$C$17,machina[#Headers],)))</f>
        <v>1258</v>
      </c>
      <c r="AI25" s="287">
        <f>IF(INDEX(machina!$A8:$FB8,MATCH(AI$19&amp;$C$17,machina[#Headers],))=""," ",INDEX(machina!$A8:$FB8,MATCH(AI$19&amp;$C$17,machina[#Headers],)))</f>
        <v>100</v>
      </c>
      <c r="AJ25" s="287">
        <f>IF(INDEX(machina!$A8:$FB8,MATCH(AJ$19&amp;$C$17,machina[#Headers],))=""," ",INDEX(machina!$A8:$FB8,MATCH(AJ$19&amp;$C$17,machina[#Headers],)))</f>
        <v>11</v>
      </c>
      <c r="AK25" s="287">
        <f>IF(INDEX(machina!$A8:$FB8,MATCH(AK$19&amp;$C$17,machina[#Headers],))=""," ",INDEX(machina!$A8:$FB8,MATCH(AK$19&amp;$C$17,machina[#Headers],)))</f>
        <v>11</v>
      </c>
      <c r="AL25" s="287">
        <f>IF(INDEX(machina!$A8:$FB8,MATCH(AL$19&amp;$C$17,machina[#Headers],))=""," ",INDEX(machina!$A8:$FB8,MATCH(AL$19&amp;$C$17,machina[#Headers],)))</f>
        <v>-62</v>
      </c>
      <c r="AM25" s="287">
        <f>IF(INDEX(machina!$A8:$FB8,MATCH(AM$19&amp;$C$17,machina[#Headers],))=""," ",INDEX(machina!$A8:$FB8,MATCH(AM$19&amp;$C$17,machina[#Headers],)))</f>
        <v>51</v>
      </c>
      <c r="AN25" s="287">
        <f>IF(INDEX(machina!$A8:$FB8,MATCH(AN$19&amp;$C$17,machina[#Headers],))=""," ",INDEX(machina!$A8:$FB8,MATCH(AN$19&amp;$C$17,machina[#Headers],)))</f>
        <v>51</v>
      </c>
      <c r="AO25" s="287">
        <f>IF(INDEX(machina!$A8:$FB8,MATCH(AO$19&amp;$C$17,machina[#Headers],))=""," ",INDEX(machina!$A8:$FB8,MATCH(AO$19&amp;$C$17,machina[#Headers],)))</f>
        <v>1357</v>
      </c>
      <c r="AP25" s="287">
        <f>IF(INDEX(machina!$A8:$FB8,MATCH(AP$19&amp;$C$17,machina[#Headers],))=""," ",INDEX(machina!$A8:$FB8,MATCH(AP$19&amp;$C$17,machina[#Headers],)))</f>
        <v>113</v>
      </c>
      <c r="AQ25" s="287">
        <f>IF(INDEX(machina!$A8:$FB8,MATCH(AQ$19&amp;$C$17,machina[#Headers],))=""," ",INDEX(machina!$A8:$FB8,MATCH(AQ$19&amp;$C$17,machina[#Headers],)))</f>
        <v>15</v>
      </c>
      <c r="AR25" s="287">
        <f>IF(INDEX(machina!$A8:$FB8,MATCH(AR$19&amp;$C$17,machina[#Headers],))=""," ",INDEX(machina!$A8:$FB8,MATCH(AR$19&amp;$C$17,machina[#Headers],)))</f>
        <v>13.27</v>
      </c>
      <c r="AS25" s="287">
        <f>IF(INDEX(machina!$A8:$FB8,MATCH(AS$19&amp;$C$17,machina[#Headers],))=""," ",INDEX(machina!$A8:$FB8,MATCH(AS$19&amp;$C$17,machina[#Headers],)))</f>
        <v>-46</v>
      </c>
      <c r="AT25" s="287">
        <f>IF(INDEX(machina!$A8:$FB8,MATCH(AT$19&amp;$C$17,machina[#Headers],))=""," ",INDEX(machina!$A8:$FB8,MATCH(AT$19&amp;$C$17,machina[#Headers],)))</f>
        <v>59</v>
      </c>
      <c r="AU25" s="287">
        <f>IF(INDEX(machina!$A8:$FB8,MATCH(AU$19&amp;$C$17,machina[#Headers],))=""," ",INDEX(machina!$A8:$FB8,MATCH(AU$19&amp;$C$17,machina[#Headers],)))</f>
        <v>52.21</v>
      </c>
      <c r="AV25" s="287">
        <f>IF(INDEX(machina!$A8:$FB8,MATCH(AV$19&amp;$C$17,machina[#Headers],))=""," ",INDEX(machina!$A8:$FB8,MATCH(AV$19&amp;$C$17,machina[#Headers],)))</f>
        <v>1193</v>
      </c>
      <c r="AW25" s="287">
        <f>IF(INDEX(machina!$A8:$FB8,MATCH(AW$19&amp;$C$17,machina[#Headers],))=""," ",INDEX(machina!$A8:$FB8,MATCH(AW$19&amp;$C$17,machina[#Headers],)))</f>
        <v>96</v>
      </c>
      <c r="AX25" s="287">
        <f>IF(INDEX(machina!$A8:$FB8,MATCH(AX$19&amp;$C$17,machina[#Headers],))=""," ",INDEX(machina!$A8:$FB8,MATCH(AX$19&amp;$C$17,machina[#Headers],)))</f>
        <v>9</v>
      </c>
      <c r="AY25" s="287">
        <f>IF(INDEX(machina!$A8:$FB8,MATCH(AY$19&amp;$C$17,machina[#Headers],))=""," ",INDEX(machina!$A8:$FB8,MATCH(AY$19&amp;$C$17,machina[#Headers],)))</f>
        <v>9.3800000000000008</v>
      </c>
      <c r="AZ25" s="287">
        <f>IF(INDEX(machina!$A8:$FB8,MATCH(AZ$19&amp;$C$17,machina[#Headers],))=""," ",INDEX(machina!$A8:$FB8,MATCH(AZ$19&amp;$C$17,machina[#Headers],)))</f>
        <v>-68</v>
      </c>
      <c r="BA25" s="287">
        <f>IF(INDEX(machina!$A8:$FB8,MATCH(BA$19&amp;$C$17,machina[#Headers],))=""," ",INDEX(machina!$A8:$FB8,MATCH(BA$19&amp;$C$17,machina[#Headers],)))</f>
        <v>50</v>
      </c>
      <c r="BB25" s="287">
        <f>IF(INDEX(machina!$A8:$FB8,MATCH(BB$19&amp;$C$17,machina[#Headers],))=""," ",INDEX(machina!$A8:$FB8,MATCH(BB$19&amp;$C$17,machina[#Headers],)))</f>
        <v>52.08</v>
      </c>
      <c r="BC25" s="287">
        <f>IF(INDEX(machina!$A8:$FB8,MATCH(BC$19&amp;$C$17,machina[#Headers],))=""," ",INDEX(machina!$A8:$FB8,MATCH(BC$19&amp;$C$17,machina[#Headers],)))</f>
        <v>628</v>
      </c>
      <c r="BD25" s="287">
        <f>IF(INDEX(machina!$A8:$FB8,MATCH(BD$19&amp;$C$17,machina[#Headers],))=""," ",INDEX(machina!$A8:$FB8,MATCH(BD$19&amp;$C$17,machina[#Headers],)))</f>
        <v>5</v>
      </c>
      <c r="BE25" s="287">
        <f>IF(INDEX(machina!$A8:$FB8,MATCH(BE$19&amp;$C$17,machina[#Headers],))=""," ",INDEX(machina!$A8:$FB8,MATCH(BE$19&amp;$C$17,machina[#Headers],)))</f>
        <v>5</v>
      </c>
      <c r="BF25" s="287">
        <f>IF(INDEX(machina!$A8:$FB8,MATCH(BF$19&amp;$C$17,machina[#Headers],))=""," ",INDEX(machina!$A8:$FB8,MATCH(BF$19&amp;$C$17,machina[#Headers],)))</f>
        <v>-56</v>
      </c>
      <c r="BG25" s="287">
        <f>IF(INDEX(machina!$A8:$FB8,MATCH(BG$19&amp;$C$17,machina[#Headers],))=""," ",INDEX(machina!$A8:$FB8,MATCH(BG$19&amp;$C$17,machina[#Headers],)))</f>
        <v>21</v>
      </c>
      <c r="BH25" s="287">
        <f>IF(INDEX(machina!$A8:$FB8,MATCH(BH$19&amp;$C$17,machina[#Headers],))=""," ",INDEX(machina!$A8:$FB8,MATCH(BH$19&amp;$C$17,machina[#Headers],)))</f>
        <v>21</v>
      </c>
      <c r="BI25" s="287">
        <f>IF(INDEX(machina!$A8:$FB8,MATCH(BI$19&amp;$C$17,machina[#Headers],))=""," ",INDEX(machina!$A8:$FB8,MATCH(BI$19&amp;$C$17,machina[#Headers],)))</f>
        <v>671</v>
      </c>
      <c r="BJ25" s="287">
        <f>IF(INDEX(machina!$A8:$FB8,MATCH(BJ$19&amp;$C$17,machina[#Headers],))=""," ",INDEX(machina!$A8:$FB8,MATCH(BJ$19&amp;$C$17,machina[#Headers],)))</f>
        <v>47</v>
      </c>
      <c r="BK25" s="287">
        <f>IF(INDEX(machina!$A8:$FB8,MATCH(BK$19&amp;$C$17,machina[#Headers],))=""," ",INDEX(machina!$A8:$FB8,MATCH(BK$19&amp;$C$17,machina[#Headers],)))</f>
        <v>4</v>
      </c>
      <c r="BL25" s="287">
        <f>IF(INDEX(machina!$A8:$FB8,MATCH(BL$19&amp;$C$17,machina[#Headers],))=""," ",INDEX(machina!$A8:$FB8,MATCH(BL$19&amp;$C$17,machina[#Headers],)))</f>
        <v>8.51</v>
      </c>
      <c r="BM25" s="287">
        <f>IF(INDEX(machina!$A8:$FB8,MATCH(BM$19&amp;$C$17,machina[#Headers],))=""," ",INDEX(machina!$A8:$FB8,MATCH(BM$19&amp;$C$17,machina[#Headers],)))</f>
        <v>-12</v>
      </c>
      <c r="BN25" s="287">
        <f>IF(INDEX(machina!$A8:$FB8,MATCH(BN$19&amp;$C$17,machina[#Headers],))=""," ",INDEX(machina!$A8:$FB8,MATCH(BN$19&amp;$C$17,machina[#Headers],)))</f>
        <v>9</v>
      </c>
      <c r="BO25" s="287">
        <f>IF(INDEX(machina!$A8:$FB8,MATCH(BO$19&amp;$C$17,machina[#Headers],))=""," ",INDEX(machina!$A8:$FB8,MATCH(BO$19&amp;$C$17,machina[#Headers],)))</f>
        <v>19.149999999999999</v>
      </c>
      <c r="BP25" s="287">
        <f>IF(INDEX(machina!$A8:$FB8,MATCH(BP$19&amp;$C$17,machina[#Headers],))=""," ",INDEX(machina!$A8:$FB8,MATCH(BP$19&amp;$C$17,machina[#Headers],)))</f>
        <v>790</v>
      </c>
      <c r="BQ25" s="287">
        <f>IF(INDEX(machina!$A8:$FB8,MATCH(BQ$19&amp;$C$17,machina[#Headers],))=""," ",INDEX(machina!$A8:$FB8,MATCH(BQ$19&amp;$C$17,machina[#Headers],)))</f>
        <v>39</v>
      </c>
      <c r="BR25" s="287">
        <f>IF(INDEX(machina!$A8:$FB8,MATCH(BR$19&amp;$C$17,machina[#Headers],))=""," ",INDEX(machina!$A8:$FB8,MATCH(BR$19&amp;$C$17,machina[#Headers],)))</f>
        <v>4</v>
      </c>
      <c r="BS25" s="287">
        <f>IF(INDEX(machina!$A8:$FB8,MATCH(BS$19&amp;$C$17,machina[#Headers],))=""," ",INDEX(machina!$A8:$FB8,MATCH(BS$19&amp;$C$17,machina[#Headers],)))</f>
        <v>10.26</v>
      </c>
      <c r="BT25" s="287">
        <f>IF(INDEX(machina!$A8:$FB8,MATCH(BT$19&amp;$C$17,machina[#Headers],))=""," ",INDEX(machina!$A8:$FB8,MATCH(BT$19&amp;$C$17,machina[#Headers],)))</f>
        <v>6</v>
      </c>
      <c r="BU25" s="287">
        <f>IF(INDEX(machina!$A8:$FB8,MATCH(BU$19&amp;$C$17,machina[#Headers],))=""," ",INDEX(machina!$A8:$FB8,MATCH(BU$19&amp;$C$17,machina[#Headers],)))</f>
        <v>8</v>
      </c>
      <c r="BV25" s="287">
        <f>IF(INDEX(machina!$A8:$FB8,MATCH(BV$19&amp;$C$17,machina[#Headers],))=""," ",INDEX(machina!$A8:$FB8,MATCH(BV$19&amp;$C$17,machina[#Headers],)))</f>
        <v>20.51</v>
      </c>
      <c r="BW25" s="287">
        <f>IF(INDEX(machina!$A8:$FB8,MATCH(BW$19&amp;$C$17,machina[#Headers],))=""," ",INDEX(machina!$A8:$FB8,MATCH(BW$19&amp;$C$17,machina[#Headers],)))</f>
        <v>8</v>
      </c>
      <c r="BX25" s="287">
        <f>IF(INDEX(machina!$A8:$FB8,MATCH(BX$19&amp;$C$17,machina[#Headers],))=""," ",INDEX(machina!$A8:$FB8,MATCH(BX$19&amp;$C$17,machina[#Headers],)))</f>
        <v>2.75</v>
      </c>
      <c r="BY25" s="287">
        <f>IF(INDEX(machina!$A8:$FB8,MATCH(BY$19&amp;$C$17,machina[#Headers],))=""," ",INDEX(machina!$A8:$FB8,MATCH(BY$19&amp;$C$17,machina[#Headers],)))</f>
        <v>180</v>
      </c>
      <c r="BZ25" s="287" t="str">
        <f>IF(INDEX(machina!$A8:$FB8,MATCH(BZ$19&amp;$C$17,machina[#Headers],))=""," ",INDEX(machina!$A8:$FB8,MATCH(BZ$19&amp;$C$17,machina[#Headers],)))</f>
        <v xml:space="preserve"> </v>
      </c>
      <c r="CA25" s="287">
        <f>IF(INDEX(machina!$A8:$FB8,MATCH(CA$19&amp;$C$17,machina[#Headers],))=""," ",INDEX(machina!$A8:$FB8,MATCH(CA$19&amp;$C$17,machina[#Headers],)))</f>
        <v>4042.8402777777783</v>
      </c>
      <c r="CB25" s="288">
        <f>IF(INDEX('Raw Data'!$A8:$EA8,MATCH(CB$19,RawData[#Headers],))=""," ",INDEX('Raw Data'!$A8:$EA8,MATCH(CB$19,RawData[#Headers],)))</f>
        <v>7</v>
      </c>
      <c r="CD25" s="299">
        <f t="shared" si="36"/>
        <v>23.5</v>
      </c>
      <c r="CE25" s="299">
        <f t="shared" si="42"/>
        <v>10.956250000000001</v>
      </c>
      <c r="CF25" s="299">
        <f t="shared" si="43"/>
        <v>2</v>
      </c>
      <c r="CG25" s="299">
        <f>IF(CE25=""," ",INDEX($CU$9:$CU$12,MATCH(CF25,analysis[CLUSTER],0)))</f>
        <v>2</v>
      </c>
      <c r="CH25" s="299">
        <f t="shared" si="44"/>
        <v>8</v>
      </c>
      <c r="CI25" s="298">
        <f t="shared" si="45"/>
        <v>8</v>
      </c>
      <c r="CK25" s="299"/>
      <c r="CL25" s="298">
        <f t="shared" si="46"/>
        <v>8</v>
      </c>
      <c r="CM25" s="296" t="s">
        <v>681</v>
      </c>
      <c r="CN25" s="326">
        <f t="shared" si="37"/>
        <v>8</v>
      </c>
      <c r="CO25" s="326" t="s">
        <v>693</v>
      </c>
      <c r="CP25" s="326"/>
      <c r="CQ25" s="315" t="str">
        <f t="shared" si="38"/>
        <v/>
      </c>
      <c r="CR25" s="333" t="str">
        <f t="shared" si="47"/>
        <v xml:space="preserve"> </v>
      </c>
      <c r="CS25" s="333">
        <f t="shared" si="48"/>
        <v>8</v>
      </c>
      <c r="CT25" s="333" t="str">
        <f t="shared" si="49"/>
        <v xml:space="preserve"> </v>
      </c>
      <c r="CU25" s="333" t="str">
        <f t="shared" si="50"/>
        <v xml:space="preserve"> </v>
      </c>
      <c r="CV25" s="326"/>
      <c r="CW25" s="315" t="str">
        <f t="shared" si="51"/>
        <v/>
      </c>
      <c r="CX25" s="333" t="str">
        <f t="shared" si="52"/>
        <v xml:space="preserve"> </v>
      </c>
      <c r="CY25" s="333" t="str">
        <f t="shared" si="53"/>
        <v xml:space="preserve"> </v>
      </c>
      <c r="CZ25" s="333" t="str">
        <f t="shared" si="53"/>
        <v xml:space="preserve"> </v>
      </c>
      <c r="DA25" s="333">
        <f t="shared" si="53"/>
        <v>8</v>
      </c>
      <c r="DB25" s="326">
        <v>6</v>
      </c>
      <c r="DC25" s="337" t="str">
        <f t="shared" si="54"/>
        <v xml:space="preserve"> </v>
      </c>
      <c r="DD25" s="337" t="str">
        <f t="shared" si="55"/>
        <v xml:space="preserve"> </v>
      </c>
      <c r="DE25" s="337" t="str">
        <f t="shared" si="56"/>
        <v xml:space="preserve"> </v>
      </c>
      <c r="DF25" s="337" t="str">
        <f t="shared" si="57"/>
        <v xml:space="preserve"> </v>
      </c>
      <c r="DG25" s="344" t="str">
        <f t="shared" si="58"/>
        <v xml:space="preserve"> </v>
      </c>
      <c r="DH25" s="337" t="str">
        <f t="shared" si="59"/>
        <v xml:space="preserve"> </v>
      </c>
      <c r="DI25" s="337" t="str">
        <f t="shared" si="41"/>
        <v xml:space="preserve"> </v>
      </c>
      <c r="DJ25" s="337" t="str">
        <f t="shared" si="41"/>
        <v xml:space="preserve"> </v>
      </c>
      <c r="DK25" s="337">
        <f t="shared" si="41"/>
        <v>8</v>
      </c>
      <c r="DL25" s="344">
        <f t="shared" si="60"/>
        <v>8</v>
      </c>
      <c r="DN25" s="292" t="str">
        <f>IFERROR(VLOOKUP($A25,'Raw Data'!$A$3:$EV$32,152,FALSE)," ")</f>
        <v xml:space="preserve"> </v>
      </c>
    </row>
    <row r="26" spans="1:118" ht="15" thickBot="1" x14ac:dyDescent="0.35">
      <c r="A26" s="255">
        <f>'Raw Data'!A9</f>
        <v>8</v>
      </c>
      <c r="B26" s="287">
        <f>IF(INDEX(machina!$A9:$FB9,MATCH(B$19&amp;$C$17,machina[#Headers],))=""," ",INDEX(machina!$A9:$FB9,MATCH(B$19&amp;$C$17,machina[#Headers],)))</f>
        <v>15.38</v>
      </c>
      <c r="C26" s="287">
        <f>IF(INDEX(machina!$A9:$FB9,MATCH(C$19&amp;$C$17,machina[#Headers],))=""," ",INDEX(machina!$A9:$FB9,MATCH(C$19&amp;$C$17,machina[#Headers],)))</f>
        <v>-26</v>
      </c>
      <c r="D26" s="287">
        <f>IF(INDEX(machina!$A9:$FB9,MATCH(D$19&amp;$C$17,machina[#Headers],))=""," ",INDEX(machina!$A9:$FB9,MATCH(D$19&amp;$C$17,machina[#Headers],)))</f>
        <v>18</v>
      </c>
      <c r="E26" s="287">
        <f>IF(INDEX(machina!$A9:$FB9,MATCH(E$19&amp;$C$17,machina[#Headers],))=""," ",INDEX(machina!$A9:$FB9,MATCH(E$19&amp;$C$17,machina[#Headers],)))</f>
        <v>46.15</v>
      </c>
      <c r="F26" s="287">
        <f>IF(INDEX(machina!$A9:$FB9,MATCH(F$19&amp;$C$17,machina[#Headers],))=""," ",INDEX(machina!$A9:$FB9,MATCH(F$19&amp;$C$17,machina[#Headers],)))</f>
        <v>1592</v>
      </c>
      <c r="G26" s="287">
        <f>IF(INDEX(machina!$A9:$FB9,MATCH(G$19&amp;$C$17,machina[#Headers],))=""," ",INDEX(machina!$A9:$FB9,MATCH(G$19&amp;$C$17,machina[#Headers],)))</f>
        <v>13</v>
      </c>
      <c r="H26" s="287">
        <f>IF(INDEX(machina!$A9:$FB9,MATCH(H$19&amp;$C$17,machina[#Headers],))=""," ",INDEX(machina!$A9:$FB9,MATCH(H$19&amp;$C$17,machina[#Headers],)))</f>
        <v>12</v>
      </c>
      <c r="I26" s="287">
        <f>IF(INDEX(machina!$A9:$FB9,MATCH(I$19&amp;$C$17,machina[#Headers],))=""," ",INDEX(machina!$A9:$FB9,MATCH(I$19&amp;$C$17,machina[#Headers],)))</f>
        <v>54.5</v>
      </c>
      <c r="J26" s="287">
        <f>IF(INDEX(machina!$A9:$FB9,MATCH(J$19&amp;$C$17,machina[#Headers],))=""," ",INDEX(machina!$A9:$FB9,MATCH(J$19&amp;$C$17,machina[#Headers],)))</f>
        <v>1</v>
      </c>
      <c r="K26" s="287">
        <f>IF(INDEX(machina!$A9:$FB9,MATCH(K$19&amp;$C$17,machina[#Headers],))=""," ",INDEX(machina!$A9:$FB9,MATCH(K$19&amp;$C$17,machina[#Headers],)))</f>
        <v>0</v>
      </c>
      <c r="L26" s="287">
        <f>IF(INDEX(machina!$A9:$FB9,MATCH(L$19&amp;$C$17,machina[#Headers],))=""," ",INDEX(machina!$A9:$FB9,MATCH(L$19&amp;$C$17,machina[#Headers],)))</f>
        <v>0</v>
      </c>
      <c r="M26" s="287">
        <f>IF(INDEX(machina!$A9:$FB9,MATCH(M$19&amp;$C$17,machina[#Headers],))=""," ",INDEX(machina!$A9:$FB9,MATCH(M$19&amp;$C$17,machina[#Headers],)))</f>
        <v>-100</v>
      </c>
      <c r="N26" s="287">
        <f>IF(INDEX(machina!$A9:$FB9,MATCH(N$19&amp;$C$17,machina[#Headers],))=""," ",INDEX(machina!$A9:$FB9,MATCH(N$19&amp;$C$17,machina[#Headers],)))</f>
        <v>0</v>
      </c>
      <c r="O26" s="287">
        <f>IF(INDEX(machina!$A9:$FB9,MATCH(O$19&amp;$C$17,machina[#Headers],))=""," ",INDEX(machina!$A9:$FB9,MATCH(O$19&amp;$C$17,machina[#Headers],)))</f>
        <v>0</v>
      </c>
      <c r="P26" s="287">
        <f>IF(INDEX(machina!$A9:$FB9,MATCH(P$19&amp;$C$17,machina[#Headers],))=""," ",INDEX(machina!$A9:$FB9,MATCH(P$19&amp;$C$17,machina[#Headers],)))</f>
        <v>6</v>
      </c>
      <c r="Q26" s="287">
        <f>IF(INDEX(machina!$A9:$FB9,MATCH(Q$19&amp;$C$17,machina[#Headers],))=""," ",INDEX(machina!$A9:$FB9,MATCH(Q$19&amp;$C$17,machina[#Headers],)))</f>
        <v>1</v>
      </c>
      <c r="R26" s="287">
        <f>IF(INDEX(machina!$A9:$FB9,MATCH(R$19&amp;$C$17,machina[#Headers],))=""," ",INDEX(machina!$A9:$FB9,MATCH(R$19&amp;$C$17,machina[#Headers],)))</f>
        <v>16.670000000000002</v>
      </c>
      <c r="S26" s="287">
        <f>IF(INDEX(machina!$A9:$FB9,MATCH(S$19&amp;$C$17,machina[#Headers],))=""," ",INDEX(machina!$A9:$FB9,MATCH(S$19&amp;$C$17,machina[#Headers],)))</f>
        <v>0</v>
      </c>
      <c r="T26" s="287">
        <f>IF(INDEX(machina!$A9:$FB9,MATCH(T$19&amp;$C$17,machina[#Headers],))=""," ",INDEX(machina!$A9:$FB9,MATCH(T$19&amp;$C$17,machina[#Headers],)))</f>
        <v>1</v>
      </c>
      <c r="U26" s="287">
        <f>IF(INDEX(machina!$A9:$FB9,MATCH(U$19&amp;$C$17,machina[#Headers],))=""," ",INDEX(machina!$A9:$FB9,MATCH(U$19&amp;$C$17,machina[#Headers],)))</f>
        <v>16.670000000000002</v>
      </c>
      <c r="V26" s="287">
        <f>IF(INDEX(machina!$A9:$FB9,MATCH(V$19&amp;$C$17,machina[#Headers],))=""," ",INDEX(machina!$A9:$FB9,MATCH(V$19&amp;$C$17,machina[#Headers],)))</f>
        <v>1</v>
      </c>
      <c r="W26" s="287">
        <f>IF(INDEX(machina!$A9:$FB9,MATCH(W$19&amp;$C$17,machina[#Headers],))=""," ",INDEX(machina!$A9:$FB9,MATCH(W$19&amp;$C$17,machina[#Headers],)))</f>
        <v>0</v>
      </c>
      <c r="X26" s="287">
        <f>IF(INDEX(machina!$A9:$FB9,MATCH(X$19&amp;$C$17,machina[#Headers],))=""," ",INDEX(machina!$A9:$FB9,MATCH(X$19&amp;$C$17,machina[#Headers],)))</f>
        <v>0</v>
      </c>
      <c r="Y26" s="287">
        <f>IF(INDEX(machina!$A9:$FB9,MATCH(Y$19&amp;$C$17,machina[#Headers],))=""," ",INDEX(machina!$A9:$FB9,MATCH(Y$19&amp;$C$17,machina[#Headers],)))</f>
        <v>-100</v>
      </c>
      <c r="Z26" s="287">
        <f>IF(INDEX(machina!$A9:$FB9,MATCH(Z$19&amp;$C$17,machina[#Headers],))=""," ",INDEX(machina!$A9:$FB9,MATCH(Z$19&amp;$C$17,machina[#Headers],)))</f>
        <v>0</v>
      </c>
      <c r="AA26" s="287">
        <f>IF(INDEX(machina!$A9:$FB9,MATCH(AA$19&amp;$C$17,machina[#Headers],))=""," ",INDEX(machina!$A9:$FB9,MATCH(AA$19&amp;$C$17,machina[#Headers],)))</f>
        <v>0</v>
      </c>
      <c r="AB26" s="287">
        <f>IF(INDEX(machina!$A9:$FB9,MATCH(AB$19&amp;$C$17,machina[#Headers],))=""," ",INDEX(machina!$A9:$FB9,MATCH(AB$19&amp;$C$17,machina[#Headers],)))</f>
        <v>7</v>
      </c>
      <c r="AC26" s="287">
        <f>IF(INDEX(machina!$A9:$FB9,MATCH(AC$19&amp;$C$17,machina[#Headers],))=""," ",INDEX(machina!$A9:$FB9,MATCH(AC$19&amp;$C$17,machina[#Headers],)))</f>
        <v>0</v>
      </c>
      <c r="AD26" s="287">
        <f>IF(INDEX(machina!$A9:$FB9,MATCH(AD$19&amp;$C$17,machina[#Headers],))=""," ",INDEX(machina!$A9:$FB9,MATCH(AD$19&amp;$C$17,machina[#Headers],)))</f>
        <v>0</v>
      </c>
      <c r="AE26" s="287">
        <f>IF(INDEX(machina!$A9:$FB9,MATCH(AE$19&amp;$C$17,machina[#Headers],))=""," ",INDEX(machina!$A9:$FB9,MATCH(AE$19&amp;$C$17,machina[#Headers],)))</f>
        <v>-100</v>
      </c>
      <c r="AF26" s="287">
        <f>IF(INDEX(machina!$A9:$FB9,MATCH(AF$19&amp;$C$17,machina[#Headers],))=""," ",INDEX(machina!$A9:$FB9,MATCH(AF$19&amp;$C$17,machina[#Headers],)))</f>
        <v>3</v>
      </c>
      <c r="AG26" s="287">
        <f>IF(INDEX(machina!$A9:$FB9,MATCH(AG$19&amp;$C$17,machina[#Headers],))=""," ",INDEX(machina!$A9:$FB9,MATCH(AG$19&amp;$C$17,machina[#Headers],)))</f>
        <v>42.86</v>
      </c>
      <c r="AH26" s="287">
        <f>IF(INDEX(machina!$A9:$FB9,MATCH(AH$19&amp;$C$17,machina[#Headers],))=""," ",INDEX(machina!$A9:$FB9,MATCH(AH$19&amp;$C$17,machina[#Headers],)))</f>
        <v>1329</v>
      </c>
      <c r="AI26" s="287">
        <f>IF(INDEX(machina!$A9:$FB9,MATCH(AI$19&amp;$C$17,machina[#Headers],))=""," ",INDEX(machina!$A9:$FB9,MATCH(AI$19&amp;$C$17,machina[#Headers],)))</f>
        <v>100</v>
      </c>
      <c r="AJ26" s="287">
        <f>IF(INDEX(machina!$A9:$FB9,MATCH(AJ$19&amp;$C$17,machina[#Headers],))=""," ",INDEX(machina!$A9:$FB9,MATCH(AJ$19&amp;$C$17,machina[#Headers],)))</f>
        <v>13</v>
      </c>
      <c r="AK26" s="287">
        <f>IF(INDEX(machina!$A9:$FB9,MATCH(AK$19&amp;$C$17,machina[#Headers],))=""," ",INDEX(machina!$A9:$FB9,MATCH(AK$19&amp;$C$17,machina[#Headers],)))</f>
        <v>13</v>
      </c>
      <c r="AL26" s="287">
        <f>IF(INDEX(machina!$A9:$FB9,MATCH(AL$19&amp;$C$17,machina[#Headers],))=""," ",INDEX(machina!$A9:$FB9,MATCH(AL$19&amp;$C$17,machina[#Headers],)))</f>
        <v>-9</v>
      </c>
      <c r="AM26" s="287">
        <f>IF(INDEX(machina!$A9:$FB9,MATCH(AM$19&amp;$C$17,machina[#Headers],))=""," ",INDEX(machina!$A9:$FB9,MATCH(AM$19&amp;$C$17,machina[#Headers],)))</f>
        <v>22</v>
      </c>
      <c r="AN26" s="287">
        <f>IF(INDEX(machina!$A9:$FB9,MATCH(AN$19&amp;$C$17,machina[#Headers],))=""," ",INDEX(machina!$A9:$FB9,MATCH(AN$19&amp;$C$17,machina[#Headers],)))</f>
        <v>22</v>
      </c>
      <c r="AO26" s="287">
        <f>IF(INDEX(machina!$A9:$FB9,MATCH(AO$19&amp;$C$17,machina[#Headers],))=""," ",INDEX(machina!$A9:$FB9,MATCH(AO$19&amp;$C$17,machina[#Headers],)))</f>
        <v>1247</v>
      </c>
      <c r="AP26" s="287">
        <f>IF(INDEX(machina!$A9:$FB9,MATCH(AP$19&amp;$C$17,machina[#Headers],))=""," ",INDEX(machina!$A9:$FB9,MATCH(AP$19&amp;$C$17,machina[#Headers],)))</f>
        <v>416</v>
      </c>
      <c r="AQ26" s="287">
        <f>IF(INDEX(machina!$A9:$FB9,MATCH(AQ$19&amp;$C$17,machina[#Headers],))=""," ",INDEX(machina!$A9:$FB9,MATCH(AQ$19&amp;$C$17,machina[#Headers],)))</f>
        <v>42</v>
      </c>
      <c r="AR26" s="287">
        <f>IF(INDEX(machina!$A9:$FB9,MATCH(AR$19&amp;$C$17,machina[#Headers],))=""," ",INDEX(machina!$A9:$FB9,MATCH(AR$19&amp;$C$17,machina[#Headers],)))</f>
        <v>10.1</v>
      </c>
      <c r="AS26" s="287">
        <f>IF(INDEX(machina!$A9:$FB9,MATCH(AS$19&amp;$C$17,machina[#Headers],))=""," ",INDEX(machina!$A9:$FB9,MATCH(AS$19&amp;$C$17,machina[#Headers],)))</f>
        <v>-28</v>
      </c>
      <c r="AT26" s="287">
        <f>IF(INDEX(machina!$A9:$FB9,MATCH(AT$19&amp;$C$17,machina[#Headers],))=""," ",INDEX(machina!$A9:$FB9,MATCH(AT$19&amp;$C$17,machina[#Headers],)))</f>
        <v>119</v>
      </c>
      <c r="AU26" s="287">
        <f>IF(INDEX(machina!$A9:$FB9,MATCH(AU$19&amp;$C$17,machina[#Headers],))=""," ",INDEX(machina!$A9:$FB9,MATCH(AU$19&amp;$C$17,machina[#Headers],)))</f>
        <v>28.61</v>
      </c>
      <c r="AV26" s="287">
        <f>IF(INDEX(machina!$A9:$FB9,MATCH(AV$19&amp;$C$17,machina[#Headers],))=""," ",INDEX(machina!$A9:$FB9,MATCH(AV$19&amp;$C$17,machina[#Headers],)))</f>
        <v>1264</v>
      </c>
      <c r="AW26" s="287">
        <f>IF(INDEX(machina!$A9:$FB9,MATCH(AW$19&amp;$C$17,machina[#Headers],))=""," ",INDEX(machina!$A9:$FB9,MATCH(AW$19&amp;$C$17,machina[#Headers],)))</f>
        <v>336</v>
      </c>
      <c r="AX26" s="287">
        <f>IF(INDEX(machina!$A9:$FB9,MATCH(AX$19&amp;$C$17,machina[#Headers],))=""," ",INDEX(machina!$A9:$FB9,MATCH(AX$19&amp;$C$17,machina[#Headers],)))</f>
        <v>33</v>
      </c>
      <c r="AY26" s="287">
        <f>IF(INDEX(machina!$A9:$FB9,MATCH(AY$19&amp;$C$17,machina[#Headers],))=""," ",INDEX(machina!$A9:$FB9,MATCH(AY$19&amp;$C$17,machina[#Headers],)))</f>
        <v>9.82</v>
      </c>
      <c r="AZ26" s="287">
        <f>IF(INDEX(machina!$A9:$FB9,MATCH(AZ$19&amp;$C$17,machina[#Headers],))=""," ",INDEX(machina!$A9:$FB9,MATCH(AZ$19&amp;$C$17,machina[#Headers],)))</f>
        <v>-34</v>
      </c>
      <c r="BA26" s="287">
        <f>IF(INDEX(machina!$A9:$FB9,MATCH(BA$19&amp;$C$17,machina[#Headers],))=""," ",INDEX(machina!$A9:$FB9,MATCH(BA$19&amp;$C$17,machina[#Headers],)))</f>
        <v>92</v>
      </c>
      <c r="BB26" s="287">
        <f>IF(INDEX(machina!$A9:$FB9,MATCH(BB$19&amp;$C$17,machina[#Headers],))=""," ",INDEX(machina!$A9:$FB9,MATCH(BB$19&amp;$C$17,machina[#Headers],)))</f>
        <v>27.38</v>
      </c>
      <c r="BC26" s="287">
        <f>IF(INDEX(machina!$A9:$FB9,MATCH(BC$19&amp;$C$17,machina[#Headers],))=""," ",INDEX(machina!$A9:$FB9,MATCH(BC$19&amp;$C$17,machina[#Headers],)))</f>
        <v>927</v>
      </c>
      <c r="BD26" s="287">
        <f>IF(INDEX(machina!$A9:$FB9,MATCH(BD$19&amp;$C$17,machina[#Headers],))=""," ",INDEX(machina!$A9:$FB9,MATCH(BD$19&amp;$C$17,machina[#Headers],)))</f>
        <v>7</v>
      </c>
      <c r="BE26" s="287">
        <f>IF(INDEX(machina!$A9:$FB9,MATCH(BE$19&amp;$C$17,machina[#Headers],))=""," ",INDEX(machina!$A9:$FB9,MATCH(BE$19&amp;$C$17,machina[#Headers],)))</f>
        <v>7</v>
      </c>
      <c r="BF26" s="287">
        <f>IF(INDEX(machina!$A9:$FB9,MATCH(BF$19&amp;$C$17,machina[#Headers],))=""," ",INDEX(machina!$A9:$FB9,MATCH(BF$19&amp;$C$17,machina[#Headers],)))</f>
        <v>-51</v>
      </c>
      <c r="BG26" s="287">
        <f>IF(INDEX(machina!$A9:$FB9,MATCH(BG$19&amp;$C$17,machina[#Headers],))=""," ",INDEX(machina!$A9:$FB9,MATCH(BG$19&amp;$C$17,machina[#Headers],)))</f>
        <v>37</v>
      </c>
      <c r="BH26" s="287">
        <f>IF(INDEX(machina!$A9:$FB9,MATCH(BH$19&amp;$C$17,machina[#Headers],))=""," ",INDEX(machina!$A9:$FB9,MATCH(BH$19&amp;$C$17,machina[#Headers],)))</f>
        <v>37</v>
      </c>
      <c r="BI26" s="287">
        <f>IF(INDEX(machina!$A9:$FB9,MATCH(BI$19&amp;$C$17,machina[#Headers],))=""," ",INDEX(machina!$A9:$FB9,MATCH(BI$19&amp;$C$17,machina[#Headers],)))</f>
        <v>1154</v>
      </c>
      <c r="BJ26" s="287">
        <f>IF(INDEX(machina!$A9:$FB9,MATCH(BJ$19&amp;$C$17,machina[#Headers],))=""," ",INDEX(machina!$A9:$FB9,MATCH(BJ$19&amp;$C$17,machina[#Headers],)))</f>
        <v>48</v>
      </c>
      <c r="BK26" s="287">
        <f>IF(INDEX(machina!$A9:$FB9,MATCH(BK$19&amp;$C$17,machina[#Headers],))=""," ",INDEX(machina!$A9:$FB9,MATCH(BK$19&amp;$C$17,machina[#Headers],)))</f>
        <v>4</v>
      </c>
      <c r="BL26" s="287">
        <f>IF(INDEX(machina!$A9:$FB9,MATCH(BL$19&amp;$C$17,machina[#Headers],))=""," ",INDEX(machina!$A9:$FB9,MATCH(BL$19&amp;$C$17,machina[#Headers],)))</f>
        <v>8.33</v>
      </c>
      <c r="BM26" s="287">
        <f>IF(INDEX(machina!$A9:$FB9,MATCH(BM$19&amp;$C$17,machina[#Headers],))=""," ",INDEX(machina!$A9:$FB9,MATCH(BM$19&amp;$C$17,machina[#Headers],)))</f>
        <v>-34</v>
      </c>
      <c r="BN26" s="287">
        <f>IF(INDEX(machina!$A9:$FB9,MATCH(BN$19&amp;$C$17,machina[#Headers],))=""," ",INDEX(machina!$A9:$FB9,MATCH(BN$19&amp;$C$17,machina[#Headers],)))</f>
        <v>21</v>
      </c>
      <c r="BO26" s="287">
        <f>IF(INDEX(machina!$A9:$FB9,MATCH(BO$19&amp;$C$17,machina[#Headers],))=""," ",INDEX(machina!$A9:$FB9,MATCH(BO$19&amp;$C$17,machina[#Headers],)))</f>
        <v>43.75</v>
      </c>
      <c r="BP26" s="287">
        <f>IF(INDEX(machina!$A9:$FB9,MATCH(BP$19&amp;$C$17,machina[#Headers],))=""," ",INDEX(machina!$A9:$FB9,MATCH(BP$19&amp;$C$17,machina[#Headers],)))</f>
        <v>1099</v>
      </c>
      <c r="BQ26" s="287">
        <f>IF(INDEX(machina!$A9:$FB9,MATCH(BQ$19&amp;$C$17,machina[#Headers],))=""," ",INDEX(machina!$A9:$FB9,MATCH(BQ$19&amp;$C$17,machina[#Headers],)))</f>
        <v>45</v>
      </c>
      <c r="BR26" s="287">
        <f>IF(INDEX(machina!$A9:$FB9,MATCH(BR$19&amp;$C$17,machina[#Headers],))=""," ",INDEX(machina!$A9:$FB9,MATCH(BR$19&amp;$C$17,machina[#Headers],)))</f>
        <v>3</v>
      </c>
      <c r="BS26" s="287">
        <f>IF(INDEX(machina!$A9:$FB9,MATCH(BS$19&amp;$C$17,machina[#Headers],))=""," ",INDEX(machina!$A9:$FB9,MATCH(BS$19&amp;$C$17,machina[#Headers],)))</f>
        <v>6.67</v>
      </c>
      <c r="BT26" s="287">
        <f>IF(INDEX(machina!$A9:$FB9,MATCH(BT$19&amp;$C$17,machina[#Headers],))=""," ",INDEX(machina!$A9:$FB9,MATCH(BT$19&amp;$C$17,machina[#Headers],)))</f>
        <v>-54</v>
      </c>
      <c r="BU26" s="287">
        <f>IF(INDEX(machina!$A9:$FB9,MATCH(BU$19&amp;$C$17,machina[#Headers],))=""," ",INDEX(machina!$A9:$FB9,MATCH(BU$19&amp;$C$17,machina[#Headers],)))</f>
        <v>19</v>
      </c>
      <c r="BV26" s="287">
        <f>IF(INDEX(machina!$A9:$FB9,MATCH(BV$19&amp;$C$17,machina[#Headers],))=""," ",INDEX(machina!$A9:$FB9,MATCH(BV$19&amp;$C$17,machina[#Headers],)))</f>
        <v>42.22</v>
      </c>
      <c r="BW26" s="287">
        <f>IF(INDEX(machina!$A9:$FB9,MATCH(BW$19&amp;$C$17,machina[#Headers],))=""," ",INDEX(machina!$A9:$FB9,MATCH(BW$19&amp;$C$17,machina[#Headers],)))</f>
        <v>5</v>
      </c>
      <c r="BX26" s="287">
        <f>IF(INDEX(machina!$A9:$FB9,MATCH(BX$19&amp;$C$17,machina[#Headers],))=""," ",INDEX(machina!$A9:$FB9,MATCH(BX$19&amp;$C$17,machina[#Headers],)))</f>
        <v>3.2</v>
      </c>
      <c r="BY26" s="287">
        <f>IF(INDEX(machina!$A9:$FB9,MATCH(BY$19&amp;$C$17,machina[#Headers],))=""," ",INDEX(machina!$A9:$FB9,MATCH(BY$19&amp;$C$17,machina[#Headers],)))</f>
        <v>180</v>
      </c>
      <c r="BZ26" s="287" t="str">
        <f>IF(INDEX(machina!$A9:$FB9,MATCH(BZ$19&amp;$C$17,machina[#Headers],))=""," ",INDEX(machina!$A9:$FB9,MATCH(BZ$19&amp;$C$17,machina[#Headers],)))</f>
        <v xml:space="preserve"> </v>
      </c>
      <c r="CA26" s="287">
        <f>IF(INDEX(machina!$A9:$FB9,MATCH(CA$19&amp;$C$17,machina[#Headers],))=""," ",INDEX(machina!$A9:$FB9,MATCH(CA$19&amp;$C$17,machina[#Headers],)))</f>
        <v>3935.4711111111105</v>
      </c>
      <c r="CB26" s="288">
        <f>IF(INDEX('Raw Data'!$A9:$EA9,MATCH(CB$19,RawData[#Headers],))=""," ",INDEX('Raw Data'!$A9:$EA9,MATCH(CB$19,RawData[#Headers],)))</f>
        <v>3</v>
      </c>
      <c r="CD26" s="298">
        <f t="shared" si="36"/>
        <v>13</v>
      </c>
      <c r="CE26" s="298">
        <f t="shared" si="42"/>
        <v>0.45625000000000071</v>
      </c>
      <c r="CF26" s="298">
        <f t="shared" si="43"/>
        <v>3</v>
      </c>
      <c r="CG26" s="298">
        <f>IF(CE26=""," ",INDEX($CU$9:$CU$12,MATCH(CF26,analysis[CLUSTER],0)))</f>
        <v>1</v>
      </c>
      <c r="CH26" s="298">
        <f t="shared" si="44"/>
        <v>5</v>
      </c>
      <c r="CI26" s="298">
        <f t="shared" si="45"/>
        <v>5</v>
      </c>
      <c r="CJ26" s="309" t="s">
        <v>25</v>
      </c>
      <c r="CK26" s="298">
        <f>ROUND(STDEV(CL20:CL44),0)</f>
        <v>2</v>
      </c>
      <c r="CL26" s="298">
        <f t="shared" si="46"/>
        <v>5</v>
      </c>
      <c r="CM26" s="326"/>
      <c r="CN26" s="326"/>
      <c r="CO26" s="326" t="s">
        <v>692</v>
      </c>
      <c r="CP26" s="326"/>
      <c r="CQ26" s="315">
        <f t="shared" si="38"/>
        <v>3</v>
      </c>
      <c r="CR26" s="333" t="str">
        <f t="shared" si="47"/>
        <v xml:space="preserve"> </v>
      </c>
      <c r="CS26" s="333" t="str">
        <f t="shared" si="48"/>
        <v xml:space="preserve"> </v>
      </c>
      <c r="CT26" s="333">
        <f t="shared" si="49"/>
        <v>5</v>
      </c>
      <c r="CU26" s="333" t="str">
        <f t="shared" si="50"/>
        <v xml:space="preserve"> </v>
      </c>
      <c r="CV26" s="326"/>
      <c r="CW26" s="315">
        <f t="shared" si="51"/>
        <v>3</v>
      </c>
      <c r="CX26" s="333" t="str">
        <f t="shared" si="52"/>
        <v xml:space="preserve"> </v>
      </c>
      <c r="CY26" s="333" t="str">
        <f t="shared" si="53"/>
        <v xml:space="preserve"> </v>
      </c>
      <c r="CZ26" s="333">
        <f t="shared" si="53"/>
        <v>5</v>
      </c>
      <c r="DA26" s="333" t="str">
        <f t="shared" si="53"/>
        <v xml:space="preserve"> </v>
      </c>
      <c r="DB26" s="326">
        <v>7</v>
      </c>
      <c r="DC26" s="337" t="str">
        <f t="shared" si="54"/>
        <v xml:space="preserve"> </v>
      </c>
      <c r="DD26" s="337" t="str">
        <f t="shared" si="55"/>
        <v xml:space="preserve"> </v>
      </c>
      <c r="DE26" s="337" t="str">
        <f t="shared" si="56"/>
        <v xml:space="preserve"> </v>
      </c>
      <c r="DF26" s="337" t="str">
        <f t="shared" si="57"/>
        <v xml:space="preserve"> </v>
      </c>
      <c r="DG26" s="344" t="str">
        <f t="shared" si="58"/>
        <v xml:space="preserve"> </v>
      </c>
      <c r="DH26" s="337" t="str">
        <f t="shared" si="59"/>
        <v xml:space="preserve"> </v>
      </c>
      <c r="DI26" s="337" t="str">
        <f t="shared" si="41"/>
        <v xml:space="preserve"> </v>
      </c>
      <c r="DJ26" s="337">
        <f t="shared" si="41"/>
        <v>5</v>
      </c>
      <c r="DK26" s="337" t="str">
        <f t="shared" si="41"/>
        <v xml:space="preserve"> </v>
      </c>
      <c r="DL26" s="344">
        <f t="shared" si="60"/>
        <v>5</v>
      </c>
      <c r="DN26" s="292" t="str">
        <f>IFERROR(VLOOKUP($A26,'Raw Data'!$A$3:$EV$32,152,FALSE)," ")</f>
        <v xml:space="preserve"> </v>
      </c>
    </row>
    <row r="27" spans="1:118" x14ac:dyDescent="0.3">
      <c r="A27" s="255">
        <f>'Raw Data'!A10</f>
        <v>9</v>
      </c>
      <c r="B27" s="287">
        <f>IF(INDEX(machina!$A10:$FB10,MATCH(B$19&amp;$C$17,machina[#Headers],))=""," ",INDEX(machina!$A10:$FB10,MATCH(B$19&amp;$C$17,machina[#Headers],)))</f>
        <v>18.18</v>
      </c>
      <c r="C27" s="287">
        <f>IF(INDEX(machina!$A10:$FB10,MATCH(C$19&amp;$C$17,machina[#Headers],))=""," ",INDEX(machina!$A10:$FB10,MATCH(C$19&amp;$C$17,machina[#Headers],)))</f>
        <v>-40</v>
      </c>
      <c r="D27" s="287">
        <f>IF(INDEX(machina!$A10:$FB10,MATCH(D$19&amp;$C$17,machina[#Headers],))=""," ",INDEX(machina!$A10:$FB10,MATCH(D$19&amp;$C$17,machina[#Headers],)))</f>
        <v>3</v>
      </c>
      <c r="E27" s="287">
        <f>IF(INDEX(machina!$A10:$FB10,MATCH(E$19&amp;$C$17,machina[#Headers],))=""," ",INDEX(machina!$A10:$FB10,MATCH(E$19&amp;$C$17,machina[#Headers],)))</f>
        <v>27.27</v>
      </c>
      <c r="F27" s="287">
        <f>IF(INDEX(machina!$A10:$FB10,MATCH(F$19&amp;$C$17,machina[#Headers],))=""," ",INDEX(machina!$A10:$FB10,MATCH(F$19&amp;$C$17,machina[#Headers],)))</f>
        <v>1114</v>
      </c>
      <c r="G27" s="287">
        <f>IF(INDEX(machina!$A10:$FB10,MATCH(G$19&amp;$C$17,machina[#Headers],))=""," ",INDEX(machina!$A10:$FB10,MATCH(G$19&amp;$C$17,machina[#Headers],)))</f>
        <v>8.5</v>
      </c>
      <c r="H27" s="287">
        <f>IF(INDEX(machina!$A10:$FB10,MATCH(H$19&amp;$C$17,machina[#Headers],))=""," ",INDEX(machina!$A10:$FB10,MATCH(H$19&amp;$C$17,machina[#Headers],)))</f>
        <v>8</v>
      </c>
      <c r="I27" s="287">
        <f>IF(INDEX(machina!$A10:$FB10,MATCH(I$19&amp;$C$17,machina[#Headers],))=""," ",INDEX(machina!$A10:$FB10,MATCH(I$19&amp;$C$17,machina[#Headers],)))</f>
        <v>54</v>
      </c>
      <c r="J27" s="287">
        <f>IF(INDEX(machina!$A10:$FB10,MATCH(J$19&amp;$C$17,machina[#Headers],))=""," ",INDEX(machina!$A10:$FB10,MATCH(J$19&amp;$C$17,machina[#Headers],)))</f>
        <v>2</v>
      </c>
      <c r="K27" s="287">
        <f>IF(INDEX(machina!$A10:$FB10,MATCH(K$19&amp;$C$17,machina[#Headers],))=""," ",INDEX(machina!$A10:$FB10,MATCH(K$19&amp;$C$17,machina[#Headers],)))</f>
        <v>0</v>
      </c>
      <c r="L27" s="287">
        <f>IF(INDEX(machina!$A10:$FB10,MATCH(L$19&amp;$C$17,machina[#Headers],))=""," ",INDEX(machina!$A10:$FB10,MATCH(L$19&amp;$C$17,machina[#Headers],)))</f>
        <v>0</v>
      </c>
      <c r="M27" s="287">
        <f>IF(INDEX(machina!$A10:$FB10,MATCH(M$19&amp;$C$17,machina[#Headers],))=""," ",INDEX(machina!$A10:$FB10,MATCH(M$19&amp;$C$17,machina[#Headers],)))</f>
        <v>-100</v>
      </c>
      <c r="N27" s="287">
        <f>IF(INDEX(machina!$A10:$FB10,MATCH(N$19&amp;$C$17,machina[#Headers],))=""," ",INDEX(machina!$A10:$FB10,MATCH(N$19&amp;$C$17,machina[#Headers],)))</f>
        <v>0</v>
      </c>
      <c r="O27" s="287">
        <f>IF(INDEX(machina!$A10:$FB10,MATCH(O$19&amp;$C$17,machina[#Headers],))=""," ",INDEX(machina!$A10:$FB10,MATCH(O$19&amp;$C$17,machina[#Headers],)))</f>
        <v>0</v>
      </c>
      <c r="P27" s="287">
        <f>IF(INDEX(machina!$A10:$FB10,MATCH(P$19&amp;$C$17,machina[#Headers],))=""," ",INDEX(machina!$A10:$FB10,MATCH(P$19&amp;$C$17,machina[#Headers],)))</f>
        <v>1</v>
      </c>
      <c r="Q27" s="287">
        <f>IF(INDEX(machina!$A10:$FB10,MATCH(Q$19&amp;$C$17,machina[#Headers],))=""," ",INDEX(machina!$A10:$FB10,MATCH(Q$19&amp;$C$17,machina[#Headers],)))</f>
        <v>0</v>
      </c>
      <c r="R27" s="287">
        <f>IF(INDEX(machina!$A10:$FB10,MATCH(R$19&amp;$C$17,machina[#Headers],))=""," ",INDEX(machina!$A10:$FB10,MATCH(R$19&amp;$C$17,machina[#Headers],)))</f>
        <v>0</v>
      </c>
      <c r="S27" s="287">
        <f>IF(INDEX(machina!$A10:$FB10,MATCH(S$19&amp;$C$17,machina[#Headers],))=""," ",INDEX(machina!$A10:$FB10,MATCH(S$19&amp;$C$17,machina[#Headers],)))</f>
        <v>-100</v>
      </c>
      <c r="T27" s="287">
        <f>IF(INDEX(machina!$A10:$FB10,MATCH(T$19&amp;$C$17,machina[#Headers],))=""," ",INDEX(machina!$A10:$FB10,MATCH(T$19&amp;$C$17,machina[#Headers],)))</f>
        <v>0</v>
      </c>
      <c r="U27" s="287">
        <f>IF(INDEX(machina!$A10:$FB10,MATCH(U$19&amp;$C$17,machina[#Headers],))=""," ",INDEX(machina!$A10:$FB10,MATCH(U$19&amp;$C$17,machina[#Headers],)))</f>
        <v>0</v>
      </c>
      <c r="V27" s="287">
        <f>IF(INDEX(machina!$A10:$FB10,MATCH(V$19&amp;$C$17,machina[#Headers],))=""," ",INDEX(machina!$A10:$FB10,MATCH(V$19&amp;$C$17,machina[#Headers],)))</f>
        <v>0</v>
      </c>
      <c r="W27" s="287">
        <f>IF(INDEX(machina!$A10:$FB10,MATCH(W$19&amp;$C$17,machina[#Headers],))=""," ",INDEX(machina!$A10:$FB10,MATCH(W$19&amp;$C$17,machina[#Headers],)))</f>
        <v>0</v>
      </c>
      <c r="X27" s="287">
        <f>IF(INDEX(machina!$A10:$FB10,MATCH(X$19&amp;$C$17,machina[#Headers],))=""," ",INDEX(machina!$A10:$FB10,MATCH(X$19&amp;$C$17,machina[#Headers],)))</f>
        <v>0</v>
      </c>
      <c r="Y27" s="287">
        <f>IF(INDEX(machina!$A10:$FB10,MATCH(Y$19&amp;$C$17,machina[#Headers],))=""," ",INDEX(machina!$A10:$FB10,MATCH(Y$19&amp;$C$17,machina[#Headers],)))</f>
        <v>0</v>
      </c>
      <c r="Z27" s="287">
        <f>IF(INDEX(machina!$A10:$FB10,MATCH(Z$19&amp;$C$17,machina[#Headers],))=""," ",INDEX(machina!$A10:$FB10,MATCH(Z$19&amp;$C$17,machina[#Headers],)))</f>
        <v>0</v>
      </c>
      <c r="AA27" s="287">
        <f>IF(INDEX(machina!$A10:$FB10,MATCH(AA$19&amp;$C$17,machina[#Headers],))=""," ",INDEX(machina!$A10:$FB10,MATCH(AA$19&amp;$C$17,machina[#Headers],)))</f>
        <v>0</v>
      </c>
      <c r="AB27" s="287">
        <f>IF(INDEX(machina!$A10:$FB10,MATCH(AB$19&amp;$C$17,machina[#Headers],))=""," ",INDEX(machina!$A10:$FB10,MATCH(AB$19&amp;$C$17,machina[#Headers],)))</f>
        <v>3</v>
      </c>
      <c r="AC27" s="287">
        <f>IF(INDEX(machina!$A10:$FB10,MATCH(AC$19&amp;$C$17,machina[#Headers],))=""," ",INDEX(machina!$A10:$FB10,MATCH(AC$19&amp;$C$17,machina[#Headers],)))</f>
        <v>0</v>
      </c>
      <c r="AD27" s="287">
        <f>IF(INDEX(machina!$A10:$FB10,MATCH(AD$19&amp;$C$17,machina[#Headers],))=""," ",INDEX(machina!$A10:$FB10,MATCH(AD$19&amp;$C$17,machina[#Headers],)))</f>
        <v>0</v>
      </c>
      <c r="AE27" s="287">
        <f>IF(INDEX(machina!$A10:$FB10,MATCH(AE$19&amp;$C$17,machina[#Headers],))=""," ",INDEX(machina!$A10:$FB10,MATCH(AE$19&amp;$C$17,machina[#Headers],)))</f>
        <v>-100</v>
      </c>
      <c r="AF27" s="287">
        <f>IF(INDEX(machina!$A10:$FB10,MATCH(AF$19&amp;$C$17,machina[#Headers],))=""," ",INDEX(machina!$A10:$FB10,MATCH(AF$19&amp;$C$17,machina[#Headers],)))</f>
        <v>1</v>
      </c>
      <c r="AG27" s="287">
        <f>IF(INDEX(machina!$A10:$FB10,MATCH(AG$19&amp;$C$17,machina[#Headers],))=""," ",INDEX(machina!$A10:$FB10,MATCH(AG$19&amp;$C$17,machina[#Headers],)))</f>
        <v>33.33</v>
      </c>
      <c r="AH27" s="287">
        <f>IF(INDEX(machina!$A10:$FB10,MATCH(AH$19&amp;$C$17,machina[#Headers],))=""," ",INDEX(machina!$A10:$FB10,MATCH(AH$19&amp;$C$17,machina[#Headers],)))</f>
        <v>1822</v>
      </c>
      <c r="AI27" s="287">
        <f>IF(INDEX(machina!$A10:$FB10,MATCH(AI$19&amp;$C$17,machina[#Headers],))=""," ",INDEX(machina!$A10:$FB10,MATCH(AI$19&amp;$C$17,machina[#Headers],)))</f>
        <v>100</v>
      </c>
      <c r="AJ27" s="287">
        <f>IF(INDEX(machina!$A10:$FB10,MATCH(AJ$19&amp;$C$17,machina[#Headers],))=""," ",INDEX(machina!$A10:$FB10,MATCH(AJ$19&amp;$C$17,machina[#Headers],)))</f>
        <v>9</v>
      </c>
      <c r="AK27" s="287">
        <f>IF(INDEX(machina!$A10:$FB10,MATCH(AK$19&amp;$C$17,machina[#Headers],))=""," ",INDEX(machina!$A10:$FB10,MATCH(AK$19&amp;$C$17,machina[#Headers],)))</f>
        <v>9</v>
      </c>
      <c r="AL27" s="287">
        <f>IF(INDEX(machina!$A10:$FB10,MATCH(AL$19&amp;$C$17,machina[#Headers],))=""," ",INDEX(machina!$A10:$FB10,MATCH(AL$19&amp;$C$17,machina[#Headers],)))</f>
        <v>-35</v>
      </c>
      <c r="AM27" s="287">
        <f>IF(INDEX(machina!$A10:$FB10,MATCH(AM$19&amp;$C$17,machina[#Headers],))=""," ",INDEX(machina!$A10:$FB10,MATCH(AM$19&amp;$C$17,machina[#Headers],)))</f>
        <v>24</v>
      </c>
      <c r="AN27" s="287">
        <f>IF(INDEX(machina!$A10:$FB10,MATCH(AN$19&amp;$C$17,machina[#Headers],))=""," ",INDEX(machina!$A10:$FB10,MATCH(AN$19&amp;$C$17,machina[#Headers],)))</f>
        <v>24</v>
      </c>
      <c r="AO27" s="287">
        <f>IF(INDEX(machina!$A10:$FB10,MATCH(AO$19&amp;$C$17,machina[#Headers],))=""," ",INDEX(machina!$A10:$FB10,MATCH(AO$19&amp;$C$17,machina[#Headers],)))</f>
        <v>1972</v>
      </c>
      <c r="AP27" s="287">
        <f>IF(INDEX(machina!$A10:$FB10,MATCH(AP$19&amp;$C$17,machina[#Headers],))=""," ",INDEX(machina!$A10:$FB10,MATCH(AP$19&amp;$C$17,machina[#Headers],)))</f>
        <v>245</v>
      </c>
      <c r="AQ27" s="287">
        <f>IF(INDEX(machina!$A10:$FB10,MATCH(AQ$19&amp;$C$17,machina[#Headers],))=""," ",INDEX(machina!$A10:$FB10,MATCH(AQ$19&amp;$C$17,machina[#Headers],)))</f>
        <v>30</v>
      </c>
      <c r="AR27" s="287">
        <f>IF(INDEX(machina!$A10:$FB10,MATCH(AR$19&amp;$C$17,machina[#Headers],))=""," ",INDEX(machina!$A10:$FB10,MATCH(AR$19&amp;$C$17,machina[#Headers],)))</f>
        <v>12.24</v>
      </c>
      <c r="AS27" s="287">
        <f>IF(INDEX(machina!$A10:$FB10,MATCH(AS$19&amp;$C$17,machina[#Headers],))=""," ",INDEX(machina!$A10:$FB10,MATCH(AS$19&amp;$C$17,machina[#Headers],)))</f>
        <v>-21</v>
      </c>
      <c r="AT27" s="287">
        <f>IF(INDEX(machina!$A10:$FB10,MATCH(AT$19&amp;$C$17,machina[#Headers],))=""," ",INDEX(machina!$A10:$FB10,MATCH(AT$19&amp;$C$17,machina[#Headers],)))</f>
        <v>85</v>
      </c>
      <c r="AU27" s="287">
        <f>IF(INDEX(machina!$A10:$FB10,MATCH(AU$19&amp;$C$17,machina[#Headers],))=""," ",INDEX(machina!$A10:$FB10,MATCH(AU$19&amp;$C$17,machina[#Headers],)))</f>
        <v>34.69</v>
      </c>
      <c r="AV27" s="287">
        <f>IF(INDEX(machina!$A10:$FB10,MATCH(AV$19&amp;$C$17,machina[#Headers],))=""," ",INDEX(machina!$A10:$FB10,MATCH(AV$19&amp;$C$17,machina[#Headers],)))</f>
        <v>2013</v>
      </c>
      <c r="AW27" s="287">
        <f>IF(INDEX(machina!$A10:$FB10,MATCH(AW$19&amp;$C$17,machina[#Headers],))=""," ",INDEX(machina!$A10:$FB10,MATCH(AW$19&amp;$C$17,machina[#Headers],)))</f>
        <v>233</v>
      </c>
      <c r="AX27" s="287">
        <f>IF(INDEX(machina!$A10:$FB10,MATCH(AX$19&amp;$C$17,machina[#Headers],))=""," ",INDEX(machina!$A10:$FB10,MATCH(AX$19&amp;$C$17,machina[#Headers],)))</f>
        <v>29</v>
      </c>
      <c r="AY27" s="287">
        <f>IF(INDEX(machina!$A10:$FB10,MATCH(AY$19&amp;$C$17,machina[#Headers],))=""," ",INDEX(machina!$A10:$FB10,MATCH(AY$19&amp;$C$17,machina[#Headers],)))</f>
        <v>12.45</v>
      </c>
      <c r="AZ27" s="287">
        <f>IF(INDEX(machina!$A10:$FB10,MATCH(AZ$19&amp;$C$17,machina[#Headers],))=""," ",INDEX(machina!$A10:$FB10,MATCH(AZ$19&amp;$C$17,machina[#Headers],)))</f>
        <v>-19</v>
      </c>
      <c r="BA27" s="287">
        <f>IF(INDEX(machina!$A10:$FB10,MATCH(BA$19&amp;$C$17,machina[#Headers],))=""," ",INDEX(machina!$A10:$FB10,MATCH(BA$19&amp;$C$17,machina[#Headers],)))</f>
        <v>81</v>
      </c>
      <c r="BB27" s="287">
        <f>IF(INDEX(machina!$A10:$FB10,MATCH(BB$19&amp;$C$17,machina[#Headers],))=""," ",INDEX(machina!$A10:$FB10,MATCH(BB$19&amp;$C$17,machina[#Headers],)))</f>
        <v>34.76</v>
      </c>
      <c r="BC27" s="287">
        <f>IF(INDEX(machina!$A10:$FB10,MATCH(BC$19&amp;$C$17,machina[#Headers],))=""," ",INDEX(machina!$A10:$FB10,MATCH(BC$19&amp;$C$17,machina[#Headers],)))</f>
        <v>2386</v>
      </c>
      <c r="BD27" s="287">
        <f>IF(INDEX(machina!$A10:$FB10,MATCH(BD$19&amp;$C$17,machina[#Headers],))=""," ",INDEX(machina!$A10:$FB10,MATCH(BD$19&amp;$C$17,machina[#Headers],)))</f>
        <v>14</v>
      </c>
      <c r="BE27" s="287">
        <f>IF(INDEX(machina!$A10:$FB10,MATCH(BE$19&amp;$C$17,machina[#Headers],))=""," ",INDEX(machina!$A10:$FB10,MATCH(BE$19&amp;$C$17,machina[#Headers],)))</f>
        <v>14</v>
      </c>
      <c r="BF27" s="287">
        <f>IF(INDEX(machina!$A10:$FB10,MATCH(BF$19&amp;$C$17,machina[#Headers],))=""," ",INDEX(machina!$A10:$FB10,MATCH(BF$19&amp;$C$17,machina[#Headers],)))</f>
        <v>68</v>
      </c>
      <c r="BG27" s="287">
        <f>IF(INDEX(machina!$A10:$FB10,MATCH(BG$19&amp;$C$17,machina[#Headers],))=""," ",INDEX(machina!$A10:$FB10,MATCH(BG$19&amp;$C$17,machina[#Headers],)))</f>
        <v>31</v>
      </c>
      <c r="BH27" s="287">
        <f>IF(INDEX(machina!$A10:$FB10,MATCH(BH$19&amp;$C$17,machina[#Headers],))=""," ",INDEX(machina!$A10:$FB10,MATCH(BH$19&amp;$C$17,machina[#Headers],)))</f>
        <v>31</v>
      </c>
      <c r="BI27" s="287">
        <f>IF(INDEX(machina!$A10:$FB10,MATCH(BI$19&amp;$C$17,machina[#Headers],))=""," ",INDEX(machina!$A10:$FB10,MATCH(BI$19&amp;$C$17,machina[#Headers],)))</f>
        <v>3000</v>
      </c>
      <c r="BJ27" s="287">
        <f>IF(INDEX(machina!$A10:$FB10,MATCH(BJ$19&amp;$C$17,machina[#Headers],))=""," ",INDEX(machina!$A10:$FB10,MATCH(BJ$19&amp;$C$17,machina[#Headers],)))</f>
        <v>15</v>
      </c>
      <c r="BK27" s="287">
        <f>IF(INDEX(machina!$A10:$FB10,MATCH(BK$19&amp;$C$17,machina[#Headers],))=""," ",INDEX(machina!$A10:$FB10,MATCH(BK$19&amp;$C$17,machina[#Headers],)))</f>
        <v>1</v>
      </c>
      <c r="BL27" s="287">
        <f>IF(INDEX(machina!$A10:$FB10,MATCH(BL$19&amp;$C$17,machina[#Headers],))=""," ",INDEX(machina!$A10:$FB10,MATCH(BL$19&amp;$C$17,machina[#Headers],)))</f>
        <v>6.67</v>
      </c>
      <c r="BM27" s="287">
        <f>IF(INDEX(machina!$A10:$FB10,MATCH(BM$19&amp;$C$17,machina[#Headers],))=""," ",INDEX(machina!$A10:$FB10,MATCH(BM$19&amp;$C$17,machina[#Headers],)))</f>
        <v>240</v>
      </c>
      <c r="BN27" s="287">
        <f>IF(INDEX(machina!$A10:$FB10,MATCH(BN$19&amp;$C$17,machina[#Headers],))=""," ",INDEX(machina!$A10:$FB10,MATCH(BN$19&amp;$C$17,machina[#Headers],)))</f>
        <v>3</v>
      </c>
      <c r="BO27" s="287">
        <f>IF(INDEX(machina!$A10:$FB10,MATCH(BO$19&amp;$C$17,machina[#Headers],))=""," ",INDEX(machina!$A10:$FB10,MATCH(BO$19&amp;$C$17,machina[#Headers],)))</f>
        <v>20</v>
      </c>
      <c r="BP27" s="287">
        <f>IF(INDEX(machina!$A10:$FB10,MATCH(BP$19&amp;$C$17,machina[#Headers],))=""," ",INDEX(machina!$A10:$FB10,MATCH(BP$19&amp;$C$17,machina[#Headers],)))</f>
        <v>4500</v>
      </c>
      <c r="BQ27" s="287">
        <f>IF(INDEX(machina!$A10:$FB10,MATCH(BQ$19&amp;$C$17,machina[#Headers],))=""," ",INDEX(machina!$A10:$FB10,MATCH(BQ$19&amp;$C$17,machina[#Headers],)))</f>
        <v>10</v>
      </c>
      <c r="BR27" s="287">
        <f>IF(INDEX(machina!$A10:$FB10,MATCH(BR$19&amp;$C$17,machina[#Headers],))=""," ",INDEX(machina!$A10:$FB10,MATCH(BR$19&amp;$C$17,machina[#Headers],)))</f>
        <v>1</v>
      </c>
      <c r="BS27" s="287">
        <f>IF(INDEX(machina!$A10:$FB10,MATCH(BS$19&amp;$C$17,machina[#Headers],))=""," ",INDEX(machina!$A10:$FB10,MATCH(BS$19&amp;$C$17,machina[#Headers],)))</f>
        <v>10</v>
      </c>
      <c r="BT27" s="287">
        <f>IF(INDEX(machina!$A10:$FB10,MATCH(BT$19&amp;$C$17,machina[#Headers],))=""," ",INDEX(machina!$A10:$FB10,MATCH(BT$19&amp;$C$17,machina[#Headers],)))</f>
        <v>410</v>
      </c>
      <c r="BU27" s="287">
        <f>IF(INDEX(machina!$A10:$FB10,MATCH(BU$19&amp;$C$17,machina[#Headers],))=""," ",INDEX(machina!$A10:$FB10,MATCH(BU$19&amp;$C$17,machina[#Headers],)))</f>
        <v>3</v>
      </c>
      <c r="BV27" s="287">
        <f>IF(INDEX(machina!$A10:$FB10,MATCH(BV$19&amp;$C$17,machina[#Headers],))=""," ",INDEX(machina!$A10:$FB10,MATCH(BV$19&amp;$C$17,machina[#Headers],)))</f>
        <v>30</v>
      </c>
      <c r="BW27" s="287">
        <f>IF(INDEX(machina!$A10:$FB10,MATCH(BW$19&amp;$C$17,machina[#Headers],))=""," ",INDEX(machina!$A10:$FB10,MATCH(BW$19&amp;$C$17,machina[#Headers],)))</f>
        <v>9</v>
      </c>
      <c r="BX27" s="287">
        <f>IF(INDEX(machina!$A10:$FB10,MATCH(BX$19&amp;$C$17,machina[#Headers],))=""," ",INDEX(machina!$A10:$FB10,MATCH(BX$19&amp;$C$17,machina[#Headers],)))</f>
        <v>9</v>
      </c>
      <c r="BY27" s="287">
        <f>IF(INDEX(machina!$A10:$FB10,MATCH(BY$19&amp;$C$17,machina[#Headers],))=""," ",INDEX(machina!$A10:$FB10,MATCH(BY$19&amp;$C$17,machina[#Headers],)))</f>
        <v>180</v>
      </c>
      <c r="BZ27" s="287" t="str">
        <f>IF(INDEX(machina!$A10:$FB10,MATCH(BZ$19&amp;$C$17,machina[#Headers],))=""," ",INDEX(machina!$A10:$FB10,MATCH(BZ$19&amp;$C$17,machina[#Headers],)))</f>
        <v xml:space="preserve"> </v>
      </c>
      <c r="CA27" s="287">
        <f>IF(INDEX(machina!$A10:$FB10,MATCH(CA$19&amp;$C$17,machina[#Headers],))=""," ",INDEX(machina!$A10:$FB10,MATCH(CA$19&amp;$C$17,machina[#Headers],)))</f>
        <v>4356</v>
      </c>
      <c r="CB27" s="288">
        <f>IF(INDEX('Raw Data'!$A10:$EA10,MATCH(CB$19,RawData[#Headers],))=""," ",INDEX('Raw Data'!$A10:$EA10,MATCH(CB$19,RawData[#Headers],)))</f>
        <v>8</v>
      </c>
      <c r="CD27" s="299">
        <f t="shared" si="36"/>
        <v>8.5</v>
      </c>
      <c r="CE27" s="299">
        <f t="shared" si="42"/>
        <v>-4.0437499999999993</v>
      </c>
      <c r="CF27" s="299">
        <f t="shared" si="43"/>
        <v>4</v>
      </c>
      <c r="CG27" s="299">
        <f>IF(CE27=""," ",INDEX($CU$9:$CU$12,MATCH(CF27,analysis[CLUSTER],0)))</f>
        <v>2</v>
      </c>
      <c r="CH27" s="299">
        <f>IF(CL27=""," ",RANK(CL27,$CL$20:$CL$45,1))</f>
        <v>4</v>
      </c>
      <c r="CI27" s="298" t="str">
        <f t="shared" si="45"/>
        <v xml:space="preserve"> </v>
      </c>
      <c r="CJ27" s="326"/>
      <c r="CK27" s="299"/>
      <c r="CL27" s="298">
        <f t="shared" si="46"/>
        <v>4</v>
      </c>
      <c r="CM27" s="326"/>
      <c r="CN27" s="326"/>
      <c r="CO27" s="326"/>
      <c r="CP27" s="326"/>
      <c r="CQ27" s="315" t="str">
        <f t="shared" si="38"/>
        <v/>
      </c>
      <c r="CR27" s="333" t="str">
        <f t="shared" si="47"/>
        <v xml:space="preserve"> </v>
      </c>
      <c r="CS27" s="333" t="str">
        <f t="shared" si="48"/>
        <v xml:space="preserve"> </v>
      </c>
      <c r="CT27" s="333" t="str">
        <f t="shared" si="49"/>
        <v xml:space="preserve"> </v>
      </c>
      <c r="CU27" s="333">
        <f t="shared" si="50"/>
        <v>4</v>
      </c>
      <c r="CV27" s="326"/>
      <c r="CW27" s="315" t="str">
        <f t="shared" si="51"/>
        <v/>
      </c>
      <c r="CX27" s="333" t="str">
        <f t="shared" si="52"/>
        <v xml:space="preserve"> </v>
      </c>
      <c r="CY27" s="333">
        <f t="shared" si="53"/>
        <v>4</v>
      </c>
      <c r="CZ27" s="333" t="str">
        <f t="shared" si="53"/>
        <v xml:space="preserve"> </v>
      </c>
      <c r="DA27" s="333" t="str">
        <f t="shared" si="53"/>
        <v xml:space="preserve"> </v>
      </c>
      <c r="DB27" s="326">
        <v>8</v>
      </c>
      <c r="DC27" s="337" t="str">
        <f t="shared" si="54"/>
        <v xml:space="preserve"> </v>
      </c>
      <c r="DD27" s="337">
        <f t="shared" si="55"/>
        <v>4</v>
      </c>
      <c r="DE27" s="337" t="str">
        <f t="shared" si="56"/>
        <v xml:space="preserve"> </v>
      </c>
      <c r="DF27" s="337" t="str">
        <f t="shared" si="57"/>
        <v xml:space="preserve"> </v>
      </c>
      <c r="DG27" s="344">
        <f t="shared" si="58"/>
        <v>4</v>
      </c>
      <c r="DH27" s="337" t="str">
        <f t="shared" si="59"/>
        <v xml:space="preserve"> </v>
      </c>
      <c r="DI27" s="337" t="str">
        <f t="shared" si="41"/>
        <v xml:space="preserve"> </v>
      </c>
      <c r="DJ27" s="337" t="str">
        <f t="shared" si="41"/>
        <v xml:space="preserve"> </v>
      </c>
      <c r="DK27" s="337" t="str">
        <f t="shared" si="41"/>
        <v xml:space="preserve"> </v>
      </c>
      <c r="DL27" s="344" t="str">
        <f t="shared" si="60"/>
        <v xml:space="preserve"> </v>
      </c>
      <c r="DN27" s="292" t="str">
        <f>IFERROR(VLOOKUP($A27,'Raw Data'!$A$3:$EV$32,152,FALSE)," ")</f>
        <v>NOW</v>
      </c>
    </row>
    <row r="28" spans="1:118" x14ac:dyDescent="0.3">
      <c r="A28" s="255">
        <f>'Raw Data'!A11</f>
        <v>0</v>
      </c>
      <c r="B28" s="287" t="str">
        <f>IF(INDEX(machina!$A11:$FB11,MATCH(B$19&amp;$C$17,machina[#Headers],))=""," ",INDEX(machina!$A11:$FB11,MATCH(B$19&amp;$C$17,machina[#Headers],)))</f>
        <v xml:space="preserve"> </v>
      </c>
      <c r="C28" s="287" t="str">
        <f>IF(INDEX(machina!$A11:$FB11,MATCH(C$19&amp;$C$17,machina[#Headers],))=""," ",INDEX(machina!$A11:$FB11,MATCH(C$19&amp;$C$17,machina[#Headers],)))</f>
        <v xml:space="preserve"> </v>
      </c>
      <c r="D28" s="287" t="str">
        <f>IF(INDEX(machina!$A11:$FB11,MATCH(D$19&amp;$C$17,machina[#Headers],))=""," ",INDEX(machina!$A11:$FB11,MATCH(D$19&amp;$C$17,machina[#Headers],)))</f>
        <v xml:space="preserve"> </v>
      </c>
      <c r="E28" s="287" t="str">
        <f>IF(INDEX(machina!$A11:$FB11,MATCH(E$19&amp;$C$17,machina[#Headers],))=""," ",INDEX(machina!$A11:$FB11,MATCH(E$19&amp;$C$17,machina[#Headers],)))</f>
        <v xml:space="preserve"> </v>
      </c>
      <c r="F28" s="287" t="str">
        <f>IF(INDEX(machina!$A11:$FB11,MATCH(F$19&amp;$C$17,machina[#Headers],))=""," ",INDEX(machina!$A11:$FB11,MATCH(F$19&amp;$C$17,machina[#Headers],)))</f>
        <v xml:space="preserve"> </v>
      </c>
      <c r="G28" s="287" t="str">
        <f>IF(INDEX(machina!$A11:$FB11,MATCH(G$19&amp;$C$17,machina[#Headers],))=""," ",INDEX(machina!$A11:$FB11,MATCH(G$19&amp;$C$17,machina[#Headers],)))</f>
        <v xml:space="preserve"> </v>
      </c>
      <c r="H28" s="287" t="str">
        <f>IF(INDEX(machina!$A11:$FB11,MATCH(H$19&amp;$C$17,machina[#Headers],))=""," ",INDEX(machina!$A11:$FB11,MATCH(H$19&amp;$C$17,machina[#Headers],)))</f>
        <v xml:space="preserve"> </v>
      </c>
      <c r="I28" s="287" t="str">
        <f>IF(INDEX(machina!$A11:$FB11,MATCH(I$19&amp;$C$17,machina[#Headers],))=""," ",INDEX(machina!$A11:$FB11,MATCH(I$19&amp;$C$17,machina[#Headers],)))</f>
        <v xml:space="preserve"> </v>
      </c>
      <c r="J28" s="287" t="str">
        <f>IF(INDEX(machina!$A11:$FB11,MATCH(J$19&amp;$C$17,machina[#Headers],))=""," ",INDEX(machina!$A11:$FB11,MATCH(J$19&amp;$C$17,machina[#Headers],)))</f>
        <v xml:space="preserve"> </v>
      </c>
      <c r="K28" s="287" t="str">
        <f>IF(INDEX(machina!$A11:$FB11,MATCH(K$19&amp;$C$17,machina[#Headers],))=""," ",INDEX(machina!$A11:$FB11,MATCH(K$19&amp;$C$17,machina[#Headers],)))</f>
        <v xml:space="preserve"> </v>
      </c>
      <c r="L28" s="287" t="str">
        <f>IF(INDEX(machina!$A11:$FB11,MATCH(L$19&amp;$C$17,machina[#Headers],))=""," ",INDEX(machina!$A11:$FB11,MATCH(L$19&amp;$C$17,machina[#Headers],)))</f>
        <v xml:space="preserve"> </v>
      </c>
      <c r="M28" s="287" t="str">
        <f>IF(INDEX(machina!$A11:$FB11,MATCH(M$19&amp;$C$17,machina[#Headers],))=""," ",INDEX(machina!$A11:$FB11,MATCH(M$19&amp;$C$17,machina[#Headers],)))</f>
        <v xml:space="preserve"> </v>
      </c>
      <c r="N28" s="287" t="str">
        <f>IF(INDEX(machina!$A11:$FB11,MATCH(N$19&amp;$C$17,machina[#Headers],))=""," ",INDEX(machina!$A11:$FB11,MATCH(N$19&amp;$C$17,machina[#Headers],)))</f>
        <v xml:space="preserve"> </v>
      </c>
      <c r="O28" s="287" t="str">
        <f>IF(INDEX(machina!$A11:$FB11,MATCH(O$19&amp;$C$17,machina[#Headers],))=""," ",INDEX(machina!$A11:$FB11,MATCH(O$19&amp;$C$17,machina[#Headers],)))</f>
        <v xml:space="preserve"> </v>
      </c>
      <c r="P28" s="287" t="str">
        <f>IF(INDEX(machina!$A11:$FB11,MATCH(P$19&amp;$C$17,machina[#Headers],))=""," ",INDEX(machina!$A11:$FB11,MATCH(P$19&amp;$C$17,machina[#Headers],)))</f>
        <v xml:space="preserve"> </v>
      </c>
      <c r="Q28" s="287" t="str">
        <f>IF(INDEX(machina!$A11:$FB11,MATCH(Q$19&amp;$C$17,machina[#Headers],))=""," ",INDEX(machina!$A11:$FB11,MATCH(Q$19&amp;$C$17,machina[#Headers],)))</f>
        <v xml:space="preserve"> </v>
      </c>
      <c r="R28" s="287" t="str">
        <f>IF(INDEX(machina!$A11:$FB11,MATCH(R$19&amp;$C$17,machina[#Headers],))=""," ",INDEX(machina!$A11:$FB11,MATCH(R$19&amp;$C$17,machina[#Headers],)))</f>
        <v xml:space="preserve"> </v>
      </c>
      <c r="S28" s="287" t="str">
        <f>IF(INDEX(machina!$A11:$FB11,MATCH(S$19&amp;$C$17,machina[#Headers],))=""," ",INDEX(machina!$A11:$FB11,MATCH(S$19&amp;$C$17,machina[#Headers],)))</f>
        <v xml:space="preserve"> </v>
      </c>
      <c r="T28" s="287" t="str">
        <f>IF(INDEX(machina!$A11:$FB11,MATCH(T$19&amp;$C$17,machina[#Headers],))=""," ",INDEX(machina!$A11:$FB11,MATCH(T$19&amp;$C$17,machina[#Headers],)))</f>
        <v xml:space="preserve"> </v>
      </c>
      <c r="U28" s="287" t="str">
        <f>IF(INDEX(machina!$A11:$FB11,MATCH(U$19&amp;$C$17,machina[#Headers],))=""," ",INDEX(machina!$A11:$FB11,MATCH(U$19&amp;$C$17,machina[#Headers],)))</f>
        <v xml:space="preserve"> </v>
      </c>
      <c r="V28" s="287" t="str">
        <f>IF(INDEX(machina!$A11:$FB11,MATCH(V$19&amp;$C$17,machina[#Headers],))=""," ",INDEX(machina!$A11:$FB11,MATCH(V$19&amp;$C$17,machina[#Headers],)))</f>
        <v xml:space="preserve"> </v>
      </c>
      <c r="W28" s="287" t="str">
        <f>IF(INDEX(machina!$A11:$FB11,MATCH(W$19&amp;$C$17,machina[#Headers],))=""," ",INDEX(machina!$A11:$FB11,MATCH(W$19&amp;$C$17,machina[#Headers],)))</f>
        <v xml:space="preserve"> </v>
      </c>
      <c r="X28" s="287" t="str">
        <f>IF(INDEX(machina!$A11:$FB11,MATCH(X$19&amp;$C$17,machina[#Headers],))=""," ",INDEX(machina!$A11:$FB11,MATCH(X$19&amp;$C$17,machina[#Headers],)))</f>
        <v xml:space="preserve"> </v>
      </c>
      <c r="Y28" s="287" t="str">
        <f>IF(INDEX(machina!$A11:$FB11,MATCH(Y$19&amp;$C$17,machina[#Headers],))=""," ",INDEX(machina!$A11:$FB11,MATCH(Y$19&amp;$C$17,machina[#Headers],)))</f>
        <v xml:space="preserve"> </v>
      </c>
      <c r="Z28" s="287" t="str">
        <f>IF(INDEX(machina!$A11:$FB11,MATCH(Z$19&amp;$C$17,machina[#Headers],))=""," ",INDEX(machina!$A11:$FB11,MATCH(Z$19&amp;$C$17,machina[#Headers],)))</f>
        <v xml:space="preserve"> </v>
      </c>
      <c r="AA28" s="287" t="str">
        <f>IF(INDEX(machina!$A11:$FB11,MATCH(AA$19&amp;$C$17,machina[#Headers],))=""," ",INDEX(machina!$A11:$FB11,MATCH(AA$19&amp;$C$17,machina[#Headers],)))</f>
        <v xml:space="preserve"> </v>
      </c>
      <c r="AB28" s="287" t="str">
        <f>IF(INDEX(machina!$A11:$FB11,MATCH(AB$19&amp;$C$17,machina[#Headers],))=""," ",INDEX(machina!$A11:$FB11,MATCH(AB$19&amp;$C$17,machina[#Headers],)))</f>
        <v xml:space="preserve"> </v>
      </c>
      <c r="AC28" s="287" t="str">
        <f>IF(INDEX(machina!$A11:$FB11,MATCH(AC$19&amp;$C$17,machina[#Headers],))=""," ",INDEX(machina!$A11:$FB11,MATCH(AC$19&amp;$C$17,machina[#Headers],)))</f>
        <v xml:space="preserve"> </v>
      </c>
      <c r="AD28" s="287" t="str">
        <f>IF(INDEX(machina!$A11:$FB11,MATCH(AD$19&amp;$C$17,machina[#Headers],))=""," ",INDEX(machina!$A11:$FB11,MATCH(AD$19&amp;$C$17,machina[#Headers],)))</f>
        <v xml:space="preserve"> </v>
      </c>
      <c r="AE28" s="287" t="str">
        <f>IF(INDEX(machina!$A11:$FB11,MATCH(AE$19&amp;$C$17,machina[#Headers],))=""," ",INDEX(machina!$A11:$FB11,MATCH(AE$19&amp;$C$17,machina[#Headers],)))</f>
        <v xml:space="preserve"> </v>
      </c>
      <c r="AF28" s="287" t="str">
        <f>IF(INDEX(machina!$A11:$FB11,MATCH(AF$19&amp;$C$17,machina[#Headers],))=""," ",INDEX(machina!$A11:$FB11,MATCH(AF$19&amp;$C$17,machina[#Headers],)))</f>
        <v xml:space="preserve"> </v>
      </c>
      <c r="AG28" s="287" t="str">
        <f>IF(INDEX(machina!$A11:$FB11,MATCH(AG$19&amp;$C$17,machina[#Headers],))=""," ",INDEX(machina!$A11:$FB11,MATCH(AG$19&amp;$C$17,machina[#Headers],)))</f>
        <v xml:space="preserve"> </v>
      </c>
      <c r="AH28" s="287" t="str">
        <f>IF(INDEX(machina!$A11:$FB11,MATCH(AH$19&amp;$C$17,machina[#Headers],))=""," ",INDEX(machina!$A11:$FB11,MATCH(AH$19&amp;$C$17,machina[#Headers],)))</f>
        <v xml:space="preserve"> </v>
      </c>
      <c r="AI28" s="287" t="str">
        <f>IF(INDEX(machina!$A11:$FB11,MATCH(AI$19&amp;$C$17,machina[#Headers],))=""," ",INDEX(machina!$A11:$FB11,MATCH(AI$19&amp;$C$17,machina[#Headers],)))</f>
        <v xml:space="preserve"> </v>
      </c>
      <c r="AJ28" s="287" t="str">
        <f>IF(INDEX(machina!$A11:$FB11,MATCH(AJ$19&amp;$C$17,machina[#Headers],))=""," ",INDEX(machina!$A11:$FB11,MATCH(AJ$19&amp;$C$17,machina[#Headers],)))</f>
        <v xml:space="preserve"> </v>
      </c>
      <c r="AK28" s="287" t="str">
        <f>IF(INDEX(machina!$A11:$FB11,MATCH(AK$19&amp;$C$17,machina[#Headers],))=""," ",INDEX(machina!$A11:$FB11,MATCH(AK$19&amp;$C$17,machina[#Headers],)))</f>
        <v xml:space="preserve"> </v>
      </c>
      <c r="AL28" s="287" t="str">
        <f>IF(INDEX(machina!$A11:$FB11,MATCH(AL$19&amp;$C$17,machina[#Headers],))=""," ",INDEX(machina!$A11:$FB11,MATCH(AL$19&amp;$C$17,machina[#Headers],)))</f>
        <v xml:space="preserve"> </v>
      </c>
      <c r="AM28" s="287" t="str">
        <f>IF(INDEX(machina!$A11:$FB11,MATCH(AM$19&amp;$C$17,machina[#Headers],))=""," ",INDEX(machina!$A11:$FB11,MATCH(AM$19&amp;$C$17,machina[#Headers],)))</f>
        <v xml:space="preserve"> </v>
      </c>
      <c r="AN28" s="287" t="str">
        <f>IF(INDEX(machina!$A11:$FB11,MATCH(AN$19&amp;$C$17,machina[#Headers],))=""," ",INDEX(machina!$A11:$FB11,MATCH(AN$19&amp;$C$17,machina[#Headers],)))</f>
        <v xml:space="preserve"> </v>
      </c>
      <c r="AO28" s="287" t="str">
        <f>IF(INDEX(machina!$A11:$FB11,MATCH(AO$19&amp;$C$17,machina[#Headers],))=""," ",INDEX(machina!$A11:$FB11,MATCH(AO$19&amp;$C$17,machina[#Headers],)))</f>
        <v xml:space="preserve"> </v>
      </c>
      <c r="AP28" s="287" t="str">
        <f>IF(INDEX(machina!$A11:$FB11,MATCH(AP$19&amp;$C$17,machina[#Headers],))=""," ",INDEX(machina!$A11:$FB11,MATCH(AP$19&amp;$C$17,machina[#Headers],)))</f>
        <v xml:space="preserve"> </v>
      </c>
      <c r="AQ28" s="287" t="str">
        <f>IF(INDEX(machina!$A11:$FB11,MATCH(AQ$19&amp;$C$17,machina[#Headers],))=""," ",INDEX(machina!$A11:$FB11,MATCH(AQ$19&amp;$C$17,machina[#Headers],)))</f>
        <v xml:space="preserve"> </v>
      </c>
      <c r="AR28" s="287" t="str">
        <f>IF(INDEX(machina!$A11:$FB11,MATCH(AR$19&amp;$C$17,machina[#Headers],))=""," ",INDEX(machina!$A11:$FB11,MATCH(AR$19&amp;$C$17,machina[#Headers],)))</f>
        <v xml:space="preserve"> </v>
      </c>
      <c r="AS28" s="287" t="str">
        <f>IF(INDEX(machina!$A11:$FB11,MATCH(AS$19&amp;$C$17,machina[#Headers],))=""," ",INDEX(machina!$A11:$FB11,MATCH(AS$19&amp;$C$17,machina[#Headers],)))</f>
        <v xml:space="preserve"> </v>
      </c>
      <c r="AT28" s="287" t="str">
        <f>IF(INDEX(machina!$A11:$FB11,MATCH(AT$19&amp;$C$17,machina[#Headers],))=""," ",INDEX(machina!$A11:$FB11,MATCH(AT$19&amp;$C$17,machina[#Headers],)))</f>
        <v xml:space="preserve"> </v>
      </c>
      <c r="AU28" s="287" t="str">
        <f>IF(INDEX(machina!$A11:$FB11,MATCH(AU$19&amp;$C$17,machina[#Headers],))=""," ",INDEX(machina!$A11:$FB11,MATCH(AU$19&amp;$C$17,machina[#Headers],)))</f>
        <v xml:space="preserve"> </v>
      </c>
      <c r="AV28" s="287" t="str">
        <f>IF(INDEX(machina!$A11:$FB11,MATCH(AV$19&amp;$C$17,machina[#Headers],))=""," ",INDEX(machina!$A11:$FB11,MATCH(AV$19&amp;$C$17,machina[#Headers],)))</f>
        <v xml:space="preserve"> </v>
      </c>
      <c r="AW28" s="287" t="str">
        <f>IF(INDEX(machina!$A11:$FB11,MATCH(AW$19&amp;$C$17,machina[#Headers],))=""," ",INDEX(machina!$A11:$FB11,MATCH(AW$19&amp;$C$17,machina[#Headers],)))</f>
        <v xml:space="preserve"> </v>
      </c>
      <c r="AX28" s="287" t="str">
        <f>IF(INDEX(machina!$A11:$FB11,MATCH(AX$19&amp;$C$17,machina[#Headers],))=""," ",INDEX(machina!$A11:$FB11,MATCH(AX$19&amp;$C$17,machina[#Headers],)))</f>
        <v xml:space="preserve"> </v>
      </c>
      <c r="AY28" s="287" t="str">
        <f>IF(INDEX(machina!$A11:$FB11,MATCH(AY$19&amp;$C$17,machina[#Headers],))=""," ",INDEX(machina!$A11:$FB11,MATCH(AY$19&amp;$C$17,machina[#Headers],)))</f>
        <v xml:space="preserve"> </v>
      </c>
      <c r="AZ28" s="287" t="str">
        <f>IF(INDEX(machina!$A11:$FB11,MATCH(AZ$19&amp;$C$17,machina[#Headers],))=""," ",INDEX(machina!$A11:$FB11,MATCH(AZ$19&amp;$C$17,machina[#Headers],)))</f>
        <v xml:space="preserve"> </v>
      </c>
      <c r="BA28" s="287" t="str">
        <f>IF(INDEX(machina!$A11:$FB11,MATCH(BA$19&amp;$C$17,machina[#Headers],))=""," ",INDEX(machina!$A11:$FB11,MATCH(BA$19&amp;$C$17,machina[#Headers],)))</f>
        <v xml:space="preserve"> </v>
      </c>
      <c r="BB28" s="287" t="str">
        <f>IF(INDEX(machina!$A11:$FB11,MATCH(BB$19&amp;$C$17,machina[#Headers],))=""," ",INDEX(machina!$A11:$FB11,MATCH(BB$19&amp;$C$17,machina[#Headers],)))</f>
        <v xml:space="preserve"> </v>
      </c>
      <c r="BC28" s="287" t="str">
        <f>IF(INDEX(machina!$A11:$FB11,MATCH(BC$19&amp;$C$17,machina[#Headers],))=""," ",INDEX(machina!$A11:$FB11,MATCH(BC$19&amp;$C$17,machina[#Headers],)))</f>
        <v xml:space="preserve"> </v>
      </c>
      <c r="BD28" s="287" t="str">
        <f>IF(INDEX(machina!$A11:$FB11,MATCH(BD$19&amp;$C$17,machina[#Headers],))=""," ",INDEX(machina!$A11:$FB11,MATCH(BD$19&amp;$C$17,machina[#Headers],)))</f>
        <v xml:space="preserve"> </v>
      </c>
      <c r="BE28" s="287" t="str">
        <f>IF(INDEX(machina!$A11:$FB11,MATCH(BE$19&amp;$C$17,machina[#Headers],))=""," ",INDEX(machina!$A11:$FB11,MATCH(BE$19&amp;$C$17,machina[#Headers],)))</f>
        <v xml:space="preserve"> </v>
      </c>
      <c r="BF28" s="287" t="str">
        <f>IF(INDEX(machina!$A11:$FB11,MATCH(BF$19&amp;$C$17,machina[#Headers],))=""," ",INDEX(machina!$A11:$FB11,MATCH(BF$19&amp;$C$17,machina[#Headers],)))</f>
        <v xml:space="preserve"> </v>
      </c>
      <c r="BG28" s="287" t="str">
        <f>IF(INDEX(machina!$A11:$FB11,MATCH(BG$19&amp;$C$17,machina[#Headers],))=""," ",INDEX(machina!$A11:$FB11,MATCH(BG$19&amp;$C$17,machina[#Headers],)))</f>
        <v xml:space="preserve"> </v>
      </c>
      <c r="BH28" s="287" t="str">
        <f>IF(INDEX(machina!$A11:$FB11,MATCH(BH$19&amp;$C$17,machina[#Headers],))=""," ",INDEX(machina!$A11:$FB11,MATCH(BH$19&amp;$C$17,machina[#Headers],)))</f>
        <v xml:space="preserve"> </v>
      </c>
      <c r="BI28" s="287" t="str">
        <f>IF(INDEX(machina!$A11:$FB11,MATCH(BI$19&amp;$C$17,machina[#Headers],))=""," ",INDEX(machina!$A11:$FB11,MATCH(BI$19&amp;$C$17,machina[#Headers],)))</f>
        <v xml:space="preserve"> </v>
      </c>
      <c r="BJ28" s="287" t="str">
        <f>IF(INDEX(machina!$A11:$FB11,MATCH(BJ$19&amp;$C$17,machina[#Headers],))=""," ",INDEX(machina!$A11:$FB11,MATCH(BJ$19&amp;$C$17,machina[#Headers],)))</f>
        <v xml:space="preserve"> </v>
      </c>
      <c r="BK28" s="287" t="str">
        <f>IF(INDEX(machina!$A11:$FB11,MATCH(BK$19&amp;$C$17,machina[#Headers],))=""," ",INDEX(machina!$A11:$FB11,MATCH(BK$19&amp;$C$17,machina[#Headers],)))</f>
        <v xml:space="preserve"> </v>
      </c>
      <c r="BL28" s="287" t="str">
        <f>IF(INDEX(machina!$A11:$FB11,MATCH(BL$19&amp;$C$17,machina[#Headers],))=""," ",INDEX(machina!$A11:$FB11,MATCH(BL$19&amp;$C$17,machina[#Headers],)))</f>
        <v xml:space="preserve"> </v>
      </c>
      <c r="BM28" s="287" t="str">
        <f>IF(INDEX(machina!$A11:$FB11,MATCH(BM$19&amp;$C$17,machina[#Headers],))=""," ",INDEX(machina!$A11:$FB11,MATCH(BM$19&amp;$C$17,machina[#Headers],)))</f>
        <v xml:space="preserve"> </v>
      </c>
      <c r="BN28" s="287" t="str">
        <f>IF(INDEX(machina!$A11:$FB11,MATCH(BN$19&amp;$C$17,machina[#Headers],))=""," ",INDEX(machina!$A11:$FB11,MATCH(BN$19&amp;$C$17,machina[#Headers],)))</f>
        <v xml:space="preserve"> </v>
      </c>
      <c r="BO28" s="287" t="str">
        <f>IF(INDEX(machina!$A11:$FB11,MATCH(BO$19&amp;$C$17,machina[#Headers],))=""," ",INDEX(machina!$A11:$FB11,MATCH(BO$19&amp;$C$17,machina[#Headers],)))</f>
        <v xml:space="preserve"> </v>
      </c>
      <c r="BP28" s="287" t="str">
        <f>IF(INDEX(machina!$A11:$FB11,MATCH(BP$19&amp;$C$17,machina[#Headers],))=""," ",INDEX(machina!$A11:$FB11,MATCH(BP$19&amp;$C$17,machina[#Headers],)))</f>
        <v xml:space="preserve"> </v>
      </c>
      <c r="BQ28" s="287" t="str">
        <f>IF(INDEX(machina!$A11:$FB11,MATCH(BQ$19&amp;$C$17,machina[#Headers],))=""," ",INDEX(machina!$A11:$FB11,MATCH(BQ$19&amp;$C$17,machina[#Headers],)))</f>
        <v xml:space="preserve"> </v>
      </c>
      <c r="BR28" s="287" t="str">
        <f>IF(INDEX(machina!$A11:$FB11,MATCH(BR$19&amp;$C$17,machina[#Headers],))=""," ",INDEX(machina!$A11:$FB11,MATCH(BR$19&amp;$C$17,machina[#Headers],)))</f>
        <v xml:space="preserve"> </v>
      </c>
      <c r="BS28" s="287" t="str">
        <f>IF(INDEX(machina!$A11:$FB11,MATCH(BS$19&amp;$C$17,machina[#Headers],))=""," ",INDEX(machina!$A11:$FB11,MATCH(BS$19&amp;$C$17,machina[#Headers],)))</f>
        <v xml:space="preserve"> </v>
      </c>
      <c r="BT28" s="287" t="str">
        <f>IF(INDEX(machina!$A11:$FB11,MATCH(BT$19&amp;$C$17,machina[#Headers],))=""," ",INDEX(machina!$A11:$FB11,MATCH(BT$19&amp;$C$17,machina[#Headers],)))</f>
        <v xml:space="preserve"> </v>
      </c>
      <c r="BU28" s="287" t="str">
        <f>IF(INDEX(machina!$A11:$FB11,MATCH(BU$19&amp;$C$17,machina[#Headers],))=""," ",INDEX(machina!$A11:$FB11,MATCH(BU$19&amp;$C$17,machina[#Headers],)))</f>
        <v xml:space="preserve"> </v>
      </c>
      <c r="BV28" s="287" t="str">
        <f>IF(INDEX(machina!$A11:$FB11,MATCH(BV$19&amp;$C$17,machina[#Headers],))=""," ",INDEX(machina!$A11:$FB11,MATCH(BV$19&amp;$C$17,machina[#Headers],)))</f>
        <v xml:space="preserve"> </v>
      </c>
      <c r="BW28" s="287" t="str">
        <f>IF(INDEX(machina!$A11:$FB11,MATCH(BW$19&amp;$C$17,machina[#Headers],))=""," ",INDEX(machina!$A11:$FB11,MATCH(BW$19&amp;$C$17,machina[#Headers],)))</f>
        <v xml:space="preserve"> </v>
      </c>
      <c r="BX28" s="287" t="str">
        <f>IF(INDEX(machina!$A11:$FB11,MATCH(BX$19&amp;$C$17,machina[#Headers],))=""," ",INDEX(machina!$A11:$FB11,MATCH(BX$19&amp;$C$17,machina[#Headers],)))</f>
        <v xml:space="preserve"> </v>
      </c>
      <c r="BY28" s="287" t="str">
        <f>IF(INDEX(machina!$A11:$FB11,MATCH(BY$19&amp;$C$17,machina[#Headers],))=""," ",INDEX(machina!$A11:$FB11,MATCH(BY$19&amp;$C$17,machina[#Headers],)))</f>
        <v xml:space="preserve"> </v>
      </c>
      <c r="BZ28" s="287" t="str">
        <f>IF(INDEX(machina!$A11:$FB11,MATCH(BZ$19&amp;$C$17,machina[#Headers],))=""," ",INDEX(machina!$A11:$FB11,MATCH(BZ$19&amp;$C$17,machina[#Headers],)))</f>
        <v xml:space="preserve"> </v>
      </c>
      <c r="CA28" s="287" t="str">
        <f>IF(INDEX(machina!$A11:$FB11,MATCH(CA$19&amp;$C$17,machina[#Headers],))=""," ",INDEX(machina!$A11:$FB11,MATCH(CA$19&amp;$C$17,machina[#Headers],)))</f>
        <v xml:space="preserve"> </v>
      </c>
      <c r="CB28" s="288" t="str">
        <f>IF(INDEX('Raw Data'!$A11:$EA11,MATCH(CB$19,RawData[#Headers],))=""," ",INDEX('Raw Data'!$A11:$EA11,MATCH(CB$19,RawData[#Headers],)))</f>
        <v xml:space="preserve"> </v>
      </c>
      <c r="CD28" s="298" t="str">
        <f t="shared" si="36"/>
        <v xml:space="preserve"> </v>
      </c>
      <c r="CE28" s="298" t="str">
        <f t="shared" si="42"/>
        <v/>
      </c>
      <c r="CF28" s="298" t="str">
        <f t="shared" si="43"/>
        <v xml:space="preserve"> </v>
      </c>
      <c r="CG28" s="298" t="str">
        <f>IF(CE28=""," ",INDEX($CU$9:$CU$12,MATCH(CF28,analysis[CLUSTER],0)))</f>
        <v xml:space="preserve"> </v>
      </c>
      <c r="CH28" s="298" t="str">
        <f t="shared" si="44"/>
        <v xml:space="preserve"> </v>
      </c>
      <c r="CI28" s="298" t="str">
        <f t="shared" si="45"/>
        <v xml:space="preserve"> </v>
      </c>
      <c r="CJ28" s="326" t="s">
        <v>579</v>
      </c>
      <c r="CK28" s="298">
        <f>COUNTIF($CL$20:$CL$45,"&gt;="&amp;$CK$22)</f>
        <v>3</v>
      </c>
      <c r="CL28" s="298" t="str">
        <f t="shared" si="46"/>
        <v/>
      </c>
      <c r="CM28" s="326"/>
      <c r="CN28" s="326"/>
      <c r="CO28" s="326"/>
      <c r="CP28" s="326"/>
      <c r="CQ28" s="315" t="str">
        <f t="shared" si="38"/>
        <v/>
      </c>
      <c r="CR28" s="333" t="str">
        <f t="shared" si="47"/>
        <v xml:space="preserve"> </v>
      </c>
      <c r="CS28" s="333" t="str">
        <f t="shared" si="48"/>
        <v xml:space="preserve"> </v>
      </c>
      <c r="CT28" s="333" t="str">
        <f t="shared" si="49"/>
        <v xml:space="preserve"> </v>
      </c>
      <c r="CU28" s="333" t="str">
        <f t="shared" si="50"/>
        <v xml:space="preserve"> </v>
      </c>
      <c r="CV28" s="326"/>
      <c r="CW28" s="315" t="str">
        <f t="shared" si="51"/>
        <v/>
      </c>
      <c r="CX28" s="333" t="str">
        <f t="shared" si="52"/>
        <v xml:space="preserve"> </v>
      </c>
      <c r="CY28" s="333" t="str">
        <f t="shared" si="53"/>
        <v xml:space="preserve"> </v>
      </c>
      <c r="CZ28" s="333" t="str">
        <f t="shared" si="53"/>
        <v xml:space="preserve"> </v>
      </c>
      <c r="DA28" s="333" t="str">
        <f t="shared" si="53"/>
        <v xml:space="preserve"> </v>
      </c>
      <c r="DB28" s="326">
        <v>9</v>
      </c>
      <c r="DC28" s="337" t="str">
        <f t="shared" si="54"/>
        <v xml:space="preserve"> </v>
      </c>
      <c r="DD28" s="337" t="str">
        <f t="shared" si="55"/>
        <v xml:space="preserve"> </v>
      </c>
      <c r="DE28" s="337" t="str">
        <f t="shared" si="56"/>
        <v xml:space="preserve"> </v>
      </c>
      <c r="DF28" s="337" t="str">
        <f t="shared" si="57"/>
        <v xml:space="preserve"> </v>
      </c>
      <c r="DG28" s="344" t="str">
        <f t="shared" si="58"/>
        <v xml:space="preserve"> </v>
      </c>
      <c r="DH28" s="337" t="str">
        <f t="shared" si="59"/>
        <v xml:space="preserve"> </v>
      </c>
      <c r="DI28" s="337" t="str">
        <f t="shared" si="41"/>
        <v xml:space="preserve"> </v>
      </c>
      <c r="DJ28" s="337" t="str">
        <f t="shared" si="41"/>
        <v xml:space="preserve"> </v>
      </c>
      <c r="DK28" s="337" t="str">
        <f t="shared" si="41"/>
        <v xml:space="preserve"> </v>
      </c>
      <c r="DL28" s="344" t="str">
        <f t="shared" si="60"/>
        <v xml:space="preserve"> </v>
      </c>
      <c r="DN28" s="292" t="str">
        <f>IFERROR(VLOOKUP($A28,'Raw Data'!$A$3:$EV$32,152,FALSE)," ")</f>
        <v xml:space="preserve"> </v>
      </c>
    </row>
    <row r="29" spans="1:118" x14ac:dyDescent="0.3">
      <c r="A29" s="255">
        <f>'Raw Data'!A12</f>
        <v>0</v>
      </c>
      <c r="B29" s="287" t="str">
        <f>IF(INDEX(machina!$A12:$FB12,MATCH(B$19&amp;$C$17,machina[#Headers],))=""," ",INDEX(machina!$A12:$FB12,MATCH(B$19&amp;$C$17,machina[#Headers],)))</f>
        <v xml:space="preserve"> </v>
      </c>
      <c r="C29" s="287" t="str">
        <f>IF(INDEX(machina!$A12:$FB12,MATCH(C$19&amp;$C$17,machina[#Headers],))=""," ",INDEX(machina!$A12:$FB12,MATCH(C$19&amp;$C$17,machina[#Headers],)))</f>
        <v xml:space="preserve"> </v>
      </c>
      <c r="D29" s="287" t="str">
        <f>IF(INDEX(machina!$A12:$FB12,MATCH(D$19&amp;$C$17,machina[#Headers],))=""," ",INDEX(machina!$A12:$FB12,MATCH(D$19&amp;$C$17,machina[#Headers],)))</f>
        <v xml:space="preserve"> </v>
      </c>
      <c r="E29" s="287" t="str">
        <f>IF(INDEX(machina!$A12:$FB12,MATCH(E$19&amp;$C$17,machina[#Headers],))=""," ",INDEX(machina!$A12:$FB12,MATCH(E$19&amp;$C$17,machina[#Headers],)))</f>
        <v xml:space="preserve"> </v>
      </c>
      <c r="F29" s="287" t="str">
        <f>IF(INDEX(machina!$A12:$FB12,MATCH(F$19&amp;$C$17,machina[#Headers],))=""," ",INDEX(machina!$A12:$FB12,MATCH(F$19&amp;$C$17,machina[#Headers],)))</f>
        <v xml:space="preserve"> </v>
      </c>
      <c r="G29" s="287" t="str">
        <f>IF(INDEX(machina!$A12:$FB12,MATCH(G$19&amp;$C$17,machina[#Headers],))=""," ",INDEX(machina!$A12:$FB12,MATCH(G$19&amp;$C$17,machina[#Headers],)))</f>
        <v xml:space="preserve"> </v>
      </c>
      <c r="H29" s="287" t="str">
        <f>IF(INDEX(machina!$A12:$FB12,MATCH(H$19&amp;$C$17,machina[#Headers],))=""," ",INDEX(machina!$A12:$FB12,MATCH(H$19&amp;$C$17,machina[#Headers],)))</f>
        <v xml:space="preserve"> </v>
      </c>
      <c r="I29" s="287" t="str">
        <f>IF(INDEX(machina!$A12:$FB12,MATCH(I$19&amp;$C$17,machina[#Headers],))=""," ",INDEX(machina!$A12:$FB12,MATCH(I$19&amp;$C$17,machina[#Headers],)))</f>
        <v xml:space="preserve"> </v>
      </c>
      <c r="J29" s="287" t="str">
        <f>IF(INDEX(machina!$A12:$FB12,MATCH(J$19&amp;$C$17,machina[#Headers],))=""," ",INDEX(machina!$A12:$FB12,MATCH(J$19&amp;$C$17,machina[#Headers],)))</f>
        <v xml:space="preserve"> </v>
      </c>
      <c r="K29" s="287" t="str">
        <f>IF(INDEX(machina!$A12:$FB12,MATCH(K$19&amp;$C$17,machina[#Headers],))=""," ",INDEX(machina!$A12:$FB12,MATCH(K$19&amp;$C$17,machina[#Headers],)))</f>
        <v xml:space="preserve"> </v>
      </c>
      <c r="L29" s="287" t="str">
        <f>IF(INDEX(machina!$A12:$FB12,MATCH(L$19&amp;$C$17,machina[#Headers],))=""," ",INDEX(machina!$A12:$FB12,MATCH(L$19&amp;$C$17,machina[#Headers],)))</f>
        <v xml:space="preserve"> </v>
      </c>
      <c r="M29" s="287" t="str">
        <f>IF(INDEX(machina!$A12:$FB12,MATCH(M$19&amp;$C$17,machina[#Headers],))=""," ",INDEX(machina!$A12:$FB12,MATCH(M$19&amp;$C$17,machina[#Headers],)))</f>
        <v xml:space="preserve"> </v>
      </c>
      <c r="N29" s="287" t="str">
        <f>IF(INDEX(machina!$A12:$FB12,MATCH(N$19&amp;$C$17,machina[#Headers],))=""," ",INDEX(machina!$A12:$FB12,MATCH(N$19&amp;$C$17,machina[#Headers],)))</f>
        <v xml:space="preserve"> </v>
      </c>
      <c r="O29" s="287" t="str">
        <f>IF(INDEX(machina!$A12:$FB12,MATCH(O$19&amp;$C$17,machina[#Headers],))=""," ",INDEX(machina!$A12:$FB12,MATCH(O$19&amp;$C$17,machina[#Headers],)))</f>
        <v xml:space="preserve"> </v>
      </c>
      <c r="P29" s="287" t="str">
        <f>IF(INDEX(machina!$A12:$FB12,MATCH(P$19&amp;$C$17,machina[#Headers],))=""," ",INDEX(machina!$A12:$FB12,MATCH(P$19&amp;$C$17,machina[#Headers],)))</f>
        <v xml:space="preserve"> </v>
      </c>
      <c r="Q29" s="287" t="str">
        <f>IF(INDEX(machina!$A12:$FB12,MATCH(Q$19&amp;$C$17,machina[#Headers],))=""," ",INDEX(machina!$A12:$FB12,MATCH(Q$19&amp;$C$17,machina[#Headers],)))</f>
        <v xml:space="preserve"> </v>
      </c>
      <c r="R29" s="287" t="str">
        <f>IF(INDEX(machina!$A12:$FB12,MATCH(R$19&amp;$C$17,machina[#Headers],))=""," ",INDEX(machina!$A12:$FB12,MATCH(R$19&amp;$C$17,machina[#Headers],)))</f>
        <v xml:space="preserve"> </v>
      </c>
      <c r="S29" s="287" t="str">
        <f>IF(INDEX(machina!$A12:$FB12,MATCH(S$19&amp;$C$17,machina[#Headers],))=""," ",INDEX(machina!$A12:$FB12,MATCH(S$19&amp;$C$17,machina[#Headers],)))</f>
        <v xml:space="preserve"> </v>
      </c>
      <c r="T29" s="287" t="str">
        <f>IF(INDEX(machina!$A12:$FB12,MATCH(T$19&amp;$C$17,machina[#Headers],))=""," ",INDEX(machina!$A12:$FB12,MATCH(T$19&amp;$C$17,machina[#Headers],)))</f>
        <v xml:space="preserve"> </v>
      </c>
      <c r="U29" s="287" t="str">
        <f>IF(INDEX(machina!$A12:$FB12,MATCH(U$19&amp;$C$17,machina[#Headers],))=""," ",INDEX(machina!$A12:$FB12,MATCH(U$19&amp;$C$17,machina[#Headers],)))</f>
        <v xml:space="preserve"> </v>
      </c>
      <c r="V29" s="287" t="str">
        <f>IF(INDEX(machina!$A12:$FB12,MATCH(V$19&amp;$C$17,machina[#Headers],))=""," ",INDEX(machina!$A12:$FB12,MATCH(V$19&amp;$C$17,machina[#Headers],)))</f>
        <v xml:space="preserve"> </v>
      </c>
      <c r="W29" s="287" t="str">
        <f>IF(INDEX(machina!$A12:$FB12,MATCH(W$19&amp;$C$17,machina[#Headers],))=""," ",INDEX(machina!$A12:$FB12,MATCH(W$19&amp;$C$17,machina[#Headers],)))</f>
        <v xml:space="preserve"> </v>
      </c>
      <c r="X29" s="287" t="str">
        <f>IF(INDEX(machina!$A12:$FB12,MATCH(X$19&amp;$C$17,machina[#Headers],))=""," ",INDEX(machina!$A12:$FB12,MATCH(X$19&amp;$C$17,machina[#Headers],)))</f>
        <v xml:space="preserve"> </v>
      </c>
      <c r="Y29" s="287" t="str">
        <f>IF(INDEX(machina!$A12:$FB12,MATCH(Y$19&amp;$C$17,machina[#Headers],))=""," ",INDEX(machina!$A12:$FB12,MATCH(Y$19&amp;$C$17,machina[#Headers],)))</f>
        <v xml:space="preserve"> </v>
      </c>
      <c r="Z29" s="287" t="str">
        <f>IF(INDEX(machina!$A12:$FB12,MATCH(Z$19&amp;$C$17,machina[#Headers],))=""," ",INDEX(machina!$A12:$FB12,MATCH(Z$19&amp;$C$17,machina[#Headers],)))</f>
        <v xml:space="preserve"> </v>
      </c>
      <c r="AA29" s="287" t="str">
        <f>IF(INDEX(machina!$A12:$FB12,MATCH(AA$19&amp;$C$17,machina[#Headers],))=""," ",INDEX(machina!$A12:$FB12,MATCH(AA$19&amp;$C$17,machina[#Headers],)))</f>
        <v xml:space="preserve"> </v>
      </c>
      <c r="AB29" s="287" t="str">
        <f>IF(INDEX(machina!$A12:$FB12,MATCH(AB$19&amp;$C$17,machina[#Headers],))=""," ",INDEX(machina!$A12:$FB12,MATCH(AB$19&amp;$C$17,machina[#Headers],)))</f>
        <v xml:space="preserve"> </v>
      </c>
      <c r="AC29" s="287" t="str">
        <f>IF(INDEX(machina!$A12:$FB12,MATCH(AC$19&amp;$C$17,machina[#Headers],))=""," ",INDEX(machina!$A12:$FB12,MATCH(AC$19&amp;$C$17,machina[#Headers],)))</f>
        <v xml:space="preserve"> </v>
      </c>
      <c r="AD29" s="287" t="str">
        <f>IF(INDEX(machina!$A12:$FB12,MATCH(AD$19&amp;$C$17,machina[#Headers],))=""," ",INDEX(machina!$A12:$FB12,MATCH(AD$19&amp;$C$17,machina[#Headers],)))</f>
        <v xml:space="preserve"> </v>
      </c>
      <c r="AE29" s="287" t="str">
        <f>IF(INDEX(machina!$A12:$FB12,MATCH(AE$19&amp;$C$17,machina[#Headers],))=""," ",INDEX(machina!$A12:$FB12,MATCH(AE$19&amp;$C$17,machina[#Headers],)))</f>
        <v xml:space="preserve"> </v>
      </c>
      <c r="AF29" s="287" t="str">
        <f>IF(INDEX(machina!$A12:$FB12,MATCH(AF$19&amp;$C$17,machina[#Headers],))=""," ",INDEX(machina!$A12:$FB12,MATCH(AF$19&amp;$C$17,machina[#Headers],)))</f>
        <v xml:space="preserve"> </v>
      </c>
      <c r="AG29" s="287" t="str">
        <f>IF(INDEX(machina!$A12:$FB12,MATCH(AG$19&amp;$C$17,machina[#Headers],))=""," ",INDEX(machina!$A12:$FB12,MATCH(AG$19&amp;$C$17,machina[#Headers],)))</f>
        <v xml:space="preserve"> </v>
      </c>
      <c r="AH29" s="287" t="str">
        <f>IF(INDEX(machina!$A12:$FB12,MATCH(AH$19&amp;$C$17,machina[#Headers],))=""," ",INDEX(machina!$A12:$FB12,MATCH(AH$19&amp;$C$17,machina[#Headers],)))</f>
        <v xml:space="preserve"> </v>
      </c>
      <c r="AI29" s="287" t="str">
        <f>IF(INDEX(machina!$A12:$FB12,MATCH(AI$19&amp;$C$17,machina[#Headers],))=""," ",INDEX(machina!$A12:$FB12,MATCH(AI$19&amp;$C$17,machina[#Headers],)))</f>
        <v xml:space="preserve"> </v>
      </c>
      <c r="AJ29" s="287" t="str">
        <f>IF(INDEX(machina!$A12:$FB12,MATCH(AJ$19&amp;$C$17,machina[#Headers],))=""," ",INDEX(machina!$A12:$FB12,MATCH(AJ$19&amp;$C$17,machina[#Headers],)))</f>
        <v xml:space="preserve"> </v>
      </c>
      <c r="AK29" s="287" t="str">
        <f>IF(INDEX(machina!$A12:$FB12,MATCH(AK$19&amp;$C$17,machina[#Headers],))=""," ",INDEX(machina!$A12:$FB12,MATCH(AK$19&amp;$C$17,machina[#Headers],)))</f>
        <v xml:space="preserve"> </v>
      </c>
      <c r="AL29" s="287" t="str">
        <f>IF(INDEX(machina!$A12:$FB12,MATCH(AL$19&amp;$C$17,machina[#Headers],))=""," ",INDEX(machina!$A12:$FB12,MATCH(AL$19&amp;$C$17,machina[#Headers],)))</f>
        <v xml:space="preserve"> </v>
      </c>
      <c r="AM29" s="287" t="str">
        <f>IF(INDEX(machina!$A12:$FB12,MATCH(AM$19&amp;$C$17,machina[#Headers],))=""," ",INDEX(machina!$A12:$FB12,MATCH(AM$19&amp;$C$17,machina[#Headers],)))</f>
        <v xml:space="preserve"> </v>
      </c>
      <c r="AN29" s="287" t="str">
        <f>IF(INDEX(machina!$A12:$FB12,MATCH(AN$19&amp;$C$17,machina[#Headers],))=""," ",INDEX(machina!$A12:$FB12,MATCH(AN$19&amp;$C$17,machina[#Headers],)))</f>
        <v xml:space="preserve"> </v>
      </c>
      <c r="AO29" s="287" t="str">
        <f>IF(INDEX(machina!$A12:$FB12,MATCH(AO$19&amp;$C$17,machina[#Headers],))=""," ",INDEX(machina!$A12:$FB12,MATCH(AO$19&amp;$C$17,machina[#Headers],)))</f>
        <v xml:space="preserve"> </v>
      </c>
      <c r="AP29" s="287" t="str">
        <f>IF(INDEX(machina!$A12:$FB12,MATCH(AP$19&amp;$C$17,machina[#Headers],))=""," ",INDEX(machina!$A12:$FB12,MATCH(AP$19&amp;$C$17,machina[#Headers],)))</f>
        <v xml:space="preserve"> </v>
      </c>
      <c r="AQ29" s="287" t="str">
        <f>IF(INDEX(machina!$A12:$FB12,MATCH(AQ$19&amp;$C$17,machina[#Headers],))=""," ",INDEX(machina!$A12:$FB12,MATCH(AQ$19&amp;$C$17,machina[#Headers],)))</f>
        <v xml:space="preserve"> </v>
      </c>
      <c r="AR29" s="287" t="str">
        <f>IF(INDEX(machina!$A12:$FB12,MATCH(AR$19&amp;$C$17,machina[#Headers],))=""," ",INDEX(machina!$A12:$FB12,MATCH(AR$19&amp;$C$17,machina[#Headers],)))</f>
        <v xml:space="preserve"> </v>
      </c>
      <c r="AS29" s="287" t="str">
        <f>IF(INDEX(machina!$A12:$FB12,MATCH(AS$19&amp;$C$17,machina[#Headers],))=""," ",INDEX(machina!$A12:$FB12,MATCH(AS$19&amp;$C$17,machina[#Headers],)))</f>
        <v xml:space="preserve"> </v>
      </c>
      <c r="AT29" s="287" t="str">
        <f>IF(INDEX(machina!$A12:$FB12,MATCH(AT$19&amp;$C$17,machina[#Headers],))=""," ",INDEX(machina!$A12:$FB12,MATCH(AT$19&amp;$C$17,machina[#Headers],)))</f>
        <v xml:space="preserve"> </v>
      </c>
      <c r="AU29" s="287" t="str">
        <f>IF(INDEX(machina!$A12:$FB12,MATCH(AU$19&amp;$C$17,machina[#Headers],))=""," ",INDEX(machina!$A12:$FB12,MATCH(AU$19&amp;$C$17,machina[#Headers],)))</f>
        <v xml:space="preserve"> </v>
      </c>
      <c r="AV29" s="287" t="str">
        <f>IF(INDEX(machina!$A12:$FB12,MATCH(AV$19&amp;$C$17,machina[#Headers],))=""," ",INDEX(machina!$A12:$FB12,MATCH(AV$19&amp;$C$17,machina[#Headers],)))</f>
        <v xml:space="preserve"> </v>
      </c>
      <c r="AW29" s="287" t="str">
        <f>IF(INDEX(machina!$A12:$FB12,MATCH(AW$19&amp;$C$17,machina[#Headers],))=""," ",INDEX(machina!$A12:$FB12,MATCH(AW$19&amp;$C$17,machina[#Headers],)))</f>
        <v xml:space="preserve"> </v>
      </c>
      <c r="AX29" s="287" t="str">
        <f>IF(INDEX(machina!$A12:$FB12,MATCH(AX$19&amp;$C$17,machina[#Headers],))=""," ",INDEX(machina!$A12:$FB12,MATCH(AX$19&amp;$C$17,machina[#Headers],)))</f>
        <v xml:space="preserve"> </v>
      </c>
      <c r="AY29" s="287" t="str">
        <f>IF(INDEX(machina!$A12:$FB12,MATCH(AY$19&amp;$C$17,machina[#Headers],))=""," ",INDEX(machina!$A12:$FB12,MATCH(AY$19&amp;$C$17,machina[#Headers],)))</f>
        <v xml:space="preserve"> </v>
      </c>
      <c r="AZ29" s="287" t="str">
        <f>IF(INDEX(machina!$A12:$FB12,MATCH(AZ$19&amp;$C$17,machina[#Headers],))=""," ",INDEX(machina!$A12:$FB12,MATCH(AZ$19&amp;$C$17,machina[#Headers],)))</f>
        <v xml:space="preserve"> </v>
      </c>
      <c r="BA29" s="287" t="str">
        <f>IF(INDEX(machina!$A12:$FB12,MATCH(BA$19&amp;$C$17,machina[#Headers],))=""," ",INDEX(machina!$A12:$FB12,MATCH(BA$19&amp;$C$17,machina[#Headers],)))</f>
        <v xml:space="preserve"> </v>
      </c>
      <c r="BB29" s="287" t="str">
        <f>IF(INDEX(machina!$A12:$FB12,MATCH(BB$19&amp;$C$17,machina[#Headers],))=""," ",INDEX(machina!$A12:$FB12,MATCH(BB$19&amp;$C$17,machina[#Headers],)))</f>
        <v xml:space="preserve"> </v>
      </c>
      <c r="BC29" s="287" t="str">
        <f>IF(INDEX(machina!$A12:$FB12,MATCH(BC$19&amp;$C$17,machina[#Headers],))=""," ",INDEX(machina!$A12:$FB12,MATCH(BC$19&amp;$C$17,machina[#Headers],)))</f>
        <v xml:space="preserve"> </v>
      </c>
      <c r="BD29" s="287" t="str">
        <f>IF(INDEX(machina!$A12:$FB12,MATCH(BD$19&amp;$C$17,machina[#Headers],))=""," ",INDEX(machina!$A12:$FB12,MATCH(BD$19&amp;$C$17,machina[#Headers],)))</f>
        <v xml:space="preserve"> </v>
      </c>
      <c r="BE29" s="287" t="str">
        <f>IF(INDEX(machina!$A12:$FB12,MATCH(BE$19&amp;$C$17,machina[#Headers],))=""," ",INDEX(machina!$A12:$FB12,MATCH(BE$19&amp;$C$17,machina[#Headers],)))</f>
        <v xml:space="preserve"> </v>
      </c>
      <c r="BF29" s="287" t="str">
        <f>IF(INDEX(machina!$A12:$FB12,MATCH(BF$19&amp;$C$17,machina[#Headers],))=""," ",INDEX(machina!$A12:$FB12,MATCH(BF$19&amp;$C$17,machina[#Headers],)))</f>
        <v xml:space="preserve"> </v>
      </c>
      <c r="BG29" s="287" t="str">
        <f>IF(INDEX(machina!$A12:$FB12,MATCH(BG$19&amp;$C$17,machina[#Headers],))=""," ",INDEX(machina!$A12:$FB12,MATCH(BG$19&amp;$C$17,machina[#Headers],)))</f>
        <v xml:space="preserve"> </v>
      </c>
      <c r="BH29" s="287" t="str">
        <f>IF(INDEX(machina!$A12:$FB12,MATCH(BH$19&amp;$C$17,machina[#Headers],))=""," ",INDEX(machina!$A12:$FB12,MATCH(BH$19&amp;$C$17,machina[#Headers],)))</f>
        <v xml:space="preserve"> </v>
      </c>
      <c r="BI29" s="287" t="str">
        <f>IF(INDEX(machina!$A12:$FB12,MATCH(BI$19&amp;$C$17,machina[#Headers],))=""," ",INDEX(machina!$A12:$FB12,MATCH(BI$19&amp;$C$17,machina[#Headers],)))</f>
        <v xml:space="preserve"> </v>
      </c>
      <c r="BJ29" s="287" t="str">
        <f>IF(INDEX(machina!$A12:$FB12,MATCH(BJ$19&amp;$C$17,machina[#Headers],))=""," ",INDEX(machina!$A12:$FB12,MATCH(BJ$19&amp;$C$17,machina[#Headers],)))</f>
        <v xml:space="preserve"> </v>
      </c>
      <c r="BK29" s="287" t="str">
        <f>IF(INDEX(machina!$A12:$FB12,MATCH(BK$19&amp;$C$17,machina[#Headers],))=""," ",INDEX(machina!$A12:$FB12,MATCH(BK$19&amp;$C$17,machina[#Headers],)))</f>
        <v xml:space="preserve"> </v>
      </c>
      <c r="BL29" s="287" t="str">
        <f>IF(INDEX(machina!$A12:$FB12,MATCH(BL$19&amp;$C$17,machina[#Headers],))=""," ",INDEX(machina!$A12:$FB12,MATCH(BL$19&amp;$C$17,machina[#Headers],)))</f>
        <v xml:space="preserve"> </v>
      </c>
      <c r="BM29" s="287" t="str">
        <f>IF(INDEX(machina!$A12:$FB12,MATCH(BM$19&amp;$C$17,machina[#Headers],))=""," ",INDEX(machina!$A12:$FB12,MATCH(BM$19&amp;$C$17,machina[#Headers],)))</f>
        <v xml:space="preserve"> </v>
      </c>
      <c r="BN29" s="287" t="str">
        <f>IF(INDEX(machina!$A12:$FB12,MATCH(BN$19&amp;$C$17,machina[#Headers],))=""," ",INDEX(machina!$A12:$FB12,MATCH(BN$19&amp;$C$17,machina[#Headers],)))</f>
        <v xml:space="preserve"> </v>
      </c>
      <c r="BO29" s="287" t="str">
        <f>IF(INDEX(machina!$A12:$FB12,MATCH(BO$19&amp;$C$17,machina[#Headers],))=""," ",INDEX(machina!$A12:$FB12,MATCH(BO$19&amp;$C$17,machina[#Headers],)))</f>
        <v xml:space="preserve"> </v>
      </c>
      <c r="BP29" s="287" t="str">
        <f>IF(INDEX(machina!$A12:$FB12,MATCH(BP$19&amp;$C$17,machina[#Headers],))=""," ",INDEX(machina!$A12:$FB12,MATCH(BP$19&amp;$C$17,machina[#Headers],)))</f>
        <v xml:space="preserve"> </v>
      </c>
      <c r="BQ29" s="287" t="str">
        <f>IF(INDEX(machina!$A12:$FB12,MATCH(BQ$19&amp;$C$17,machina[#Headers],))=""," ",INDEX(machina!$A12:$FB12,MATCH(BQ$19&amp;$C$17,machina[#Headers],)))</f>
        <v xml:space="preserve"> </v>
      </c>
      <c r="BR29" s="287" t="str">
        <f>IF(INDEX(machina!$A12:$FB12,MATCH(BR$19&amp;$C$17,machina[#Headers],))=""," ",INDEX(machina!$A12:$FB12,MATCH(BR$19&amp;$C$17,machina[#Headers],)))</f>
        <v xml:space="preserve"> </v>
      </c>
      <c r="BS29" s="287" t="str">
        <f>IF(INDEX(machina!$A12:$FB12,MATCH(BS$19&amp;$C$17,machina[#Headers],))=""," ",INDEX(machina!$A12:$FB12,MATCH(BS$19&amp;$C$17,machina[#Headers],)))</f>
        <v xml:space="preserve"> </v>
      </c>
      <c r="BT29" s="287" t="str">
        <f>IF(INDEX(machina!$A12:$FB12,MATCH(BT$19&amp;$C$17,machina[#Headers],))=""," ",INDEX(machina!$A12:$FB12,MATCH(BT$19&amp;$C$17,machina[#Headers],)))</f>
        <v xml:space="preserve"> </v>
      </c>
      <c r="BU29" s="287" t="str">
        <f>IF(INDEX(machina!$A12:$FB12,MATCH(BU$19&amp;$C$17,machina[#Headers],))=""," ",INDEX(machina!$A12:$FB12,MATCH(BU$19&amp;$C$17,machina[#Headers],)))</f>
        <v xml:space="preserve"> </v>
      </c>
      <c r="BV29" s="287" t="str">
        <f>IF(INDEX(machina!$A12:$FB12,MATCH(BV$19&amp;$C$17,machina[#Headers],))=""," ",INDEX(machina!$A12:$FB12,MATCH(BV$19&amp;$C$17,machina[#Headers],)))</f>
        <v xml:space="preserve"> </v>
      </c>
      <c r="BW29" s="287" t="str">
        <f>IF(INDEX(machina!$A12:$FB12,MATCH(BW$19&amp;$C$17,machina[#Headers],))=""," ",INDEX(machina!$A12:$FB12,MATCH(BW$19&amp;$C$17,machina[#Headers],)))</f>
        <v xml:space="preserve"> </v>
      </c>
      <c r="BX29" s="287" t="str">
        <f>IF(INDEX(machina!$A12:$FB12,MATCH(BX$19&amp;$C$17,machina[#Headers],))=""," ",INDEX(machina!$A12:$FB12,MATCH(BX$19&amp;$C$17,machina[#Headers],)))</f>
        <v xml:space="preserve"> </v>
      </c>
      <c r="BY29" s="287" t="str">
        <f>IF(INDEX(machina!$A12:$FB12,MATCH(BY$19&amp;$C$17,machina[#Headers],))=""," ",INDEX(machina!$A12:$FB12,MATCH(BY$19&amp;$C$17,machina[#Headers],)))</f>
        <v xml:space="preserve"> </v>
      </c>
      <c r="BZ29" s="287" t="str">
        <f>IF(INDEX(machina!$A12:$FB12,MATCH(BZ$19&amp;$C$17,machina[#Headers],))=""," ",INDEX(machina!$A12:$FB12,MATCH(BZ$19&amp;$C$17,machina[#Headers],)))</f>
        <v xml:space="preserve"> </v>
      </c>
      <c r="CA29" s="287" t="str">
        <f>IF(INDEX(machina!$A12:$FB12,MATCH(CA$19&amp;$C$17,machina[#Headers],))=""," ",INDEX(machina!$A12:$FB12,MATCH(CA$19&amp;$C$17,machina[#Headers],)))</f>
        <v xml:space="preserve"> </v>
      </c>
      <c r="CB29" s="288" t="str">
        <f>IF(INDEX('Raw Data'!$A12:$EA12,MATCH(CB$19,RawData[#Headers],))=""," ",INDEX('Raw Data'!$A12:$EA12,MATCH(CB$19,RawData[#Headers],)))</f>
        <v xml:space="preserve"> </v>
      </c>
      <c r="CD29" s="299" t="str">
        <f t="shared" ref="CD29:CD45" si="61">IFERROR(INDEX($B29:$CA29,MATCH($CD$19,$B$19:$CA$19,0))," ")</f>
        <v xml:space="preserve"> </v>
      </c>
      <c r="CE29" s="299" t="str">
        <f t="shared" si="42"/>
        <v/>
      </c>
      <c r="CF29" s="299" t="str">
        <f t="shared" si="43"/>
        <v xml:space="preserve"> </v>
      </c>
      <c r="CG29" s="299" t="str">
        <f>IF(CE29=""," ",INDEX($CU$9:$CU$12,MATCH(CF29,analysis[CLUSTER],0)))</f>
        <v xml:space="preserve"> </v>
      </c>
      <c r="CH29" s="299" t="str">
        <f t="shared" si="44"/>
        <v xml:space="preserve"> </v>
      </c>
      <c r="CI29" s="298" t="str">
        <f t="shared" si="45"/>
        <v xml:space="preserve"> </v>
      </c>
      <c r="CJ29" s="326" t="s">
        <v>580</v>
      </c>
      <c r="CK29" s="299">
        <f>COUNTIF($CL$20:$CL$45,"&lt;="&amp;$CK$20)</f>
        <v>4</v>
      </c>
      <c r="CL29" s="298" t="str">
        <f t="shared" si="46"/>
        <v/>
      </c>
      <c r="CM29" s="326"/>
      <c r="CN29" s="326"/>
      <c r="CO29" s="326"/>
      <c r="CP29" s="326"/>
      <c r="CQ29" s="315" t="str">
        <f t="shared" si="38"/>
        <v/>
      </c>
      <c r="CR29" s="333" t="str">
        <f t="shared" si="47"/>
        <v xml:space="preserve"> </v>
      </c>
      <c r="CS29" s="333" t="str">
        <f t="shared" si="48"/>
        <v xml:space="preserve"> </v>
      </c>
      <c r="CT29" s="333" t="str">
        <f t="shared" si="49"/>
        <v xml:space="preserve"> </v>
      </c>
      <c r="CU29" s="333" t="str">
        <f t="shared" si="50"/>
        <v xml:space="preserve"> </v>
      </c>
      <c r="CV29" s="326"/>
      <c r="CW29" s="315" t="str">
        <f t="shared" si="51"/>
        <v/>
      </c>
      <c r="CX29" s="333" t="str">
        <f t="shared" si="52"/>
        <v xml:space="preserve"> </v>
      </c>
      <c r="CY29" s="333" t="str">
        <f t="shared" si="53"/>
        <v xml:space="preserve"> </v>
      </c>
      <c r="CZ29" s="333" t="str">
        <f t="shared" si="53"/>
        <v xml:space="preserve"> </v>
      </c>
      <c r="DA29" s="333" t="str">
        <f t="shared" si="53"/>
        <v xml:space="preserve"> </v>
      </c>
      <c r="DB29" s="326">
        <v>10</v>
      </c>
      <c r="DC29" s="337" t="str">
        <f t="shared" si="54"/>
        <v xml:space="preserve"> </v>
      </c>
      <c r="DD29" s="337" t="str">
        <f t="shared" si="55"/>
        <v xml:space="preserve"> </v>
      </c>
      <c r="DE29" s="337" t="str">
        <f t="shared" si="56"/>
        <v xml:space="preserve"> </v>
      </c>
      <c r="DF29" s="337" t="str">
        <f t="shared" si="57"/>
        <v xml:space="preserve"> </v>
      </c>
      <c r="DG29" s="344" t="str">
        <f t="shared" si="58"/>
        <v xml:space="preserve"> </v>
      </c>
      <c r="DH29" s="337" t="str">
        <f t="shared" si="59"/>
        <v xml:space="preserve"> </v>
      </c>
      <c r="DI29" s="337" t="str">
        <f t="shared" si="41"/>
        <v xml:space="preserve"> </v>
      </c>
      <c r="DJ29" s="337" t="str">
        <f t="shared" si="41"/>
        <v xml:space="preserve"> </v>
      </c>
      <c r="DK29" s="337" t="str">
        <f t="shared" si="41"/>
        <v xml:space="preserve"> </v>
      </c>
      <c r="DL29" s="344" t="str">
        <f t="shared" si="60"/>
        <v xml:space="preserve"> </v>
      </c>
      <c r="DN29" s="292" t="str">
        <f>IFERROR(VLOOKUP($A29,'Raw Data'!$A$3:$EV$32,152,FALSE)," ")</f>
        <v xml:space="preserve"> </v>
      </c>
    </row>
    <row r="30" spans="1:118" x14ac:dyDescent="0.3">
      <c r="A30" s="255">
        <f>'Raw Data'!A13</f>
        <v>0</v>
      </c>
      <c r="B30" s="287" t="str">
        <f>IF(INDEX(machina!$A13:$FB13,MATCH(B$19&amp;$C$17,machina[#Headers],))=""," ",INDEX(machina!$A13:$FB13,MATCH(B$19&amp;$C$17,machina[#Headers],)))</f>
        <v xml:space="preserve"> </v>
      </c>
      <c r="C30" s="287" t="str">
        <f>IF(INDEX(machina!$A13:$FB13,MATCH(C$19&amp;$C$17,machina[#Headers],))=""," ",INDEX(machina!$A13:$FB13,MATCH(C$19&amp;$C$17,machina[#Headers],)))</f>
        <v xml:space="preserve"> </v>
      </c>
      <c r="D30" s="287" t="str">
        <f>IF(INDEX(machina!$A13:$FB13,MATCH(D$19&amp;$C$17,machina[#Headers],))=""," ",INDEX(machina!$A13:$FB13,MATCH(D$19&amp;$C$17,machina[#Headers],)))</f>
        <v xml:space="preserve"> </v>
      </c>
      <c r="E30" s="287" t="str">
        <f>IF(INDEX(machina!$A13:$FB13,MATCH(E$19&amp;$C$17,machina[#Headers],))=""," ",INDEX(machina!$A13:$FB13,MATCH(E$19&amp;$C$17,machina[#Headers],)))</f>
        <v xml:space="preserve"> </v>
      </c>
      <c r="F30" s="287" t="str">
        <f>IF(INDEX(machina!$A13:$FB13,MATCH(F$19&amp;$C$17,machina[#Headers],))=""," ",INDEX(machina!$A13:$FB13,MATCH(F$19&amp;$C$17,machina[#Headers],)))</f>
        <v xml:space="preserve"> </v>
      </c>
      <c r="G30" s="287" t="str">
        <f>IF(INDEX(machina!$A13:$FB13,MATCH(G$19&amp;$C$17,machina[#Headers],))=""," ",INDEX(machina!$A13:$FB13,MATCH(G$19&amp;$C$17,machina[#Headers],)))</f>
        <v xml:space="preserve"> </v>
      </c>
      <c r="H30" s="287" t="str">
        <f>IF(INDEX(machina!$A13:$FB13,MATCH(H$19&amp;$C$17,machina[#Headers],))=""," ",INDEX(machina!$A13:$FB13,MATCH(H$19&amp;$C$17,machina[#Headers],)))</f>
        <v xml:space="preserve"> </v>
      </c>
      <c r="I30" s="287" t="str">
        <f>IF(INDEX(machina!$A13:$FB13,MATCH(I$19&amp;$C$17,machina[#Headers],))=""," ",INDEX(machina!$A13:$FB13,MATCH(I$19&amp;$C$17,machina[#Headers],)))</f>
        <v xml:space="preserve"> </v>
      </c>
      <c r="J30" s="287" t="str">
        <f>IF(INDEX(machina!$A13:$FB13,MATCH(J$19&amp;$C$17,machina[#Headers],))=""," ",INDEX(machina!$A13:$FB13,MATCH(J$19&amp;$C$17,machina[#Headers],)))</f>
        <v xml:space="preserve"> </v>
      </c>
      <c r="K30" s="287" t="str">
        <f>IF(INDEX(machina!$A13:$FB13,MATCH(K$19&amp;$C$17,machina[#Headers],))=""," ",INDEX(machina!$A13:$FB13,MATCH(K$19&amp;$C$17,machina[#Headers],)))</f>
        <v xml:space="preserve"> </v>
      </c>
      <c r="L30" s="287" t="str">
        <f>IF(INDEX(machina!$A13:$FB13,MATCH(L$19&amp;$C$17,machina[#Headers],))=""," ",INDEX(machina!$A13:$FB13,MATCH(L$19&amp;$C$17,machina[#Headers],)))</f>
        <v xml:space="preserve"> </v>
      </c>
      <c r="M30" s="287" t="str">
        <f>IF(INDEX(machina!$A13:$FB13,MATCH(M$19&amp;$C$17,machina[#Headers],))=""," ",INDEX(machina!$A13:$FB13,MATCH(M$19&amp;$C$17,machina[#Headers],)))</f>
        <v xml:space="preserve"> </v>
      </c>
      <c r="N30" s="287" t="str">
        <f>IF(INDEX(machina!$A13:$FB13,MATCH(N$19&amp;$C$17,machina[#Headers],))=""," ",INDEX(machina!$A13:$FB13,MATCH(N$19&amp;$C$17,machina[#Headers],)))</f>
        <v xml:space="preserve"> </v>
      </c>
      <c r="O30" s="287" t="str">
        <f>IF(INDEX(machina!$A13:$FB13,MATCH(O$19&amp;$C$17,machina[#Headers],))=""," ",INDEX(machina!$A13:$FB13,MATCH(O$19&amp;$C$17,machina[#Headers],)))</f>
        <v xml:space="preserve"> </v>
      </c>
      <c r="P30" s="287" t="str">
        <f>IF(INDEX(machina!$A13:$FB13,MATCH(P$19&amp;$C$17,machina[#Headers],))=""," ",INDEX(machina!$A13:$FB13,MATCH(P$19&amp;$C$17,machina[#Headers],)))</f>
        <v xml:space="preserve"> </v>
      </c>
      <c r="Q30" s="287" t="str">
        <f>IF(INDEX(machina!$A13:$FB13,MATCH(Q$19&amp;$C$17,machina[#Headers],))=""," ",INDEX(machina!$A13:$FB13,MATCH(Q$19&amp;$C$17,machina[#Headers],)))</f>
        <v xml:space="preserve"> </v>
      </c>
      <c r="R30" s="287" t="str">
        <f>IF(INDEX(machina!$A13:$FB13,MATCH(R$19&amp;$C$17,machina[#Headers],))=""," ",INDEX(machina!$A13:$FB13,MATCH(R$19&amp;$C$17,machina[#Headers],)))</f>
        <v xml:space="preserve"> </v>
      </c>
      <c r="S30" s="287" t="str">
        <f>IF(INDEX(machina!$A13:$FB13,MATCH(S$19&amp;$C$17,machina[#Headers],))=""," ",INDEX(machina!$A13:$FB13,MATCH(S$19&amp;$C$17,machina[#Headers],)))</f>
        <v xml:space="preserve"> </v>
      </c>
      <c r="T30" s="287" t="str">
        <f>IF(INDEX(machina!$A13:$FB13,MATCH(T$19&amp;$C$17,machina[#Headers],))=""," ",INDEX(machina!$A13:$FB13,MATCH(T$19&amp;$C$17,machina[#Headers],)))</f>
        <v xml:space="preserve"> </v>
      </c>
      <c r="U30" s="287" t="str">
        <f>IF(INDEX(machina!$A13:$FB13,MATCH(U$19&amp;$C$17,machina[#Headers],))=""," ",INDEX(machina!$A13:$FB13,MATCH(U$19&amp;$C$17,machina[#Headers],)))</f>
        <v xml:space="preserve"> </v>
      </c>
      <c r="V30" s="287" t="str">
        <f>IF(INDEX(machina!$A13:$FB13,MATCH(V$19&amp;$C$17,machina[#Headers],))=""," ",INDEX(machina!$A13:$FB13,MATCH(V$19&amp;$C$17,machina[#Headers],)))</f>
        <v xml:space="preserve"> </v>
      </c>
      <c r="W30" s="287" t="str">
        <f>IF(INDEX(machina!$A13:$FB13,MATCH(W$19&amp;$C$17,machina[#Headers],))=""," ",INDEX(machina!$A13:$FB13,MATCH(W$19&amp;$C$17,machina[#Headers],)))</f>
        <v xml:space="preserve"> </v>
      </c>
      <c r="X30" s="287" t="str">
        <f>IF(INDEX(machina!$A13:$FB13,MATCH(X$19&amp;$C$17,machina[#Headers],))=""," ",INDEX(machina!$A13:$FB13,MATCH(X$19&amp;$C$17,machina[#Headers],)))</f>
        <v xml:space="preserve"> </v>
      </c>
      <c r="Y30" s="287" t="str">
        <f>IF(INDEX(machina!$A13:$FB13,MATCH(Y$19&amp;$C$17,machina[#Headers],))=""," ",INDEX(machina!$A13:$FB13,MATCH(Y$19&amp;$C$17,machina[#Headers],)))</f>
        <v xml:space="preserve"> </v>
      </c>
      <c r="Z30" s="287" t="str">
        <f>IF(INDEX(machina!$A13:$FB13,MATCH(Z$19&amp;$C$17,machina[#Headers],))=""," ",INDEX(machina!$A13:$FB13,MATCH(Z$19&amp;$C$17,machina[#Headers],)))</f>
        <v xml:space="preserve"> </v>
      </c>
      <c r="AA30" s="287" t="str">
        <f>IF(INDEX(machina!$A13:$FB13,MATCH(AA$19&amp;$C$17,machina[#Headers],))=""," ",INDEX(machina!$A13:$FB13,MATCH(AA$19&amp;$C$17,machina[#Headers],)))</f>
        <v xml:space="preserve"> </v>
      </c>
      <c r="AB30" s="287" t="str">
        <f>IF(INDEX(machina!$A13:$FB13,MATCH(AB$19&amp;$C$17,machina[#Headers],))=""," ",INDEX(machina!$A13:$FB13,MATCH(AB$19&amp;$C$17,machina[#Headers],)))</f>
        <v xml:space="preserve"> </v>
      </c>
      <c r="AC30" s="287" t="str">
        <f>IF(INDEX(machina!$A13:$FB13,MATCH(AC$19&amp;$C$17,machina[#Headers],))=""," ",INDEX(machina!$A13:$FB13,MATCH(AC$19&amp;$C$17,machina[#Headers],)))</f>
        <v xml:space="preserve"> </v>
      </c>
      <c r="AD30" s="287" t="str">
        <f>IF(INDEX(machina!$A13:$FB13,MATCH(AD$19&amp;$C$17,machina[#Headers],))=""," ",INDEX(machina!$A13:$FB13,MATCH(AD$19&amp;$C$17,machina[#Headers],)))</f>
        <v xml:space="preserve"> </v>
      </c>
      <c r="AE30" s="287" t="str">
        <f>IF(INDEX(machina!$A13:$FB13,MATCH(AE$19&amp;$C$17,machina[#Headers],))=""," ",INDEX(machina!$A13:$FB13,MATCH(AE$19&amp;$C$17,machina[#Headers],)))</f>
        <v xml:space="preserve"> </v>
      </c>
      <c r="AF30" s="287" t="str">
        <f>IF(INDEX(machina!$A13:$FB13,MATCH(AF$19&amp;$C$17,machina[#Headers],))=""," ",INDEX(machina!$A13:$FB13,MATCH(AF$19&amp;$C$17,machina[#Headers],)))</f>
        <v xml:space="preserve"> </v>
      </c>
      <c r="AG30" s="287" t="str">
        <f>IF(INDEX(machina!$A13:$FB13,MATCH(AG$19&amp;$C$17,machina[#Headers],))=""," ",INDEX(machina!$A13:$FB13,MATCH(AG$19&amp;$C$17,machina[#Headers],)))</f>
        <v xml:space="preserve"> </v>
      </c>
      <c r="AH30" s="287" t="str">
        <f>IF(INDEX(machina!$A13:$FB13,MATCH(AH$19&amp;$C$17,machina[#Headers],))=""," ",INDEX(machina!$A13:$FB13,MATCH(AH$19&amp;$C$17,machina[#Headers],)))</f>
        <v xml:space="preserve"> </v>
      </c>
      <c r="AI30" s="287" t="str">
        <f>IF(INDEX(machina!$A13:$FB13,MATCH(AI$19&amp;$C$17,machina[#Headers],))=""," ",INDEX(machina!$A13:$FB13,MATCH(AI$19&amp;$C$17,machina[#Headers],)))</f>
        <v xml:space="preserve"> </v>
      </c>
      <c r="AJ30" s="287" t="str">
        <f>IF(INDEX(machina!$A13:$FB13,MATCH(AJ$19&amp;$C$17,machina[#Headers],))=""," ",INDEX(machina!$A13:$FB13,MATCH(AJ$19&amp;$C$17,machina[#Headers],)))</f>
        <v xml:space="preserve"> </v>
      </c>
      <c r="AK30" s="287" t="str">
        <f>IF(INDEX(machina!$A13:$FB13,MATCH(AK$19&amp;$C$17,machina[#Headers],))=""," ",INDEX(machina!$A13:$FB13,MATCH(AK$19&amp;$C$17,machina[#Headers],)))</f>
        <v xml:space="preserve"> </v>
      </c>
      <c r="AL30" s="287" t="str">
        <f>IF(INDEX(machina!$A13:$FB13,MATCH(AL$19&amp;$C$17,machina[#Headers],))=""," ",INDEX(machina!$A13:$FB13,MATCH(AL$19&amp;$C$17,machina[#Headers],)))</f>
        <v xml:space="preserve"> </v>
      </c>
      <c r="AM30" s="287" t="str">
        <f>IF(INDEX(machina!$A13:$FB13,MATCH(AM$19&amp;$C$17,machina[#Headers],))=""," ",INDEX(machina!$A13:$FB13,MATCH(AM$19&amp;$C$17,machina[#Headers],)))</f>
        <v xml:space="preserve"> </v>
      </c>
      <c r="AN30" s="287" t="str">
        <f>IF(INDEX(machina!$A13:$FB13,MATCH(AN$19&amp;$C$17,machina[#Headers],))=""," ",INDEX(machina!$A13:$FB13,MATCH(AN$19&amp;$C$17,machina[#Headers],)))</f>
        <v xml:space="preserve"> </v>
      </c>
      <c r="AO30" s="287" t="str">
        <f>IF(INDEX(machina!$A13:$FB13,MATCH(AO$19&amp;$C$17,machina[#Headers],))=""," ",INDEX(machina!$A13:$FB13,MATCH(AO$19&amp;$C$17,machina[#Headers],)))</f>
        <v xml:space="preserve"> </v>
      </c>
      <c r="AP30" s="287" t="str">
        <f>IF(INDEX(machina!$A13:$FB13,MATCH(AP$19&amp;$C$17,machina[#Headers],))=""," ",INDEX(machina!$A13:$FB13,MATCH(AP$19&amp;$C$17,machina[#Headers],)))</f>
        <v xml:space="preserve"> </v>
      </c>
      <c r="AQ30" s="287" t="str">
        <f>IF(INDEX(machina!$A13:$FB13,MATCH(AQ$19&amp;$C$17,machina[#Headers],))=""," ",INDEX(machina!$A13:$FB13,MATCH(AQ$19&amp;$C$17,machina[#Headers],)))</f>
        <v xml:space="preserve"> </v>
      </c>
      <c r="AR30" s="287" t="str">
        <f>IF(INDEX(machina!$A13:$FB13,MATCH(AR$19&amp;$C$17,machina[#Headers],))=""," ",INDEX(machina!$A13:$FB13,MATCH(AR$19&amp;$C$17,machina[#Headers],)))</f>
        <v xml:space="preserve"> </v>
      </c>
      <c r="AS30" s="287" t="str">
        <f>IF(INDEX(machina!$A13:$FB13,MATCH(AS$19&amp;$C$17,machina[#Headers],))=""," ",INDEX(machina!$A13:$FB13,MATCH(AS$19&amp;$C$17,machina[#Headers],)))</f>
        <v xml:space="preserve"> </v>
      </c>
      <c r="AT30" s="287" t="str">
        <f>IF(INDEX(machina!$A13:$FB13,MATCH(AT$19&amp;$C$17,machina[#Headers],))=""," ",INDEX(machina!$A13:$FB13,MATCH(AT$19&amp;$C$17,machina[#Headers],)))</f>
        <v xml:space="preserve"> </v>
      </c>
      <c r="AU30" s="287" t="str">
        <f>IF(INDEX(machina!$A13:$FB13,MATCH(AU$19&amp;$C$17,machina[#Headers],))=""," ",INDEX(machina!$A13:$FB13,MATCH(AU$19&amp;$C$17,machina[#Headers],)))</f>
        <v xml:space="preserve"> </v>
      </c>
      <c r="AV30" s="287" t="str">
        <f>IF(INDEX(machina!$A13:$FB13,MATCH(AV$19&amp;$C$17,machina[#Headers],))=""," ",INDEX(machina!$A13:$FB13,MATCH(AV$19&amp;$C$17,machina[#Headers],)))</f>
        <v xml:space="preserve"> </v>
      </c>
      <c r="AW30" s="287" t="str">
        <f>IF(INDEX(machina!$A13:$FB13,MATCH(AW$19&amp;$C$17,machina[#Headers],))=""," ",INDEX(machina!$A13:$FB13,MATCH(AW$19&amp;$C$17,machina[#Headers],)))</f>
        <v xml:space="preserve"> </v>
      </c>
      <c r="AX30" s="287" t="str">
        <f>IF(INDEX(machina!$A13:$FB13,MATCH(AX$19&amp;$C$17,machina[#Headers],))=""," ",INDEX(machina!$A13:$FB13,MATCH(AX$19&amp;$C$17,machina[#Headers],)))</f>
        <v xml:space="preserve"> </v>
      </c>
      <c r="AY30" s="287" t="str">
        <f>IF(INDEX(machina!$A13:$FB13,MATCH(AY$19&amp;$C$17,machina[#Headers],))=""," ",INDEX(machina!$A13:$FB13,MATCH(AY$19&amp;$C$17,machina[#Headers],)))</f>
        <v xml:space="preserve"> </v>
      </c>
      <c r="AZ30" s="287" t="str">
        <f>IF(INDEX(machina!$A13:$FB13,MATCH(AZ$19&amp;$C$17,machina[#Headers],))=""," ",INDEX(machina!$A13:$FB13,MATCH(AZ$19&amp;$C$17,machina[#Headers],)))</f>
        <v xml:space="preserve"> </v>
      </c>
      <c r="BA30" s="287" t="str">
        <f>IF(INDEX(machina!$A13:$FB13,MATCH(BA$19&amp;$C$17,machina[#Headers],))=""," ",INDEX(machina!$A13:$FB13,MATCH(BA$19&amp;$C$17,machina[#Headers],)))</f>
        <v xml:space="preserve"> </v>
      </c>
      <c r="BB30" s="287" t="str">
        <f>IF(INDEX(machina!$A13:$FB13,MATCH(BB$19&amp;$C$17,machina[#Headers],))=""," ",INDEX(machina!$A13:$FB13,MATCH(BB$19&amp;$C$17,machina[#Headers],)))</f>
        <v xml:space="preserve"> </v>
      </c>
      <c r="BC30" s="287" t="str">
        <f>IF(INDEX(machina!$A13:$FB13,MATCH(BC$19&amp;$C$17,machina[#Headers],))=""," ",INDEX(machina!$A13:$FB13,MATCH(BC$19&amp;$C$17,machina[#Headers],)))</f>
        <v xml:space="preserve"> </v>
      </c>
      <c r="BD30" s="287" t="str">
        <f>IF(INDEX(machina!$A13:$FB13,MATCH(BD$19&amp;$C$17,machina[#Headers],))=""," ",INDEX(machina!$A13:$FB13,MATCH(BD$19&amp;$C$17,machina[#Headers],)))</f>
        <v xml:space="preserve"> </v>
      </c>
      <c r="BE30" s="287" t="str">
        <f>IF(INDEX(machina!$A13:$FB13,MATCH(BE$19&amp;$C$17,machina[#Headers],))=""," ",INDEX(machina!$A13:$FB13,MATCH(BE$19&amp;$C$17,machina[#Headers],)))</f>
        <v xml:space="preserve"> </v>
      </c>
      <c r="BF30" s="287" t="str">
        <f>IF(INDEX(machina!$A13:$FB13,MATCH(BF$19&amp;$C$17,machina[#Headers],))=""," ",INDEX(machina!$A13:$FB13,MATCH(BF$19&amp;$C$17,machina[#Headers],)))</f>
        <v xml:space="preserve"> </v>
      </c>
      <c r="BG30" s="287" t="str">
        <f>IF(INDEX(machina!$A13:$FB13,MATCH(BG$19&amp;$C$17,machina[#Headers],))=""," ",INDEX(machina!$A13:$FB13,MATCH(BG$19&amp;$C$17,machina[#Headers],)))</f>
        <v xml:space="preserve"> </v>
      </c>
      <c r="BH30" s="287" t="str">
        <f>IF(INDEX(machina!$A13:$FB13,MATCH(BH$19&amp;$C$17,machina[#Headers],))=""," ",INDEX(machina!$A13:$FB13,MATCH(BH$19&amp;$C$17,machina[#Headers],)))</f>
        <v xml:space="preserve"> </v>
      </c>
      <c r="BI30" s="287" t="str">
        <f>IF(INDEX(machina!$A13:$FB13,MATCH(BI$19&amp;$C$17,machina[#Headers],))=""," ",INDEX(machina!$A13:$FB13,MATCH(BI$19&amp;$C$17,machina[#Headers],)))</f>
        <v xml:space="preserve"> </v>
      </c>
      <c r="BJ30" s="287" t="str">
        <f>IF(INDEX(machina!$A13:$FB13,MATCH(BJ$19&amp;$C$17,machina[#Headers],))=""," ",INDEX(machina!$A13:$FB13,MATCH(BJ$19&amp;$C$17,machina[#Headers],)))</f>
        <v xml:space="preserve"> </v>
      </c>
      <c r="BK30" s="287" t="str">
        <f>IF(INDEX(machina!$A13:$FB13,MATCH(BK$19&amp;$C$17,machina[#Headers],))=""," ",INDEX(machina!$A13:$FB13,MATCH(BK$19&amp;$C$17,machina[#Headers],)))</f>
        <v xml:space="preserve"> </v>
      </c>
      <c r="BL30" s="287" t="str">
        <f>IF(INDEX(machina!$A13:$FB13,MATCH(BL$19&amp;$C$17,machina[#Headers],))=""," ",INDEX(machina!$A13:$FB13,MATCH(BL$19&amp;$C$17,machina[#Headers],)))</f>
        <v xml:space="preserve"> </v>
      </c>
      <c r="BM30" s="287" t="str">
        <f>IF(INDEX(machina!$A13:$FB13,MATCH(BM$19&amp;$C$17,machina[#Headers],))=""," ",INDEX(machina!$A13:$FB13,MATCH(BM$19&amp;$C$17,machina[#Headers],)))</f>
        <v xml:space="preserve"> </v>
      </c>
      <c r="BN30" s="287" t="str">
        <f>IF(INDEX(machina!$A13:$FB13,MATCH(BN$19&amp;$C$17,machina[#Headers],))=""," ",INDEX(machina!$A13:$FB13,MATCH(BN$19&amp;$C$17,machina[#Headers],)))</f>
        <v xml:space="preserve"> </v>
      </c>
      <c r="BO30" s="287" t="str">
        <f>IF(INDEX(machina!$A13:$FB13,MATCH(BO$19&amp;$C$17,machina[#Headers],))=""," ",INDEX(machina!$A13:$FB13,MATCH(BO$19&amp;$C$17,machina[#Headers],)))</f>
        <v xml:space="preserve"> </v>
      </c>
      <c r="BP30" s="287" t="str">
        <f>IF(INDEX(machina!$A13:$FB13,MATCH(BP$19&amp;$C$17,machina[#Headers],))=""," ",INDEX(machina!$A13:$FB13,MATCH(BP$19&amp;$C$17,machina[#Headers],)))</f>
        <v xml:space="preserve"> </v>
      </c>
      <c r="BQ30" s="287" t="str">
        <f>IF(INDEX(machina!$A13:$FB13,MATCH(BQ$19&amp;$C$17,machina[#Headers],))=""," ",INDEX(machina!$A13:$FB13,MATCH(BQ$19&amp;$C$17,machina[#Headers],)))</f>
        <v xml:space="preserve"> </v>
      </c>
      <c r="BR30" s="287" t="str">
        <f>IF(INDEX(machina!$A13:$FB13,MATCH(BR$19&amp;$C$17,machina[#Headers],))=""," ",INDEX(machina!$A13:$FB13,MATCH(BR$19&amp;$C$17,machina[#Headers],)))</f>
        <v xml:space="preserve"> </v>
      </c>
      <c r="BS30" s="287" t="str">
        <f>IF(INDEX(machina!$A13:$FB13,MATCH(BS$19&amp;$C$17,machina[#Headers],))=""," ",INDEX(machina!$A13:$FB13,MATCH(BS$19&amp;$C$17,machina[#Headers],)))</f>
        <v xml:space="preserve"> </v>
      </c>
      <c r="BT30" s="287" t="str">
        <f>IF(INDEX(machina!$A13:$FB13,MATCH(BT$19&amp;$C$17,machina[#Headers],))=""," ",INDEX(machina!$A13:$FB13,MATCH(BT$19&amp;$C$17,machina[#Headers],)))</f>
        <v xml:space="preserve"> </v>
      </c>
      <c r="BU30" s="287" t="str">
        <f>IF(INDEX(machina!$A13:$FB13,MATCH(BU$19&amp;$C$17,machina[#Headers],))=""," ",INDEX(machina!$A13:$FB13,MATCH(BU$19&amp;$C$17,machina[#Headers],)))</f>
        <v xml:space="preserve"> </v>
      </c>
      <c r="BV30" s="287" t="str">
        <f>IF(INDEX(machina!$A13:$FB13,MATCH(BV$19&amp;$C$17,machina[#Headers],))=""," ",INDEX(machina!$A13:$FB13,MATCH(BV$19&amp;$C$17,machina[#Headers],)))</f>
        <v xml:space="preserve"> </v>
      </c>
      <c r="BW30" s="287" t="str">
        <f>IF(INDEX(machina!$A13:$FB13,MATCH(BW$19&amp;$C$17,machina[#Headers],))=""," ",INDEX(machina!$A13:$FB13,MATCH(BW$19&amp;$C$17,machina[#Headers],)))</f>
        <v xml:space="preserve"> </v>
      </c>
      <c r="BX30" s="287" t="str">
        <f>IF(INDEX(machina!$A13:$FB13,MATCH(BX$19&amp;$C$17,machina[#Headers],))=""," ",INDEX(machina!$A13:$FB13,MATCH(BX$19&amp;$C$17,machina[#Headers],)))</f>
        <v xml:space="preserve"> </v>
      </c>
      <c r="BY30" s="287" t="str">
        <f>IF(INDEX(machina!$A13:$FB13,MATCH(BY$19&amp;$C$17,machina[#Headers],))=""," ",INDEX(machina!$A13:$FB13,MATCH(BY$19&amp;$C$17,machina[#Headers],)))</f>
        <v xml:space="preserve"> </v>
      </c>
      <c r="BZ30" s="287" t="str">
        <f>IF(INDEX(machina!$A13:$FB13,MATCH(BZ$19&amp;$C$17,machina[#Headers],))=""," ",INDEX(machina!$A13:$FB13,MATCH(BZ$19&amp;$C$17,machina[#Headers],)))</f>
        <v xml:space="preserve"> </v>
      </c>
      <c r="CA30" s="287" t="str">
        <f>IF(INDEX(machina!$A13:$FB13,MATCH(CA$19&amp;$C$17,machina[#Headers],))=""," ",INDEX(machina!$A13:$FB13,MATCH(CA$19&amp;$C$17,machina[#Headers],)))</f>
        <v xml:space="preserve"> </v>
      </c>
      <c r="CB30" s="288" t="str">
        <f>IF(INDEX('Raw Data'!$A13:$EA13,MATCH(CB$19,RawData[#Headers],))=""," ",INDEX('Raw Data'!$A13:$EA13,MATCH(CB$19,RawData[#Headers],)))</f>
        <v xml:space="preserve"> </v>
      </c>
      <c r="CD30" s="298" t="str">
        <f t="shared" si="61"/>
        <v xml:space="preserve"> </v>
      </c>
      <c r="CE30" s="298" t="str">
        <f t="shared" si="42"/>
        <v/>
      </c>
      <c r="CF30" s="298" t="str">
        <f t="shared" si="43"/>
        <v xml:space="preserve"> </v>
      </c>
      <c r="CG30" s="298" t="str">
        <f>IF(CE30=""," ",INDEX($CU$9:$CU$12,MATCH(CF30,analysis[CLUSTER],0)))</f>
        <v xml:space="preserve"> </v>
      </c>
      <c r="CH30" s="298" t="str">
        <f t="shared" si="44"/>
        <v xml:space="preserve"> </v>
      </c>
      <c r="CI30" s="298" t="str">
        <f t="shared" si="45"/>
        <v xml:space="preserve"> </v>
      </c>
      <c r="CJ30" t="s">
        <v>699</v>
      </c>
      <c r="CK30" s="298">
        <f>MAX(CK24,CK26)</f>
        <v>2</v>
      </c>
      <c r="CL30" s="298" t="str">
        <f t="shared" si="46"/>
        <v/>
      </c>
      <c r="CM30" s="326"/>
      <c r="CN30" s="326"/>
      <c r="CO30" s="326"/>
      <c r="CP30" s="326"/>
      <c r="CQ30" s="315" t="str">
        <f t="shared" si="38"/>
        <v/>
      </c>
      <c r="CR30" s="333" t="str">
        <f t="shared" si="47"/>
        <v xml:space="preserve"> </v>
      </c>
      <c r="CS30" s="333" t="str">
        <f t="shared" si="48"/>
        <v xml:space="preserve"> </v>
      </c>
      <c r="CT30" s="333" t="str">
        <f t="shared" si="49"/>
        <v xml:space="preserve"> </v>
      </c>
      <c r="CU30" s="333" t="str">
        <f t="shared" si="50"/>
        <v xml:space="preserve"> </v>
      </c>
      <c r="CV30" s="326"/>
      <c r="CW30" s="315" t="str">
        <f t="shared" si="51"/>
        <v/>
      </c>
      <c r="CX30" s="333" t="str">
        <f t="shared" si="52"/>
        <v xml:space="preserve"> </v>
      </c>
      <c r="CY30" s="333" t="str">
        <f t="shared" si="53"/>
        <v xml:space="preserve"> </v>
      </c>
      <c r="CZ30" s="333" t="str">
        <f t="shared" si="53"/>
        <v xml:space="preserve"> </v>
      </c>
      <c r="DA30" s="333" t="str">
        <f t="shared" si="53"/>
        <v xml:space="preserve"> </v>
      </c>
      <c r="DB30" s="326">
        <v>11</v>
      </c>
      <c r="DC30" s="337" t="str">
        <f t="shared" si="54"/>
        <v xml:space="preserve"> </v>
      </c>
      <c r="DD30" s="337" t="str">
        <f t="shared" si="55"/>
        <v xml:space="preserve"> </v>
      </c>
      <c r="DE30" s="337" t="str">
        <f t="shared" si="56"/>
        <v xml:space="preserve"> </v>
      </c>
      <c r="DF30" s="337" t="str">
        <f t="shared" si="57"/>
        <v xml:space="preserve"> </v>
      </c>
      <c r="DG30" s="344" t="str">
        <f t="shared" si="58"/>
        <v xml:space="preserve"> </v>
      </c>
      <c r="DH30" s="337" t="str">
        <f t="shared" si="59"/>
        <v xml:space="preserve"> </v>
      </c>
      <c r="DI30" s="337" t="str">
        <f t="shared" si="41"/>
        <v xml:space="preserve"> </v>
      </c>
      <c r="DJ30" s="337" t="str">
        <f t="shared" si="41"/>
        <v xml:space="preserve"> </v>
      </c>
      <c r="DK30" s="337" t="str">
        <f t="shared" si="41"/>
        <v xml:space="preserve"> </v>
      </c>
      <c r="DL30" s="344" t="str">
        <f t="shared" si="60"/>
        <v xml:space="preserve"> </v>
      </c>
      <c r="DN30" s="292" t="str">
        <f>IFERROR(VLOOKUP($A30,'Raw Data'!$A$3:$EV$32,152,FALSE)," ")</f>
        <v xml:space="preserve"> </v>
      </c>
    </row>
    <row r="31" spans="1:118" x14ac:dyDescent="0.3">
      <c r="A31" s="255">
        <f>'Raw Data'!A14</f>
        <v>0</v>
      </c>
      <c r="B31" s="287" t="str">
        <f>IF(INDEX(machina!$A14:$FB14,MATCH(B$19&amp;$C$17,machina[#Headers],))=""," ",INDEX(machina!$A14:$FB14,MATCH(B$19&amp;$C$17,machina[#Headers],)))</f>
        <v xml:space="preserve"> </v>
      </c>
      <c r="C31" s="287" t="str">
        <f>IF(INDEX(machina!$A14:$FB14,MATCH(C$19&amp;$C$17,machina[#Headers],))=""," ",INDEX(machina!$A14:$FB14,MATCH(C$19&amp;$C$17,machina[#Headers],)))</f>
        <v xml:space="preserve"> </v>
      </c>
      <c r="D31" s="287" t="str">
        <f>IF(INDEX(machina!$A14:$FB14,MATCH(D$19&amp;$C$17,machina[#Headers],))=""," ",INDEX(machina!$A14:$FB14,MATCH(D$19&amp;$C$17,machina[#Headers],)))</f>
        <v xml:space="preserve"> </v>
      </c>
      <c r="E31" s="287" t="str">
        <f>IF(INDEX(machina!$A14:$FB14,MATCH(E$19&amp;$C$17,machina[#Headers],))=""," ",INDEX(machina!$A14:$FB14,MATCH(E$19&amp;$C$17,machina[#Headers],)))</f>
        <v xml:space="preserve"> </v>
      </c>
      <c r="F31" s="287" t="str">
        <f>IF(INDEX(machina!$A14:$FB14,MATCH(F$19&amp;$C$17,machina[#Headers],))=""," ",INDEX(machina!$A14:$FB14,MATCH(F$19&amp;$C$17,machina[#Headers],)))</f>
        <v xml:space="preserve"> </v>
      </c>
      <c r="G31" s="287" t="str">
        <f>IF(INDEX(machina!$A14:$FB14,MATCH(G$19&amp;$C$17,machina[#Headers],))=""," ",INDEX(machina!$A14:$FB14,MATCH(G$19&amp;$C$17,machina[#Headers],)))</f>
        <v xml:space="preserve"> </v>
      </c>
      <c r="H31" s="287" t="str">
        <f>IF(INDEX(machina!$A14:$FB14,MATCH(H$19&amp;$C$17,machina[#Headers],))=""," ",INDEX(machina!$A14:$FB14,MATCH(H$19&amp;$C$17,machina[#Headers],)))</f>
        <v xml:space="preserve"> </v>
      </c>
      <c r="I31" s="287" t="str">
        <f>IF(INDEX(machina!$A14:$FB14,MATCH(I$19&amp;$C$17,machina[#Headers],))=""," ",INDEX(machina!$A14:$FB14,MATCH(I$19&amp;$C$17,machina[#Headers],)))</f>
        <v xml:space="preserve"> </v>
      </c>
      <c r="J31" s="287" t="str">
        <f>IF(INDEX(machina!$A14:$FB14,MATCH(J$19&amp;$C$17,machina[#Headers],))=""," ",INDEX(machina!$A14:$FB14,MATCH(J$19&amp;$C$17,machina[#Headers],)))</f>
        <v xml:space="preserve"> </v>
      </c>
      <c r="K31" s="287" t="str">
        <f>IF(INDEX(machina!$A14:$FB14,MATCH(K$19&amp;$C$17,machina[#Headers],))=""," ",INDEX(machina!$A14:$FB14,MATCH(K$19&amp;$C$17,machina[#Headers],)))</f>
        <v xml:space="preserve"> </v>
      </c>
      <c r="L31" s="287" t="str">
        <f>IF(INDEX(machina!$A14:$FB14,MATCH(L$19&amp;$C$17,machina[#Headers],))=""," ",INDEX(machina!$A14:$FB14,MATCH(L$19&amp;$C$17,machina[#Headers],)))</f>
        <v xml:space="preserve"> </v>
      </c>
      <c r="M31" s="287" t="str">
        <f>IF(INDEX(machina!$A14:$FB14,MATCH(M$19&amp;$C$17,machina[#Headers],))=""," ",INDEX(machina!$A14:$FB14,MATCH(M$19&amp;$C$17,machina[#Headers],)))</f>
        <v xml:space="preserve"> </v>
      </c>
      <c r="N31" s="287" t="str">
        <f>IF(INDEX(machina!$A14:$FB14,MATCH(N$19&amp;$C$17,machina[#Headers],))=""," ",INDEX(machina!$A14:$FB14,MATCH(N$19&amp;$C$17,machina[#Headers],)))</f>
        <v xml:space="preserve"> </v>
      </c>
      <c r="O31" s="287" t="str">
        <f>IF(INDEX(machina!$A14:$FB14,MATCH(O$19&amp;$C$17,machina[#Headers],))=""," ",INDEX(machina!$A14:$FB14,MATCH(O$19&amp;$C$17,machina[#Headers],)))</f>
        <v xml:space="preserve"> </v>
      </c>
      <c r="P31" s="287" t="str">
        <f>IF(INDEX(machina!$A14:$FB14,MATCH(P$19&amp;$C$17,machina[#Headers],))=""," ",INDEX(machina!$A14:$FB14,MATCH(P$19&amp;$C$17,machina[#Headers],)))</f>
        <v xml:space="preserve"> </v>
      </c>
      <c r="Q31" s="287" t="str">
        <f>IF(INDEX(machina!$A14:$FB14,MATCH(Q$19&amp;$C$17,machina[#Headers],))=""," ",INDEX(machina!$A14:$FB14,MATCH(Q$19&amp;$C$17,machina[#Headers],)))</f>
        <v xml:space="preserve"> </v>
      </c>
      <c r="R31" s="287" t="str">
        <f>IF(INDEX(machina!$A14:$FB14,MATCH(R$19&amp;$C$17,machina[#Headers],))=""," ",INDEX(machina!$A14:$FB14,MATCH(R$19&amp;$C$17,machina[#Headers],)))</f>
        <v xml:space="preserve"> </v>
      </c>
      <c r="S31" s="287" t="str">
        <f>IF(INDEX(machina!$A14:$FB14,MATCH(S$19&amp;$C$17,machina[#Headers],))=""," ",INDEX(machina!$A14:$FB14,MATCH(S$19&amp;$C$17,machina[#Headers],)))</f>
        <v xml:space="preserve"> </v>
      </c>
      <c r="T31" s="287" t="str">
        <f>IF(INDEX(machina!$A14:$FB14,MATCH(T$19&amp;$C$17,machina[#Headers],))=""," ",INDEX(machina!$A14:$FB14,MATCH(T$19&amp;$C$17,machina[#Headers],)))</f>
        <v xml:space="preserve"> </v>
      </c>
      <c r="U31" s="287" t="str">
        <f>IF(INDEX(machina!$A14:$FB14,MATCH(U$19&amp;$C$17,machina[#Headers],))=""," ",INDEX(machina!$A14:$FB14,MATCH(U$19&amp;$C$17,machina[#Headers],)))</f>
        <v xml:space="preserve"> </v>
      </c>
      <c r="V31" s="287" t="str">
        <f>IF(INDEX(machina!$A14:$FB14,MATCH(V$19&amp;$C$17,machina[#Headers],))=""," ",INDEX(machina!$A14:$FB14,MATCH(V$19&amp;$C$17,machina[#Headers],)))</f>
        <v xml:space="preserve"> </v>
      </c>
      <c r="W31" s="287" t="str">
        <f>IF(INDEX(machina!$A14:$FB14,MATCH(W$19&amp;$C$17,machina[#Headers],))=""," ",INDEX(machina!$A14:$FB14,MATCH(W$19&amp;$C$17,machina[#Headers],)))</f>
        <v xml:space="preserve"> </v>
      </c>
      <c r="X31" s="287" t="str">
        <f>IF(INDEX(machina!$A14:$FB14,MATCH(X$19&amp;$C$17,machina[#Headers],))=""," ",INDEX(machina!$A14:$FB14,MATCH(X$19&amp;$C$17,machina[#Headers],)))</f>
        <v xml:space="preserve"> </v>
      </c>
      <c r="Y31" s="287" t="str">
        <f>IF(INDEX(machina!$A14:$FB14,MATCH(Y$19&amp;$C$17,machina[#Headers],))=""," ",INDEX(machina!$A14:$FB14,MATCH(Y$19&amp;$C$17,machina[#Headers],)))</f>
        <v xml:space="preserve"> </v>
      </c>
      <c r="Z31" s="287" t="str">
        <f>IF(INDEX(machina!$A14:$FB14,MATCH(Z$19&amp;$C$17,machina[#Headers],))=""," ",INDEX(machina!$A14:$FB14,MATCH(Z$19&amp;$C$17,machina[#Headers],)))</f>
        <v xml:space="preserve"> </v>
      </c>
      <c r="AA31" s="287" t="str">
        <f>IF(INDEX(machina!$A14:$FB14,MATCH(AA$19&amp;$C$17,machina[#Headers],))=""," ",INDEX(machina!$A14:$FB14,MATCH(AA$19&amp;$C$17,machina[#Headers],)))</f>
        <v xml:space="preserve"> </v>
      </c>
      <c r="AB31" s="287" t="str">
        <f>IF(INDEX(machina!$A14:$FB14,MATCH(AB$19&amp;$C$17,machina[#Headers],))=""," ",INDEX(machina!$A14:$FB14,MATCH(AB$19&amp;$C$17,machina[#Headers],)))</f>
        <v xml:space="preserve"> </v>
      </c>
      <c r="AC31" s="287" t="str">
        <f>IF(INDEX(machina!$A14:$FB14,MATCH(AC$19&amp;$C$17,machina[#Headers],))=""," ",INDEX(machina!$A14:$FB14,MATCH(AC$19&amp;$C$17,machina[#Headers],)))</f>
        <v xml:space="preserve"> </v>
      </c>
      <c r="AD31" s="287" t="str">
        <f>IF(INDEX(machina!$A14:$FB14,MATCH(AD$19&amp;$C$17,machina[#Headers],))=""," ",INDEX(machina!$A14:$FB14,MATCH(AD$19&amp;$C$17,machina[#Headers],)))</f>
        <v xml:space="preserve"> </v>
      </c>
      <c r="AE31" s="287" t="str">
        <f>IF(INDEX(machina!$A14:$FB14,MATCH(AE$19&amp;$C$17,machina[#Headers],))=""," ",INDEX(machina!$A14:$FB14,MATCH(AE$19&amp;$C$17,machina[#Headers],)))</f>
        <v xml:space="preserve"> </v>
      </c>
      <c r="AF31" s="287" t="str">
        <f>IF(INDEX(machina!$A14:$FB14,MATCH(AF$19&amp;$C$17,machina[#Headers],))=""," ",INDEX(machina!$A14:$FB14,MATCH(AF$19&amp;$C$17,machina[#Headers],)))</f>
        <v xml:space="preserve"> </v>
      </c>
      <c r="AG31" s="287" t="str">
        <f>IF(INDEX(machina!$A14:$FB14,MATCH(AG$19&amp;$C$17,machina[#Headers],))=""," ",INDEX(machina!$A14:$FB14,MATCH(AG$19&amp;$C$17,machina[#Headers],)))</f>
        <v xml:space="preserve"> </v>
      </c>
      <c r="AH31" s="287" t="str">
        <f>IF(INDEX(machina!$A14:$FB14,MATCH(AH$19&amp;$C$17,machina[#Headers],))=""," ",INDEX(machina!$A14:$FB14,MATCH(AH$19&amp;$C$17,machina[#Headers],)))</f>
        <v xml:space="preserve"> </v>
      </c>
      <c r="AI31" s="287" t="str">
        <f>IF(INDEX(machina!$A14:$FB14,MATCH(AI$19&amp;$C$17,machina[#Headers],))=""," ",INDEX(machina!$A14:$FB14,MATCH(AI$19&amp;$C$17,machina[#Headers],)))</f>
        <v xml:space="preserve"> </v>
      </c>
      <c r="AJ31" s="287" t="str">
        <f>IF(INDEX(machina!$A14:$FB14,MATCH(AJ$19&amp;$C$17,machina[#Headers],))=""," ",INDEX(machina!$A14:$FB14,MATCH(AJ$19&amp;$C$17,machina[#Headers],)))</f>
        <v xml:space="preserve"> </v>
      </c>
      <c r="AK31" s="287" t="str">
        <f>IF(INDEX(machina!$A14:$FB14,MATCH(AK$19&amp;$C$17,machina[#Headers],))=""," ",INDEX(machina!$A14:$FB14,MATCH(AK$19&amp;$C$17,machina[#Headers],)))</f>
        <v xml:space="preserve"> </v>
      </c>
      <c r="AL31" s="287" t="str">
        <f>IF(INDEX(machina!$A14:$FB14,MATCH(AL$19&amp;$C$17,machina[#Headers],))=""," ",INDEX(machina!$A14:$FB14,MATCH(AL$19&amp;$C$17,machina[#Headers],)))</f>
        <v xml:space="preserve"> </v>
      </c>
      <c r="AM31" s="287" t="str">
        <f>IF(INDEX(machina!$A14:$FB14,MATCH(AM$19&amp;$C$17,machina[#Headers],))=""," ",INDEX(machina!$A14:$FB14,MATCH(AM$19&amp;$C$17,machina[#Headers],)))</f>
        <v xml:space="preserve"> </v>
      </c>
      <c r="AN31" s="287" t="str">
        <f>IF(INDEX(machina!$A14:$FB14,MATCH(AN$19&amp;$C$17,machina[#Headers],))=""," ",INDEX(machina!$A14:$FB14,MATCH(AN$19&amp;$C$17,machina[#Headers],)))</f>
        <v xml:space="preserve"> </v>
      </c>
      <c r="AO31" s="287" t="str">
        <f>IF(INDEX(machina!$A14:$FB14,MATCH(AO$19&amp;$C$17,machina[#Headers],))=""," ",INDEX(machina!$A14:$FB14,MATCH(AO$19&amp;$C$17,machina[#Headers],)))</f>
        <v xml:space="preserve"> </v>
      </c>
      <c r="AP31" s="287" t="str">
        <f>IF(INDEX(machina!$A14:$FB14,MATCH(AP$19&amp;$C$17,machina[#Headers],))=""," ",INDEX(machina!$A14:$FB14,MATCH(AP$19&amp;$C$17,machina[#Headers],)))</f>
        <v xml:space="preserve"> </v>
      </c>
      <c r="AQ31" s="287" t="str">
        <f>IF(INDEX(machina!$A14:$FB14,MATCH(AQ$19&amp;$C$17,machina[#Headers],))=""," ",INDEX(machina!$A14:$FB14,MATCH(AQ$19&amp;$C$17,machina[#Headers],)))</f>
        <v xml:space="preserve"> </v>
      </c>
      <c r="AR31" s="287" t="str">
        <f>IF(INDEX(machina!$A14:$FB14,MATCH(AR$19&amp;$C$17,machina[#Headers],))=""," ",INDEX(machina!$A14:$FB14,MATCH(AR$19&amp;$C$17,machina[#Headers],)))</f>
        <v xml:space="preserve"> </v>
      </c>
      <c r="AS31" s="287" t="str">
        <f>IF(INDEX(machina!$A14:$FB14,MATCH(AS$19&amp;$C$17,machina[#Headers],))=""," ",INDEX(machina!$A14:$FB14,MATCH(AS$19&amp;$C$17,machina[#Headers],)))</f>
        <v xml:space="preserve"> </v>
      </c>
      <c r="AT31" s="287" t="str">
        <f>IF(INDEX(machina!$A14:$FB14,MATCH(AT$19&amp;$C$17,machina[#Headers],))=""," ",INDEX(machina!$A14:$FB14,MATCH(AT$19&amp;$C$17,machina[#Headers],)))</f>
        <v xml:space="preserve"> </v>
      </c>
      <c r="AU31" s="287" t="str">
        <f>IF(INDEX(machina!$A14:$FB14,MATCH(AU$19&amp;$C$17,machina[#Headers],))=""," ",INDEX(machina!$A14:$FB14,MATCH(AU$19&amp;$C$17,machina[#Headers],)))</f>
        <v xml:space="preserve"> </v>
      </c>
      <c r="AV31" s="287" t="str">
        <f>IF(INDEX(machina!$A14:$FB14,MATCH(AV$19&amp;$C$17,machina[#Headers],))=""," ",INDEX(machina!$A14:$FB14,MATCH(AV$19&amp;$C$17,machina[#Headers],)))</f>
        <v xml:space="preserve"> </v>
      </c>
      <c r="AW31" s="287" t="str">
        <f>IF(INDEX(machina!$A14:$FB14,MATCH(AW$19&amp;$C$17,machina[#Headers],))=""," ",INDEX(machina!$A14:$FB14,MATCH(AW$19&amp;$C$17,machina[#Headers],)))</f>
        <v xml:space="preserve"> </v>
      </c>
      <c r="AX31" s="287" t="str">
        <f>IF(INDEX(machina!$A14:$FB14,MATCH(AX$19&amp;$C$17,machina[#Headers],))=""," ",INDEX(machina!$A14:$FB14,MATCH(AX$19&amp;$C$17,machina[#Headers],)))</f>
        <v xml:space="preserve"> </v>
      </c>
      <c r="AY31" s="287" t="str">
        <f>IF(INDEX(machina!$A14:$FB14,MATCH(AY$19&amp;$C$17,machina[#Headers],))=""," ",INDEX(machina!$A14:$FB14,MATCH(AY$19&amp;$C$17,machina[#Headers],)))</f>
        <v xml:space="preserve"> </v>
      </c>
      <c r="AZ31" s="287" t="str">
        <f>IF(INDEX(machina!$A14:$FB14,MATCH(AZ$19&amp;$C$17,machina[#Headers],))=""," ",INDEX(machina!$A14:$FB14,MATCH(AZ$19&amp;$C$17,machina[#Headers],)))</f>
        <v xml:space="preserve"> </v>
      </c>
      <c r="BA31" s="287" t="str">
        <f>IF(INDEX(machina!$A14:$FB14,MATCH(BA$19&amp;$C$17,machina[#Headers],))=""," ",INDEX(machina!$A14:$FB14,MATCH(BA$19&amp;$C$17,machina[#Headers],)))</f>
        <v xml:space="preserve"> </v>
      </c>
      <c r="BB31" s="287" t="str">
        <f>IF(INDEX(machina!$A14:$FB14,MATCH(BB$19&amp;$C$17,machina[#Headers],))=""," ",INDEX(machina!$A14:$FB14,MATCH(BB$19&amp;$C$17,machina[#Headers],)))</f>
        <v xml:space="preserve"> </v>
      </c>
      <c r="BC31" s="287" t="str">
        <f>IF(INDEX(machina!$A14:$FB14,MATCH(BC$19&amp;$C$17,machina[#Headers],))=""," ",INDEX(machina!$A14:$FB14,MATCH(BC$19&amp;$C$17,machina[#Headers],)))</f>
        <v xml:space="preserve"> </v>
      </c>
      <c r="BD31" s="287" t="str">
        <f>IF(INDEX(machina!$A14:$FB14,MATCH(BD$19&amp;$C$17,machina[#Headers],))=""," ",INDEX(machina!$A14:$FB14,MATCH(BD$19&amp;$C$17,machina[#Headers],)))</f>
        <v xml:space="preserve"> </v>
      </c>
      <c r="BE31" s="287" t="str">
        <f>IF(INDEX(machina!$A14:$FB14,MATCH(BE$19&amp;$C$17,machina[#Headers],))=""," ",INDEX(machina!$A14:$FB14,MATCH(BE$19&amp;$C$17,machina[#Headers],)))</f>
        <v xml:space="preserve"> </v>
      </c>
      <c r="BF31" s="287" t="str">
        <f>IF(INDEX(machina!$A14:$FB14,MATCH(BF$19&amp;$C$17,machina[#Headers],))=""," ",INDEX(machina!$A14:$FB14,MATCH(BF$19&amp;$C$17,machina[#Headers],)))</f>
        <v xml:space="preserve"> </v>
      </c>
      <c r="BG31" s="287" t="str">
        <f>IF(INDEX(machina!$A14:$FB14,MATCH(BG$19&amp;$C$17,machina[#Headers],))=""," ",INDEX(machina!$A14:$FB14,MATCH(BG$19&amp;$C$17,machina[#Headers],)))</f>
        <v xml:space="preserve"> </v>
      </c>
      <c r="BH31" s="287" t="str">
        <f>IF(INDEX(machina!$A14:$FB14,MATCH(BH$19&amp;$C$17,machina[#Headers],))=""," ",INDEX(machina!$A14:$FB14,MATCH(BH$19&amp;$C$17,machina[#Headers],)))</f>
        <v xml:space="preserve"> </v>
      </c>
      <c r="BI31" s="287" t="str">
        <f>IF(INDEX(machina!$A14:$FB14,MATCH(BI$19&amp;$C$17,machina[#Headers],))=""," ",INDEX(machina!$A14:$FB14,MATCH(BI$19&amp;$C$17,machina[#Headers],)))</f>
        <v xml:space="preserve"> </v>
      </c>
      <c r="BJ31" s="287" t="str">
        <f>IF(INDEX(machina!$A14:$FB14,MATCH(BJ$19&amp;$C$17,machina[#Headers],))=""," ",INDEX(machina!$A14:$FB14,MATCH(BJ$19&amp;$C$17,machina[#Headers],)))</f>
        <v xml:space="preserve"> </v>
      </c>
      <c r="BK31" s="287" t="str">
        <f>IF(INDEX(machina!$A14:$FB14,MATCH(BK$19&amp;$C$17,machina[#Headers],))=""," ",INDEX(machina!$A14:$FB14,MATCH(BK$19&amp;$C$17,machina[#Headers],)))</f>
        <v xml:space="preserve"> </v>
      </c>
      <c r="BL31" s="287" t="str">
        <f>IF(INDEX(machina!$A14:$FB14,MATCH(BL$19&amp;$C$17,machina[#Headers],))=""," ",INDEX(machina!$A14:$FB14,MATCH(BL$19&amp;$C$17,machina[#Headers],)))</f>
        <v xml:space="preserve"> </v>
      </c>
      <c r="BM31" s="287" t="str">
        <f>IF(INDEX(machina!$A14:$FB14,MATCH(BM$19&amp;$C$17,machina[#Headers],))=""," ",INDEX(machina!$A14:$FB14,MATCH(BM$19&amp;$C$17,machina[#Headers],)))</f>
        <v xml:space="preserve"> </v>
      </c>
      <c r="BN31" s="287" t="str">
        <f>IF(INDEX(machina!$A14:$FB14,MATCH(BN$19&amp;$C$17,machina[#Headers],))=""," ",INDEX(machina!$A14:$FB14,MATCH(BN$19&amp;$C$17,machina[#Headers],)))</f>
        <v xml:space="preserve"> </v>
      </c>
      <c r="BO31" s="287" t="str">
        <f>IF(INDEX(machina!$A14:$FB14,MATCH(BO$19&amp;$C$17,machina[#Headers],))=""," ",INDEX(machina!$A14:$FB14,MATCH(BO$19&amp;$C$17,machina[#Headers],)))</f>
        <v xml:space="preserve"> </v>
      </c>
      <c r="BP31" s="287" t="str">
        <f>IF(INDEX(machina!$A14:$FB14,MATCH(BP$19&amp;$C$17,machina[#Headers],))=""," ",INDEX(machina!$A14:$FB14,MATCH(BP$19&amp;$C$17,machina[#Headers],)))</f>
        <v xml:space="preserve"> </v>
      </c>
      <c r="BQ31" s="287" t="str">
        <f>IF(INDEX(machina!$A14:$FB14,MATCH(BQ$19&amp;$C$17,machina[#Headers],))=""," ",INDEX(machina!$A14:$FB14,MATCH(BQ$19&amp;$C$17,machina[#Headers],)))</f>
        <v xml:space="preserve"> </v>
      </c>
      <c r="BR31" s="287" t="str">
        <f>IF(INDEX(machina!$A14:$FB14,MATCH(BR$19&amp;$C$17,machina[#Headers],))=""," ",INDEX(machina!$A14:$FB14,MATCH(BR$19&amp;$C$17,machina[#Headers],)))</f>
        <v xml:space="preserve"> </v>
      </c>
      <c r="BS31" s="287" t="str">
        <f>IF(INDEX(machina!$A14:$FB14,MATCH(BS$19&amp;$C$17,machina[#Headers],))=""," ",INDEX(machina!$A14:$FB14,MATCH(BS$19&amp;$C$17,machina[#Headers],)))</f>
        <v xml:space="preserve"> </v>
      </c>
      <c r="BT31" s="287" t="str">
        <f>IF(INDEX(machina!$A14:$FB14,MATCH(BT$19&amp;$C$17,machina[#Headers],))=""," ",INDEX(machina!$A14:$FB14,MATCH(BT$19&amp;$C$17,machina[#Headers],)))</f>
        <v xml:space="preserve"> </v>
      </c>
      <c r="BU31" s="287" t="str">
        <f>IF(INDEX(machina!$A14:$FB14,MATCH(BU$19&amp;$C$17,machina[#Headers],))=""," ",INDEX(machina!$A14:$FB14,MATCH(BU$19&amp;$C$17,machina[#Headers],)))</f>
        <v xml:space="preserve"> </v>
      </c>
      <c r="BV31" s="287" t="str">
        <f>IF(INDEX(machina!$A14:$FB14,MATCH(BV$19&amp;$C$17,machina[#Headers],))=""," ",INDEX(machina!$A14:$FB14,MATCH(BV$19&amp;$C$17,machina[#Headers],)))</f>
        <v xml:space="preserve"> </v>
      </c>
      <c r="BW31" s="287" t="str">
        <f>IF(INDEX(machina!$A14:$FB14,MATCH(BW$19&amp;$C$17,machina[#Headers],))=""," ",INDEX(machina!$A14:$FB14,MATCH(BW$19&amp;$C$17,machina[#Headers],)))</f>
        <v xml:space="preserve"> </v>
      </c>
      <c r="BX31" s="287" t="str">
        <f>IF(INDEX(machina!$A14:$FB14,MATCH(BX$19&amp;$C$17,machina[#Headers],))=""," ",INDEX(machina!$A14:$FB14,MATCH(BX$19&amp;$C$17,machina[#Headers],)))</f>
        <v xml:space="preserve"> </v>
      </c>
      <c r="BY31" s="287" t="str">
        <f>IF(INDEX(machina!$A14:$FB14,MATCH(BY$19&amp;$C$17,machina[#Headers],))=""," ",INDEX(machina!$A14:$FB14,MATCH(BY$19&amp;$C$17,machina[#Headers],)))</f>
        <v xml:space="preserve"> </v>
      </c>
      <c r="BZ31" s="287" t="str">
        <f>IF(INDEX(machina!$A14:$FB14,MATCH(BZ$19&amp;$C$17,machina[#Headers],))=""," ",INDEX(machina!$A14:$FB14,MATCH(BZ$19&amp;$C$17,machina[#Headers],)))</f>
        <v xml:space="preserve"> </v>
      </c>
      <c r="CA31" s="287" t="str">
        <f>IF(INDEX(machina!$A14:$FB14,MATCH(CA$19&amp;$C$17,machina[#Headers],))=""," ",INDEX(machina!$A14:$FB14,MATCH(CA$19&amp;$C$17,machina[#Headers],)))</f>
        <v xml:space="preserve"> </v>
      </c>
      <c r="CB31" s="288" t="str">
        <f>IF(INDEX('Raw Data'!$A14:$EA14,MATCH(CB$19,RawData[#Headers],))=""," ",INDEX('Raw Data'!$A14:$EA14,MATCH(CB$19,RawData[#Headers],)))</f>
        <v xml:space="preserve"> </v>
      </c>
      <c r="CD31" s="299" t="str">
        <f t="shared" si="61"/>
        <v xml:space="preserve"> </v>
      </c>
      <c r="CE31" s="299" t="str">
        <f t="shared" si="42"/>
        <v/>
      </c>
      <c r="CF31" s="299" t="str">
        <f t="shared" si="43"/>
        <v xml:space="preserve"> </v>
      </c>
      <c r="CG31" s="299" t="str">
        <f>IF(CE31=""," ",INDEX($CU$9:$CU$12,MATCH(CF31,analysis[CLUSTER],0)))</f>
        <v xml:space="preserve"> </v>
      </c>
      <c r="CH31" s="299" t="str">
        <f t="shared" si="44"/>
        <v xml:space="preserve"> </v>
      </c>
      <c r="CI31" s="298" t="str">
        <f t="shared" si="45"/>
        <v xml:space="preserve"> </v>
      </c>
      <c r="CJ31" s="326" t="s">
        <v>591</v>
      </c>
      <c r="CK31" s="299">
        <f>LARGE($CL$20:$CL$45,1)</f>
        <v>8</v>
      </c>
      <c r="CL31" s="298" t="str">
        <f t="shared" si="46"/>
        <v/>
      </c>
      <c r="CM31" s="326"/>
      <c r="CN31" s="326"/>
      <c r="CO31" s="326"/>
      <c r="CP31" s="326"/>
      <c r="CQ31" s="315" t="str">
        <f t="shared" si="38"/>
        <v/>
      </c>
      <c r="CR31" s="333" t="str">
        <f t="shared" si="47"/>
        <v xml:space="preserve"> </v>
      </c>
      <c r="CS31" s="333" t="str">
        <f t="shared" si="48"/>
        <v xml:space="preserve"> </v>
      </c>
      <c r="CT31" s="333" t="str">
        <f t="shared" si="49"/>
        <v xml:space="preserve"> </v>
      </c>
      <c r="CU31" s="333" t="str">
        <f t="shared" si="50"/>
        <v xml:space="preserve"> </v>
      </c>
      <c r="CV31" s="326"/>
      <c r="CW31" s="315" t="str">
        <f t="shared" si="51"/>
        <v/>
      </c>
      <c r="CX31" s="333" t="str">
        <f t="shared" si="52"/>
        <v xml:space="preserve"> </v>
      </c>
      <c r="CY31" s="333" t="str">
        <f t="shared" si="53"/>
        <v xml:space="preserve"> </v>
      </c>
      <c r="CZ31" s="333" t="str">
        <f t="shared" si="53"/>
        <v xml:space="preserve"> </v>
      </c>
      <c r="DA31" s="333" t="str">
        <f t="shared" si="53"/>
        <v xml:space="preserve"> </v>
      </c>
      <c r="DB31" s="326">
        <v>12</v>
      </c>
      <c r="DC31" s="337" t="str">
        <f t="shared" si="54"/>
        <v xml:space="preserve"> </v>
      </c>
      <c r="DD31" s="337" t="str">
        <f t="shared" si="55"/>
        <v xml:space="preserve"> </v>
      </c>
      <c r="DE31" s="337" t="str">
        <f t="shared" si="56"/>
        <v xml:space="preserve"> </v>
      </c>
      <c r="DF31" s="337" t="str">
        <f t="shared" si="57"/>
        <v xml:space="preserve"> </v>
      </c>
      <c r="DG31" s="344" t="str">
        <f t="shared" si="58"/>
        <v xml:space="preserve"> </v>
      </c>
      <c r="DH31" s="337" t="str">
        <f t="shared" si="59"/>
        <v xml:space="preserve"> </v>
      </c>
      <c r="DI31" s="337" t="str">
        <f t="shared" si="41"/>
        <v xml:space="preserve"> </v>
      </c>
      <c r="DJ31" s="337" t="str">
        <f t="shared" si="41"/>
        <v xml:space="preserve"> </v>
      </c>
      <c r="DK31" s="337" t="str">
        <f t="shared" si="41"/>
        <v xml:space="preserve"> </v>
      </c>
      <c r="DL31" s="344" t="str">
        <f t="shared" si="60"/>
        <v xml:space="preserve"> </v>
      </c>
      <c r="DN31" s="292" t="str">
        <f>IFERROR(VLOOKUP($A31,'Raw Data'!$A$3:$EV$32,152,FALSE)," ")</f>
        <v xml:space="preserve"> </v>
      </c>
    </row>
    <row r="32" spans="1:118" x14ac:dyDescent="0.3">
      <c r="A32" s="255">
        <f>'Raw Data'!A15</f>
        <v>0</v>
      </c>
      <c r="B32" s="287" t="str">
        <f>IF(INDEX(machina!$A15:$FB15,MATCH(B$19&amp;$C$17,machina[#Headers],))=""," ",INDEX(machina!$A15:$FB15,MATCH(B$19&amp;$C$17,machina[#Headers],)))</f>
        <v xml:space="preserve"> </v>
      </c>
      <c r="C32" s="287" t="str">
        <f>IF(INDEX(machina!$A15:$FB15,MATCH(C$19&amp;$C$17,machina[#Headers],))=""," ",INDEX(machina!$A15:$FB15,MATCH(C$19&amp;$C$17,machina[#Headers],)))</f>
        <v xml:space="preserve"> </v>
      </c>
      <c r="D32" s="287" t="str">
        <f>IF(INDEX(machina!$A15:$FB15,MATCH(D$19&amp;$C$17,machina[#Headers],))=""," ",INDEX(machina!$A15:$FB15,MATCH(D$19&amp;$C$17,machina[#Headers],)))</f>
        <v xml:space="preserve"> </v>
      </c>
      <c r="E32" s="287" t="str">
        <f>IF(INDEX(machina!$A15:$FB15,MATCH(E$19&amp;$C$17,machina[#Headers],))=""," ",INDEX(machina!$A15:$FB15,MATCH(E$19&amp;$C$17,machina[#Headers],)))</f>
        <v xml:space="preserve"> </v>
      </c>
      <c r="F32" s="287" t="str">
        <f>IF(INDEX(machina!$A15:$FB15,MATCH(F$19&amp;$C$17,machina[#Headers],))=""," ",INDEX(machina!$A15:$FB15,MATCH(F$19&amp;$C$17,machina[#Headers],)))</f>
        <v xml:space="preserve"> </v>
      </c>
      <c r="G32" s="287" t="str">
        <f>IF(INDEX(machina!$A15:$FB15,MATCH(G$19&amp;$C$17,machina[#Headers],))=""," ",INDEX(machina!$A15:$FB15,MATCH(G$19&amp;$C$17,machina[#Headers],)))</f>
        <v xml:space="preserve"> </v>
      </c>
      <c r="H32" s="287" t="str">
        <f>IF(INDEX(machina!$A15:$FB15,MATCH(H$19&amp;$C$17,machina[#Headers],))=""," ",INDEX(machina!$A15:$FB15,MATCH(H$19&amp;$C$17,machina[#Headers],)))</f>
        <v xml:space="preserve"> </v>
      </c>
      <c r="I32" s="287" t="str">
        <f>IF(INDEX(machina!$A15:$FB15,MATCH(I$19&amp;$C$17,machina[#Headers],))=""," ",INDEX(machina!$A15:$FB15,MATCH(I$19&amp;$C$17,machina[#Headers],)))</f>
        <v xml:space="preserve"> </v>
      </c>
      <c r="J32" s="287" t="str">
        <f>IF(INDEX(machina!$A15:$FB15,MATCH(J$19&amp;$C$17,machina[#Headers],))=""," ",INDEX(machina!$A15:$FB15,MATCH(J$19&amp;$C$17,machina[#Headers],)))</f>
        <v xml:space="preserve"> </v>
      </c>
      <c r="K32" s="287" t="str">
        <f>IF(INDEX(machina!$A15:$FB15,MATCH(K$19&amp;$C$17,machina[#Headers],))=""," ",INDEX(machina!$A15:$FB15,MATCH(K$19&amp;$C$17,machina[#Headers],)))</f>
        <v xml:space="preserve"> </v>
      </c>
      <c r="L32" s="287" t="str">
        <f>IF(INDEX(machina!$A15:$FB15,MATCH(L$19&amp;$C$17,machina[#Headers],))=""," ",INDEX(machina!$A15:$FB15,MATCH(L$19&amp;$C$17,machina[#Headers],)))</f>
        <v xml:space="preserve"> </v>
      </c>
      <c r="M32" s="287" t="str">
        <f>IF(INDEX(machina!$A15:$FB15,MATCH(M$19&amp;$C$17,machina[#Headers],))=""," ",INDEX(machina!$A15:$FB15,MATCH(M$19&amp;$C$17,machina[#Headers],)))</f>
        <v xml:space="preserve"> </v>
      </c>
      <c r="N32" s="287" t="str">
        <f>IF(INDEX(machina!$A15:$FB15,MATCH(N$19&amp;$C$17,machina[#Headers],))=""," ",INDEX(machina!$A15:$FB15,MATCH(N$19&amp;$C$17,machina[#Headers],)))</f>
        <v xml:space="preserve"> </v>
      </c>
      <c r="O32" s="287" t="str">
        <f>IF(INDEX(machina!$A15:$FB15,MATCH(O$19&amp;$C$17,machina[#Headers],))=""," ",INDEX(machina!$A15:$FB15,MATCH(O$19&amp;$C$17,machina[#Headers],)))</f>
        <v xml:space="preserve"> </v>
      </c>
      <c r="P32" s="287" t="str">
        <f>IF(INDEX(machina!$A15:$FB15,MATCH(P$19&amp;$C$17,machina[#Headers],))=""," ",INDEX(machina!$A15:$FB15,MATCH(P$19&amp;$C$17,machina[#Headers],)))</f>
        <v xml:space="preserve"> </v>
      </c>
      <c r="Q32" s="287" t="str">
        <f>IF(INDEX(machina!$A15:$FB15,MATCH(Q$19&amp;$C$17,machina[#Headers],))=""," ",INDEX(machina!$A15:$FB15,MATCH(Q$19&amp;$C$17,machina[#Headers],)))</f>
        <v xml:space="preserve"> </v>
      </c>
      <c r="R32" s="287" t="str">
        <f>IF(INDEX(machina!$A15:$FB15,MATCH(R$19&amp;$C$17,machina[#Headers],))=""," ",INDEX(machina!$A15:$FB15,MATCH(R$19&amp;$C$17,machina[#Headers],)))</f>
        <v xml:space="preserve"> </v>
      </c>
      <c r="S32" s="287" t="str">
        <f>IF(INDEX(machina!$A15:$FB15,MATCH(S$19&amp;$C$17,machina[#Headers],))=""," ",INDEX(machina!$A15:$FB15,MATCH(S$19&amp;$C$17,machina[#Headers],)))</f>
        <v xml:space="preserve"> </v>
      </c>
      <c r="T32" s="287" t="str">
        <f>IF(INDEX(machina!$A15:$FB15,MATCH(T$19&amp;$C$17,machina[#Headers],))=""," ",INDEX(machina!$A15:$FB15,MATCH(T$19&amp;$C$17,machina[#Headers],)))</f>
        <v xml:space="preserve"> </v>
      </c>
      <c r="U32" s="287" t="str">
        <f>IF(INDEX(machina!$A15:$FB15,MATCH(U$19&amp;$C$17,machina[#Headers],))=""," ",INDEX(machina!$A15:$FB15,MATCH(U$19&amp;$C$17,machina[#Headers],)))</f>
        <v xml:space="preserve"> </v>
      </c>
      <c r="V32" s="287" t="str">
        <f>IF(INDEX(machina!$A15:$FB15,MATCH(V$19&amp;$C$17,machina[#Headers],))=""," ",INDEX(machina!$A15:$FB15,MATCH(V$19&amp;$C$17,machina[#Headers],)))</f>
        <v xml:space="preserve"> </v>
      </c>
      <c r="W32" s="287" t="str">
        <f>IF(INDEX(machina!$A15:$FB15,MATCH(W$19&amp;$C$17,machina[#Headers],))=""," ",INDEX(machina!$A15:$FB15,MATCH(W$19&amp;$C$17,machina[#Headers],)))</f>
        <v xml:space="preserve"> </v>
      </c>
      <c r="X32" s="287" t="str">
        <f>IF(INDEX(machina!$A15:$FB15,MATCH(X$19&amp;$C$17,machina[#Headers],))=""," ",INDEX(machina!$A15:$FB15,MATCH(X$19&amp;$C$17,machina[#Headers],)))</f>
        <v xml:space="preserve"> </v>
      </c>
      <c r="Y32" s="287" t="str">
        <f>IF(INDEX(machina!$A15:$FB15,MATCH(Y$19&amp;$C$17,machina[#Headers],))=""," ",INDEX(machina!$A15:$FB15,MATCH(Y$19&amp;$C$17,machina[#Headers],)))</f>
        <v xml:space="preserve"> </v>
      </c>
      <c r="Z32" s="287" t="str">
        <f>IF(INDEX(machina!$A15:$FB15,MATCH(Z$19&amp;$C$17,machina[#Headers],))=""," ",INDEX(machina!$A15:$FB15,MATCH(Z$19&amp;$C$17,machina[#Headers],)))</f>
        <v xml:space="preserve"> </v>
      </c>
      <c r="AA32" s="287" t="str">
        <f>IF(INDEX(machina!$A15:$FB15,MATCH(AA$19&amp;$C$17,machina[#Headers],))=""," ",INDEX(machina!$A15:$FB15,MATCH(AA$19&amp;$C$17,machina[#Headers],)))</f>
        <v xml:space="preserve"> </v>
      </c>
      <c r="AB32" s="287" t="str">
        <f>IF(INDEX(machina!$A15:$FB15,MATCH(AB$19&amp;$C$17,machina[#Headers],))=""," ",INDEX(machina!$A15:$FB15,MATCH(AB$19&amp;$C$17,machina[#Headers],)))</f>
        <v xml:space="preserve"> </v>
      </c>
      <c r="AC32" s="287" t="str">
        <f>IF(INDEX(machina!$A15:$FB15,MATCH(AC$19&amp;$C$17,machina[#Headers],))=""," ",INDEX(machina!$A15:$FB15,MATCH(AC$19&amp;$C$17,machina[#Headers],)))</f>
        <v xml:space="preserve"> </v>
      </c>
      <c r="AD32" s="287" t="str">
        <f>IF(INDEX(machina!$A15:$FB15,MATCH(AD$19&amp;$C$17,machina[#Headers],))=""," ",INDEX(machina!$A15:$FB15,MATCH(AD$19&amp;$C$17,machina[#Headers],)))</f>
        <v xml:space="preserve"> </v>
      </c>
      <c r="AE32" s="287" t="str">
        <f>IF(INDEX(machina!$A15:$FB15,MATCH(AE$19&amp;$C$17,machina[#Headers],))=""," ",INDEX(machina!$A15:$FB15,MATCH(AE$19&amp;$C$17,machina[#Headers],)))</f>
        <v xml:space="preserve"> </v>
      </c>
      <c r="AF32" s="287" t="str">
        <f>IF(INDEX(machina!$A15:$FB15,MATCH(AF$19&amp;$C$17,machina[#Headers],))=""," ",INDEX(machina!$A15:$FB15,MATCH(AF$19&amp;$C$17,machina[#Headers],)))</f>
        <v xml:space="preserve"> </v>
      </c>
      <c r="AG32" s="287" t="str">
        <f>IF(INDEX(machina!$A15:$FB15,MATCH(AG$19&amp;$C$17,machina[#Headers],))=""," ",INDEX(machina!$A15:$FB15,MATCH(AG$19&amp;$C$17,machina[#Headers],)))</f>
        <v xml:space="preserve"> </v>
      </c>
      <c r="AH32" s="287" t="str">
        <f>IF(INDEX(machina!$A15:$FB15,MATCH(AH$19&amp;$C$17,machina[#Headers],))=""," ",INDEX(machina!$A15:$FB15,MATCH(AH$19&amp;$C$17,machina[#Headers],)))</f>
        <v xml:space="preserve"> </v>
      </c>
      <c r="AI32" s="287" t="str">
        <f>IF(INDEX(machina!$A15:$FB15,MATCH(AI$19&amp;$C$17,machina[#Headers],))=""," ",INDEX(machina!$A15:$FB15,MATCH(AI$19&amp;$C$17,machina[#Headers],)))</f>
        <v xml:space="preserve"> </v>
      </c>
      <c r="AJ32" s="287" t="str">
        <f>IF(INDEX(machina!$A15:$FB15,MATCH(AJ$19&amp;$C$17,machina[#Headers],))=""," ",INDEX(machina!$A15:$FB15,MATCH(AJ$19&amp;$C$17,machina[#Headers],)))</f>
        <v xml:space="preserve"> </v>
      </c>
      <c r="AK32" s="287" t="str">
        <f>IF(INDEX(machina!$A15:$FB15,MATCH(AK$19&amp;$C$17,machina[#Headers],))=""," ",INDEX(machina!$A15:$FB15,MATCH(AK$19&amp;$C$17,machina[#Headers],)))</f>
        <v xml:space="preserve"> </v>
      </c>
      <c r="AL32" s="287" t="str">
        <f>IF(INDEX(machina!$A15:$FB15,MATCH(AL$19&amp;$C$17,machina[#Headers],))=""," ",INDEX(machina!$A15:$FB15,MATCH(AL$19&amp;$C$17,machina[#Headers],)))</f>
        <v xml:space="preserve"> </v>
      </c>
      <c r="AM32" s="287" t="str">
        <f>IF(INDEX(machina!$A15:$FB15,MATCH(AM$19&amp;$C$17,machina[#Headers],))=""," ",INDEX(machina!$A15:$FB15,MATCH(AM$19&amp;$C$17,machina[#Headers],)))</f>
        <v xml:space="preserve"> </v>
      </c>
      <c r="AN32" s="287" t="str">
        <f>IF(INDEX(machina!$A15:$FB15,MATCH(AN$19&amp;$C$17,machina[#Headers],))=""," ",INDEX(machina!$A15:$FB15,MATCH(AN$19&amp;$C$17,machina[#Headers],)))</f>
        <v xml:space="preserve"> </v>
      </c>
      <c r="AO32" s="287" t="str">
        <f>IF(INDEX(machina!$A15:$FB15,MATCH(AO$19&amp;$C$17,machina[#Headers],))=""," ",INDEX(machina!$A15:$FB15,MATCH(AO$19&amp;$C$17,machina[#Headers],)))</f>
        <v xml:space="preserve"> </v>
      </c>
      <c r="AP32" s="287" t="str">
        <f>IF(INDEX(machina!$A15:$FB15,MATCH(AP$19&amp;$C$17,machina[#Headers],))=""," ",INDEX(machina!$A15:$FB15,MATCH(AP$19&amp;$C$17,machina[#Headers],)))</f>
        <v xml:space="preserve"> </v>
      </c>
      <c r="AQ32" s="287" t="str">
        <f>IF(INDEX(machina!$A15:$FB15,MATCH(AQ$19&amp;$C$17,machina[#Headers],))=""," ",INDEX(machina!$A15:$FB15,MATCH(AQ$19&amp;$C$17,machina[#Headers],)))</f>
        <v xml:space="preserve"> </v>
      </c>
      <c r="AR32" s="287" t="str">
        <f>IF(INDEX(machina!$A15:$FB15,MATCH(AR$19&amp;$C$17,machina[#Headers],))=""," ",INDEX(machina!$A15:$FB15,MATCH(AR$19&amp;$C$17,machina[#Headers],)))</f>
        <v xml:space="preserve"> </v>
      </c>
      <c r="AS32" s="287" t="str">
        <f>IF(INDEX(machina!$A15:$FB15,MATCH(AS$19&amp;$C$17,machina[#Headers],))=""," ",INDEX(machina!$A15:$FB15,MATCH(AS$19&amp;$C$17,machina[#Headers],)))</f>
        <v xml:space="preserve"> </v>
      </c>
      <c r="AT32" s="287" t="str">
        <f>IF(INDEX(machina!$A15:$FB15,MATCH(AT$19&amp;$C$17,machina[#Headers],))=""," ",INDEX(machina!$A15:$FB15,MATCH(AT$19&amp;$C$17,machina[#Headers],)))</f>
        <v xml:space="preserve"> </v>
      </c>
      <c r="AU32" s="287" t="str">
        <f>IF(INDEX(machina!$A15:$FB15,MATCH(AU$19&amp;$C$17,machina[#Headers],))=""," ",INDEX(machina!$A15:$FB15,MATCH(AU$19&amp;$C$17,machina[#Headers],)))</f>
        <v xml:space="preserve"> </v>
      </c>
      <c r="AV32" s="287" t="str">
        <f>IF(INDEX(machina!$A15:$FB15,MATCH(AV$19&amp;$C$17,machina[#Headers],))=""," ",INDEX(machina!$A15:$FB15,MATCH(AV$19&amp;$C$17,machina[#Headers],)))</f>
        <v xml:space="preserve"> </v>
      </c>
      <c r="AW32" s="287" t="str">
        <f>IF(INDEX(machina!$A15:$FB15,MATCH(AW$19&amp;$C$17,machina[#Headers],))=""," ",INDEX(machina!$A15:$FB15,MATCH(AW$19&amp;$C$17,machina[#Headers],)))</f>
        <v xml:space="preserve"> </v>
      </c>
      <c r="AX32" s="287" t="str">
        <f>IF(INDEX(machina!$A15:$FB15,MATCH(AX$19&amp;$C$17,machina[#Headers],))=""," ",INDEX(machina!$A15:$FB15,MATCH(AX$19&amp;$C$17,machina[#Headers],)))</f>
        <v xml:space="preserve"> </v>
      </c>
      <c r="AY32" s="287" t="str">
        <f>IF(INDEX(machina!$A15:$FB15,MATCH(AY$19&amp;$C$17,machina[#Headers],))=""," ",INDEX(machina!$A15:$FB15,MATCH(AY$19&amp;$C$17,machina[#Headers],)))</f>
        <v xml:space="preserve"> </v>
      </c>
      <c r="AZ32" s="287" t="str">
        <f>IF(INDEX(machina!$A15:$FB15,MATCH(AZ$19&amp;$C$17,machina[#Headers],))=""," ",INDEX(machina!$A15:$FB15,MATCH(AZ$19&amp;$C$17,machina[#Headers],)))</f>
        <v xml:space="preserve"> </v>
      </c>
      <c r="BA32" s="287" t="str">
        <f>IF(INDEX(machina!$A15:$FB15,MATCH(BA$19&amp;$C$17,machina[#Headers],))=""," ",INDEX(machina!$A15:$FB15,MATCH(BA$19&amp;$C$17,machina[#Headers],)))</f>
        <v xml:space="preserve"> </v>
      </c>
      <c r="BB32" s="287" t="str">
        <f>IF(INDEX(machina!$A15:$FB15,MATCH(BB$19&amp;$C$17,machina[#Headers],))=""," ",INDEX(machina!$A15:$FB15,MATCH(BB$19&amp;$C$17,machina[#Headers],)))</f>
        <v xml:space="preserve"> </v>
      </c>
      <c r="BC32" s="287" t="str">
        <f>IF(INDEX(machina!$A15:$FB15,MATCH(BC$19&amp;$C$17,machina[#Headers],))=""," ",INDEX(machina!$A15:$FB15,MATCH(BC$19&amp;$C$17,machina[#Headers],)))</f>
        <v xml:space="preserve"> </v>
      </c>
      <c r="BD32" s="287" t="str">
        <f>IF(INDEX(machina!$A15:$FB15,MATCH(BD$19&amp;$C$17,machina[#Headers],))=""," ",INDEX(machina!$A15:$FB15,MATCH(BD$19&amp;$C$17,machina[#Headers],)))</f>
        <v xml:space="preserve"> </v>
      </c>
      <c r="BE32" s="287" t="str">
        <f>IF(INDEX(machina!$A15:$FB15,MATCH(BE$19&amp;$C$17,machina[#Headers],))=""," ",INDEX(machina!$A15:$FB15,MATCH(BE$19&amp;$C$17,machina[#Headers],)))</f>
        <v xml:space="preserve"> </v>
      </c>
      <c r="BF32" s="287" t="str">
        <f>IF(INDEX(machina!$A15:$FB15,MATCH(BF$19&amp;$C$17,machina[#Headers],))=""," ",INDEX(machina!$A15:$FB15,MATCH(BF$19&amp;$C$17,machina[#Headers],)))</f>
        <v xml:space="preserve"> </v>
      </c>
      <c r="BG32" s="287" t="str">
        <f>IF(INDEX(machina!$A15:$FB15,MATCH(BG$19&amp;$C$17,machina[#Headers],))=""," ",INDEX(machina!$A15:$FB15,MATCH(BG$19&amp;$C$17,machina[#Headers],)))</f>
        <v xml:space="preserve"> </v>
      </c>
      <c r="BH32" s="287" t="str">
        <f>IF(INDEX(machina!$A15:$FB15,MATCH(BH$19&amp;$C$17,machina[#Headers],))=""," ",INDEX(machina!$A15:$FB15,MATCH(BH$19&amp;$C$17,machina[#Headers],)))</f>
        <v xml:space="preserve"> </v>
      </c>
      <c r="BI32" s="287" t="str">
        <f>IF(INDEX(machina!$A15:$FB15,MATCH(BI$19&amp;$C$17,machina[#Headers],))=""," ",INDEX(machina!$A15:$FB15,MATCH(BI$19&amp;$C$17,machina[#Headers],)))</f>
        <v xml:space="preserve"> </v>
      </c>
      <c r="BJ32" s="287" t="str">
        <f>IF(INDEX(machina!$A15:$FB15,MATCH(BJ$19&amp;$C$17,machina[#Headers],))=""," ",INDEX(machina!$A15:$FB15,MATCH(BJ$19&amp;$C$17,machina[#Headers],)))</f>
        <v xml:space="preserve"> </v>
      </c>
      <c r="BK32" s="287" t="str">
        <f>IF(INDEX(machina!$A15:$FB15,MATCH(BK$19&amp;$C$17,machina[#Headers],))=""," ",INDEX(machina!$A15:$FB15,MATCH(BK$19&amp;$C$17,machina[#Headers],)))</f>
        <v xml:space="preserve"> </v>
      </c>
      <c r="BL32" s="287" t="str">
        <f>IF(INDEX(machina!$A15:$FB15,MATCH(BL$19&amp;$C$17,machina[#Headers],))=""," ",INDEX(machina!$A15:$FB15,MATCH(BL$19&amp;$C$17,machina[#Headers],)))</f>
        <v xml:space="preserve"> </v>
      </c>
      <c r="BM32" s="287" t="str">
        <f>IF(INDEX(machina!$A15:$FB15,MATCH(BM$19&amp;$C$17,machina[#Headers],))=""," ",INDEX(machina!$A15:$FB15,MATCH(BM$19&amp;$C$17,machina[#Headers],)))</f>
        <v xml:space="preserve"> </v>
      </c>
      <c r="BN32" s="287" t="str">
        <f>IF(INDEX(machina!$A15:$FB15,MATCH(BN$19&amp;$C$17,machina[#Headers],))=""," ",INDEX(machina!$A15:$FB15,MATCH(BN$19&amp;$C$17,machina[#Headers],)))</f>
        <v xml:space="preserve"> </v>
      </c>
      <c r="BO32" s="287" t="str">
        <f>IF(INDEX(machina!$A15:$FB15,MATCH(BO$19&amp;$C$17,machina[#Headers],))=""," ",INDEX(machina!$A15:$FB15,MATCH(BO$19&amp;$C$17,machina[#Headers],)))</f>
        <v xml:space="preserve"> </v>
      </c>
      <c r="BP32" s="287" t="str">
        <f>IF(INDEX(machina!$A15:$FB15,MATCH(BP$19&amp;$C$17,machina[#Headers],))=""," ",INDEX(machina!$A15:$FB15,MATCH(BP$19&amp;$C$17,machina[#Headers],)))</f>
        <v xml:space="preserve"> </v>
      </c>
      <c r="BQ32" s="287" t="str">
        <f>IF(INDEX(machina!$A15:$FB15,MATCH(BQ$19&amp;$C$17,machina[#Headers],))=""," ",INDEX(machina!$A15:$FB15,MATCH(BQ$19&amp;$C$17,machina[#Headers],)))</f>
        <v xml:space="preserve"> </v>
      </c>
      <c r="BR32" s="287" t="str">
        <f>IF(INDEX(machina!$A15:$FB15,MATCH(BR$19&amp;$C$17,machina[#Headers],))=""," ",INDEX(machina!$A15:$FB15,MATCH(BR$19&amp;$C$17,machina[#Headers],)))</f>
        <v xml:space="preserve"> </v>
      </c>
      <c r="BS32" s="287" t="str">
        <f>IF(INDEX(machina!$A15:$FB15,MATCH(BS$19&amp;$C$17,machina[#Headers],))=""," ",INDEX(machina!$A15:$FB15,MATCH(BS$19&amp;$C$17,machina[#Headers],)))</f>
        <v xml:space="preserve"> </v>
      </c>
      <c r="BT32" s="287" t="str">
        <f>IF(INDEX(machina!$A15:$FB15,MATCH(BT$19&amp;$C$17,machina[#Headers],))=""," ",INDEX(machina!$A15:$FB15,MATCH(BT$19&amp;$C$17,machina[#Headers],)))</f>
        <v xml:space="preserve"> </v>
      </c>
      <c r="BU32" s="287" t="str">
        <f>IF(INDEX(machina!$A15:$FB15,MATCH(BU$19&amp;$C$17,machina[#Headers],))=""," ",INDEX(machina!$A15:$FB15,MATCH(BU$19&amp;$C$17,machina[#Headers],)))</f>
        <v xml:space="preserve"> </v>
      </c>
      <c r="BV32" s="287" t="str">
        <f>IF(INDEX(machina!$A15:$FB15,MATCH(BV$19&amp;$C$17,machina[#Headers],))=""," ",INDEX(machina!$A15:$FB15,MATCH(BV$19&amp;$C$17,machina[#Headers],)))</f>
        <v xml:space="preserve"> </v>
      </c>
      <c r="BW32" s="287" t="str">
        <f>IF(INDEX(machina!$A15:$FB15,MATCH(BW$19&amp;$C$17,machina[#Headers],))=""," ",INDEX(machina!$A15:$FB15,MATCH(BW$19&amp;$C$17,machina[#Headers],)))</f>
        <v xml:space="preserve"> </v>
      </c>
      <c r="BX32" s="287" t="str">
        <f>IF(INDEX(machina!$A15:$FB15,MATCH(BX$19&amp;$C$17,machina[#Headers],))=""," ",INDEX(machina!$A15:$FB15,MATCH(BX$19&amp;$C$17,machina[#Headers],)))</f>
        <v xml:space="preserve"> </v>
      </c>
      <c r="BY32" s="287" t="str">
        <f>IF(INDEX(machina!$A15:$FB15,MATCH(BY$19&amp;$C$17,machina[#Headers],))=""," ",INDEX(machina!$A15:$FB15,MATCH(BY$19&amp;$C$17,machina[#Headers],)))</f>
        <v xml:space="preserve"> </v>
      </c>
      <c r="BZ32" s="287" t="str">
        <f>IF(INDEX(machina!$A15:$FB15,MATCH(BZ$19&amp;$C$17,machina[#Headers],))=""," ",INDEX(machina!$A15:$FB15,MATCH(BZ$19&amp;$C$17,machina[#Headers],)))</f>
        <v xml:space="preserve"> </v>
      </c>
      <c r="CA32" s="287" t="str">
        <f>IF(INDEX(machina!$A15:$FB15,MATCH(CA$19&amp;$C$17,machina[#Headers],))=""," ",INDEX(machina!$A15:$FB15,MATCH(CA$19&amp;$C$17,machina[#Headers],)))</f>
        <v xml:space="preserve"> </v>
      </c>
      <c r="CB32" s="288" t="str">
        <f>IF(INDEX('Raw Data'!$A15:$EA15,MATCH(CB$19,RawData[#Headers],))=""," ",INDEX('Raw Data'!$A15:$EA15,MATCH(CB$19,RawData[#Headers],)))</f>
        <v xml:space="preserve"> </v>
      </c>
      <c r="CD32" s="298" t="str">
        <f t="shared" si="61"/>
        <v xml:space="preserve"> </v>
      </c>
      <c r="CE32" s="298" t="str">
        <f t="shared" si="42"/>
        <v/>
      </c>
      <c r="CF32" s="298" t="str">
        <f t="shared" si="43"/>
        <v xml:space="preserve"> </v>
      </c>
      <c r="CG32" s="298" t="str">
        <f>IF(CE32=""," ",INDEX($CU$9:$CU$12,MATCH(CF32,analysis[CLUSTER],0)))</f>
        <v xml:space="preserve"> </v>
      </c>
      <c r="CH32" s="298" t="str">
        <f t="shared" si="44"/>
        <v xml:space="preserve"> </v>
      </c>
      <c r="CI32" s="298" t="str">
        <f t="shared" si="45"/>
        <v xml:space="preserve"> </v>
      </c>
      <c r="CJ32" s="326" t="s">
        <v>680</v>
      </c>
      <c r="CK32" s="298">
        <f>MIN($CL$20:$CL$45,1)</f>
        <v>1</v>
      </c>
      <c r="CL32" s="298" t="str">
        <f t="shared" si="46"/>
        <v/>
      </c>
      <c r="CM32" s="326"/>
      <c r="CN32" s="326"/>
      <c r="CO32" s="326"/>
      <c r="CP32" s="326"/>
      <c r="CQ32" s="315" t="str">
        <f t="shared" si="38"/>
        <v/>
      </c>
      <c r="CR32" s="333" t="str">
        <f t="shared" si="47"/>
        <v xml:space="preserve"> </v>
      </c>
      <c r="CS32" s="333" t="str">
        <f t="shared" si="48"/>
        <v xml:space="preserve"> </v>
      </c>
      <c r="CT32" s="333" t="str">
        <f t="shared" si="49"/>
        <v xml:space="preserve"> </v>
      </c>
      <c r="CU32" s="333" t="str">
        <f t="shared" si="50"/>
        <v xml:space="preserve"> </v>
      </c>
      <c r="CV32" s="326"/>
      <c r="CW32" s="315" t="str">
        <f t="shared" si="51"/>
        <v/>
      </c>
      <c r="CX32" s="333" t="str">
        <f t="shared" si="52"/>
        <v xml:space="preserve"> </v>
      </c>
      <c r="CY32" s="333" t="str">
        <f t="shared" si="53"/>
        <v xml:space="preserve"> </v>
      </c>
      <c r="CZ32" s="333" t="str">
        <f t="shared" si="53"/>
        <v xml:space="preserve"> </v>
      </c>
      <c r="DA32" s="333" t="str">
        <f t="shared" si="53"/>
        <v xml:space="preserve"> </v>
      </c>
      <c r="DB32" s="326">
        <v>13</v>
      </c>
      <c r="DC32" s="337" t="str">
        <f t="shared" si="54"/>
        <v xml:space="preserve"> </v>
      </c>
      <c r="DD32" s="337" t="str">
        <f t="shared" si="55"/>
        <v xml:space="preserve"> </v>
      </c>
      <c r="DE32" s="337" t="str">
        <f t="shared" si="56"/>
        <v xml:space="preserve"> </v>
      </c>
      <c r="DF32" s="337" t="str">
        <f t="shared" si="57"/>
        <v xml:space="preserve"> </v>
      </c>
      <c r="DG32" s="344" t="str">
        <f t="shared" si="58"/>
        <v xml:space="preserve"> </v>
      </c>
      <c r="DH32" s="337" t="str">
        <f t="shared" si="59"/>
        <v xml:space="preserve"> </v>
      </c>
      <c r="DI32" s="337" t="str">
        <f t="shared" si="41"/>
        <v xml:space="preserve"> </v>
      </c>
      <c r="DJ32" s="337" t="str">
        <f t="shared" si="41"/>
        <v xml:space="preserve"> </v>
      </c>
      <c r="DK32" s="337" t="str">
        <f t="shared" si="41"/>
        <v xml:space="preserve"> </v>
      </c>
      <c r="DL32" s="344" t="str">
        <f t="shared" si="60"/>
        <v xml:space="preserve"> </v>
      </c>
      <c r="DN32" s="292" t="str">
        <f>IFERROR(VLOOKUP($A32,'Raw Data'!$A$3:$EV$32,152,FALSE)," ")</f>
        <v xml:space="preserve"> </v>
      </c>
    </row>
    <row r="33" spans="1:118" x14ac:dyDescent="0.3">
      <c r="A33" s="255">
        <f>'Raw Data'!A16</f>
        <v>0</v>
      </c>
      <c r="B33" s="287" t="str">
        <f>IF(INDEX(machina!$A16:$FB16,MATCH(B$19&amp;$C$17,machina[#Headers],))=""," ",INDEX(machina!$A16:$FB16,MATCH(B$19&amp;$C$17,machina[#Headers],)))</f>
        <v xml:space="preserve"> </v>
      </c>
      <c r="C33" s="287" t="str">
        <f>IF(INDEX(machina!$A16:$FB16,MATCH(C$19&amp;$C$17,machina[#Headers],))=""," ",INDEX(machina!$A16:$FB16,MATCH(C$19&amp;$C$17,machina[#Headers],)))</f>
        <v xml:space="preserve"> </v>
      </c>
      <c r="D33" s="287" t="str">
        <f>IF(INDEX(machina!$A16:$FB16,MATCH(D$19&amp;$C$17,machina[#Headers],))=""," ",INDEX(machina!$A16:$FB16,MATCH(D$19&amp;$C$17,machina[#Headers],)))</f>
        <v xml:space="preserve"> </v>
      </c>
      <c r="E33" s="287" t="str">
        <f>IF(INDEX(machina!$A16:$FB16,MATCH(E$19&amp;$C$17,machina[#Headers],))=""," ",INDEX(machina!$A16:$FB16,MATCH(E$19&amp;$C$17,machina[#Headers],)))</f>
        <v xml:space="preserve"> </v>
      </c>
      <c r="F33" s="287" t="str">
        <f>IF(INDEX(machina!$A16:$FB16,MATCH(F$19&amp;$C$17,machina[#Headers],))=""," ",INDEX(machina!$A16:$FB16,MATCH(F$19&amp;$C$17,machina[#Headers],)))</f>
        <v xml:space="preserve"> </v>
      </c>
      <c r="G33" s="287" t="str">
        <f>IF(INDEX(machina!$A16:$FB16,MATCH(G$19&amp;$C$17,machina[#Headers],))=""," ",INDEX(machina!$A16:$FB16,MATCH(G$19&amp;$C$17,machina[#Headers],)))</f>
        <v xml:space="preserve"> </v>
      </c>
      <c r="H33" s="287" t="str">
        <f>IF(INDEX(machina!$A16:$FB16,MATCH(H$19&amp;$C$17,machina[#Headers],))=""," ",INDEX(machina!$A16:$FB16,MATCH(H$19&amp;$C$17,machina[#Headers],)))</f>
        <v xml:space="preserve"> </v>
      </c>
      <c r="I33" s="287" t="str">
        <f>IF(INDEX(machina!$A16:$FB16,MATCH(I$19&amp;$C$17,machina[#Headers],))=""," ",INDEX(machina!$A16:$FB16,MATCH(I$19&amp;$C$17,machina[#Headers],)))</f>
        <v xml:space="preserve"> </v>
      </c>
      <c r="J33" s="287" t="str">
        <f>IF(INDEX(machina!$A16:$FB16,MATCH(J$19&amp;$C$17,machina[#Headers],))=""," ",INDEX(machina!$A16:$FB16,MATCH(J$19&amp;$C$17,machina[#Headers],)))</f>
        <v xml:space="preserve"> </v>
      </c>
      <c r="K33" s="287" t="str">
        <f>IF(INDEX(machina!$A16:$FB16,MATCH(K$19&amp;$C$17,machina[#Headers],))=""," ",INDEX(machina!$A16:$FB16,MATCH(K$19&amp;$C$17,machina[#Headers],)))</f>
        <v xml:space="preserve"> </v>
      </c>
      <c r="L33" s="287" t="str">
        <f>IF(INDEX(machina!$A16:$FB16,MATCH(L$19&amp;$C$17,machina[#Headers],))=""," ",INDEX(machina!$A16:$FB16,MATCH(L$19&amp;$C$17,machina[#Headers],)))</f>
        <v xml:space="preserve"> </v>
      </c>
      <c r="M33" s="287" t="str">
        <f>IF(INDEX(machina!$A16:$FB16,MATCH(M$19&amp;$C$17,machina[#Headers],))=""," ",INDEX(machina!$A16:$FB16,MATCH(M$19&amp;$C$17,machina[#Headers],)))</f>
        <v xml:space="preserve"> </v>
      </c>
      <c r="N33" s="287" t="str">
        <f>IF(INDEX(machina!$A16:$FB16,MATCH(N$19&amp;$C$17,machina[#Headers],))=""," ",INDEX(machina!$A16:$FB16,MATCH(N$19&amp;$C$17,machina[#Headers],)))</f>
        <v xml:space="preserve"> </v>
      </c>
      <c r="O33" s="287" t="str">
        <f>IF(INDEX(machina!$A16:$FB16,MATCH(O$19&amp;$C$17,machina[#Headers],))=""," ",INDEX(machina!$A16:$FB16,MATCH(O$19&amp;$C$17,machina[#Headers],)))</f>
        <v xml:space="preserve"> </v>
      </c>
      <c r="P33" s="287" t="str">
        <f>IF(INDEX(machina!$A16:$FB16,MATCH(P$19&amp;$C$17,machina[#Headers],))=""," ",INDEX(machina!$A16:$FB16,MATCH(P$19&amp;$C$17,machina[#Headers],)))</f>
        <v xml:space="preserve"> </v>
      </c>
      <c r="Q33" s="287" t="str">
        <f>IF(INDEX(machina!$A16:$FB16,MATCH(Q$19&amp;$C$17,machina[#Headers],))=""," ",INDEX(machina!$A16:$FB16,MATCH(Q$19&amp;$C$17,machina[#Headers],)))</f>
        <v xml:space="preserve"> </v>
      </c>
      <c r="R33" s="287" t="str">
        <f>IF(INDEX(machina!$A16:$FB16,MATCH(R$19&amp;$C$17,machina[#Headers],))=""," ",INDEX(machina!$A16:$FB16,MATCH(R$19&amp;$C$17,machina[#Headers],)))</f>
        <v xml:space="preserve"> </v>
      </c>
      <c r="S33" s="287" t="str">
        <f>IF(INDEX(machina!$A16:$FB16,MATCH(S$19&amp;$C$17,machina[#Headers],))=""," ",INDEX(machina!$A16:$FB16,MATCH(S$19&amp;$C$17,machina[#Headers],)))</f>
        <v xml:space="preserve"> </v>
      </c>
      <c r="T33" s="287" t="str">
        <f>IF(INDEX(machina!$A16:$FB16,MATCH(T$19&amp;$C$17,machina[#Headers],))=""," ",INDEX(machina!$A16:$FB16,MATCH(T$19&amp;$C$17,machina[#Headers],)))</f>
        <v xml:space="preserve"> </v>
      </c>
      <c r="U33" s="287" t="str">
        <f>IF(INDEX(machina!$A16:$FB16,MATCH(U$19&amp;$C$17,machina[#Headers],))=""," ",INDEX(machina!$A16:$FB16,MATCH(U$19&amp;$C$17,machina[#Headers],)))</f>
        <v xml:space="preserve"> </v>
      </c>
      <c r="V33" s="287" t="str">
        <f>IF(INDEX(machina!$A16:$FB16,MATCH(V$19&amp;$C$17,machina[#Headers],))=""," ",INDEX(machina!$A16:$FB16,MATCH(V$19&amp;$C$17,machina[#Headers],)))</f>
        <v xml:space="preserve"> </v>
      </c>
      <c r="W33" s="287" t="str">
        <f>IF(INDEX(machina!$A16:$FB16,MATCH(W$19&amp;$C$17,machina[#Headers],))=""," ",INDEX(machina!$A16:$FB16,MATCH(W$19&amp;$C$17,machina[#Headers],)))</f>
        <v xml:space="preserve"> </v>
      </c>
      <c r="X33" s="287" t="str">
        <f>IF(INDEX(machina!$A16:$FB16,MATCH(X$19&amp;$C$17,machina[#Headers],))=""," ",INDEX(machina!$A16:$FB16,MATCH(X$19&amp;$C$17,machina[#Headers],)))</f>
        <v xml:space="preserve"> </v>
      </c>
      <c r="Y33" s="287" t="str">
        <f>IF(INDEX(machina!$A16:$FB16,MATCH(Y$19&amp;$C$17,machina[#Headers],))=""," ",INDEX(machina!$A16:$FB16,MATCH(Y$19&amp;$C$17,machina[#Headers],)))</f>
        <v xml:space="preserve"> </v>
      </c>
      <c r="Z33" s="287" t="str">
        <f>IF(INDEX(machina!$A16:$FB16,MATCH(Z$19&amp;$C$17,machina[#Headers],))=""," ",INDEX(machina!$A16:$FB16,MATCH(Z$19&amp;$C$17,machina[#Headers],)))</f>
        <v xml:space="preserve"> </v>
      </c>
      <c r="AA33" s="287" t="str">
        <f>IF(INDEX(machina!$A16:$FB16,MATCH(AA$19&amp;$C$17,machina[#Headers],))=""," ",INDEX(machina!$A16:$FB16,MATCH(AA$19&amp;$C$17,machina[#Headers],)))</f>
        <v xml:space="preserve"> </v>
      </c>
      <c r="AB33" s="287" t="str">
        <f>IF(INDEX(machina!$A16:$FB16,MATCH(AB$19&amp;$C$17,machina[#Headers],))=""," ",INDEX(machina!$A16:$FB16,MATCH(AB$19&amp;$C$17,machina[#Headers],)))</f>
        <v xml:space="preserve"> </v>
      </c>
      <c r="AC33" s="287" t="str">
        <f>IF(INDEX(machina!$A16:$FB16,MATCH(AC$19&amp;$C$17,machina[#Headers],))=""," ",INDEX(machina!$A16:$FB16,MATCH(AC$19&amp;$C$17,machina[#Headers],)))</f>
        <v xml:space="preserve"> </v>
      </c>
      <c r="AD33" s="287" t="str">
        <f>IF(INDEX(machina!$A16:$FB16,MATCH(AD$19&amp;$C$17,machina[#Headers],))=""," ",INDEX(machina!$A16:$FB16,MATCH(AD$19&amp;$C$17,machina[#Headers],)))</f>
        <v xml:space="preserve"> </v>
      </c>
      <c r="AE33" s="287" t="str">
        <f>IF(INDEX(machina!$A16:$FB16,MATCH(AE$19&amp;$C$17,machina[#Headers],))=""," ",INDEX(machina!$A16:$FB16,MATCH(AE$19&amp;$C$17,machina[#Headers],)))</f>
        <v xml:space="preserve"> </v>
      </c>
      <c r="AF33" s="287" t="str">
        <f>IF(INDEX(machina!$A16:$FB16,MATCH(AF$19&amp;$C$17,machina[#Headers],))=""," ",INDEX(machina!$A16:$FB16,MATCH(AF$19&amp;$C$17,machina[#Headers],)))</f>
        <v xml:space="preserve"> </v>
      </c>
      <c r="AG33" s="287" t="str">
        <f>IF(INDEX(machina!$A16:$FB16,MATCH(AG$19&amp;$C$17,machina[#Headers],))=""," ",INDEX(machina!$A16:$FB16,MATCH(AG$19&amp;$C$17,machina[#Headers],)))</f>
        <v xml:space="preserve"> </v>
      </c>
      <c r="AH33" s="287" t="str">
        <f>IF(INDEX(machina!$A16:$FB16,MATCH(AH$19&amp;$C$17,machina[#Headers],))=""," ",INDEX(machina!$A16:$FB16,MATCH(AH$19&amp;$C$17,machina[#Headers],)))</f>
        <v xml:space="preserve"> </v>
      </c>
      <c r="AI33" s="287" t="str">
        <f>IF(INDEX(machina!$A16:$FB16,MATCH(AI$19&amp;$C$17,machina[#Headers],))=""," ",INDEX(machina!$A16:$FB16,MATCH(AI$19&amp;$C$17,machina[#Headers],)))</f>
        <v xml:space="preserve"> </v>
      </c>
      <c r="AJ33" s="287" t="str">
        <f>IF(INDEX(machina!$A16:$FB16,MATCH(AJ$19&amp;$C$17,machina[#Headers],))=""," ",INDEX(machina!$A16:$FB16,MATCH(AJ$19&amp;$C$17,machina[#Headers],)))</f>
        <v xml:space="preserve"> </v>
      </c>
      <c r="AK33" s="287" t="str">
        <f>IF(INDEX(machina!$A16:$FB16,MATCH(AK$19&amp;$C$17,machina[#Headers],))=""," ",INDEX(machina!$A16:$FB16,MATCH(AK$19&amp;$C$17,machina[#Headers],)))</f>
        <v xml:space="preserve"> </v>
      </c>
      <c r="AL33" s="287" t="str">
        <f>IF(INDEX(machina!$A16:$FB16,MATCH(AL$19&amp;$C$17,machina[#Headers],))=""," ",INDEX(machina!$A16:$FB16,MATCH(AL$19&amp;$C$17,machina[#Headers],)))</f>
        <v xml:space="preserve"> </v>
      </c>
      <c r="AM33" s="287" t="str">
        <f>IF(INDEX(machina!$A16:$FB16,MATCH(AM$19&amp;$C$17,machina[#Headers],))=""," ",INDEX(machina!$A16:$FB16,MATCH(AM$19&amp;$C$17,machina[#Headers],)))</f>
        <v xml:space="preserve"> </v>
      </c>
      <c r="AN33" s="287" t="str">
        <f>IF(INDEX(machina!$A16:$FB16,MATCH(AN$19&amp;$C$17,machina[#Headers],))=""," ",INDEX(machina!$A16:$FB16,MATCH(AN$19&amp;$C$17,machina[#Headers],)))</f>
        <v xml:space="preserve"> </v>
      </c>
      <c r="AO33" s="287" t="str">
        <f>IF(INDEX(machina!$A16:$FB16,MATCH(AO$19&amp;$C$17,machina[#Headers],))=""," ",INDEX(machina!$A16:$FB16,MATCH(AO$19&amp;$C$17,machina[#Headers],)))</f>
        <v xml:space="preserve"> </v>
      </c>
      <c r="AP33" s="287" t="str">
        <f>IF(INDEX(machina!$A16:$FB16,MATCH(AP$19&amp;$C$17,machina[#Headers],))=""," ",INDEX(machina!$A16:$FB16,MATCH(AP$19&amp;$C$17,machina[#Headers],)))</f>
        <v xml:space="preserve"> </v>
      </c>
      <c r="AQ33" s="287" t="str">
        <f>IF(INDEX(machina!$A16:$FB16,MATCH(AQ$19&amp;$C$17,machina[#Headers],))=""," ",INDEX(machina!$A16:$FB16,MATCH(AQ$19&amp;$C$17,machina[#Headers],)))</f>
        <v xml:space="preserve"> </v>
      </c>
      <c r="AR33" s="287" t="str">
        <f>IF(INDEX(machina!$A16:$FB16,MATCH(AR$19&amp;$C$17,machina[#Headers],))=""," ",INDEX(machina!$A16:$FB16,MATCH(AR$19&amp;$C$17,machina[#Headers],)))</f>
        <v xml:space="preserve"> </v>
      </c>
      <c r="AS33" s="287" t="str">
        <f>IF(INDEX(machina!$A16:$FB16,MATCH(AS$19&amp;$C$17,machina[#Headers],))=""," ",INDEX(machina!$A16:$FB16,MATCH(AS$19&amp;$C$17,machina[#Headers],)))</f>
        <v xml:space="preserve"> </v>
      </c>
      <c r="AT33" s="287" t="str">
        <f>IF(INDEX(machina!$A16:$FB16,MATCH(AT$19&amp;$C$17,machina[#Headers],))=""," ",INDEX(machina!$A16:$FB16,MATCH(AT$19&amp;$C$17,machina[#Headers],)))</f>
        <v xml:space="preserve"> </v>
      </c>
      <c r="AU33" s="287" t="str">
        <f>IF(INDEX(machina!$A16:$FB16,MATCH(AU$19&amp;$C$17,machina[#Headers],))=""," ",INDEX(machina!$A16:$FB16,MATCH(AU$19&amp;$C$17,machina[#Headers],)))</f>
        <v xml:space="preserve"> </v>
      </c>
      <c r="AV33" s="287" t="str">
        <f>IF(INDEX(machina!$A16:$FB16,MATCH(AV$19&amp;$C$17,machina[#Headers],))=""," ",INDEX(machina!$A16:$FB16,MATCH(AV$19&amp;$C$17,machina[#Headers],)))</f>
        <v xml:space="preserve"> </v>
      </c>
      <c r="AW33" s="287" t="str">
        <f>IF(INDEX(machina!$A16:$FB16,MATCH(AW$19&amp;$C$17,machina[#Headers],))=""," ",INDEX(machina!$A16:$FB16,MATCH(AW$19&amp;$C$17,machina[#Headers],)))</f>
        <v xml:space="preserve"> </v>
      </c>
      <c r="AX33" s="287" t="str">
        <f>IF(INDEX(machina!$A16:$FB16,MATCH(AX$19&amp;$C$17,machina[#Headers],))=""," ",INDEX(machina!$A16:$FB16,MATCH(AX$19&amp;$C$17,machina[#Headers],)))</f>
        <v xml:space="preserve"> </v>
      </c>
      <c r="AY33" s="287" t="str">
        <f>IF(INDEX(machina!$A16:$FB16,MATCH(AY$19&amp;$C$17,machina[#Headers],))=""," ",INDEX(machina!$A16:$FB16,MATCH(AY$19&amp;$C$17,machina[#Headers],)))</f>
        <v xml:space="preserve"> </v>
      </c>
      <c r="AZ33" s="287" t="str">
        <f>IF(INDEX(machina!$A16:$FB16,MATCH(AZ$19&amp;$C$17,machina[#Headers],))=""," ",INDEX(machina!$A16:$FB16,MATCH(AZ$19&amp;$C$17,machina[#Headers],)))</f>
        <v xml:space="preserve"> </v>
      </c>
      <c r="BA33" s="287" t="str">
        <f>IF(INDEX(machina!$A16:$FB16,MATCH(BA$19&amp;$C$17,machina[#Headers],))=""," ",INDEX(machina!$A16:$FB16,MATCH(BA$19&amp;$C$17,machina[#Headers],)))</f>
        <v xml:space="preserve"> </v>
      </c>
      <c r="BB33" s="287" t="str">
        <f>IF(INDEX(machina!$A16:$FB16,MATCH(BB$19&amp;$C$17,machina[#Headers],))=""," ",INDEX(machina!$A16:$FB16,MATCH(BB$19&amp;$C$17,machina[#Headers],)))</f>
        <v xml:space="preserve"> </v>
      </c>
      <c r="BC33" s="287" t="str">
        <f>IF(INDEX(machina!$A16:$FB16,MATCH(BC$19&amp;$C$17,machina[#Headers],))=""," ",INDEX(machina!$A16:$FB16,MATCH(BC$19&amp;$C$17,machina[#Headers],)))</f>
        <v xml:space="preserve"> </v>
      </c>
      <c r="BD33" s="287" t="str">
        <f>IF(INDEX(machina!$A16:$FB16,MATCH(BD$19&amp;$C$17,machina[#Headers],))=""," ",INDEX(machina!$A16:$FB16,MATCH(BD$19&amp;$C$17,machina[#Headers],)))</f>
        <v xml:space="preserve"> </v>
      </c>
      <c r="BE33" s="287" t="str">
        <f>IF(INDEX(machina!$A16:$FB16,MATCH(BE$19&amp;$C$17,machina[#Headers],))=""," ",INDEX(machina!$A16:$FB16,MATCH(BE$19&amp;$C$17,machina[#Headers],)))</f>
        <v xml:space="preserve"> </v>
      </c>
      <c r="BF33" s="287" t="str">
        <f>IF(INDEX(machina!$A16:$FB16,MATCH(BF$19&amp;$C$17,machina[#Headers],))=""," ",INDEX(machina!$A16:$FB16,MATCH(BF$19&amp;$C$17,machina[#Headers],)))</f>
        <v xml:space="preserve"> </v>
      </c>
      <c r="BG33" s="287" t="str">
        <f>IF(INDEX(machina!$A16:$FB16,MATCH(BG$19&amp;$C$17,machina[#Headers],))=""," ",INDEX(machina!$A16:$FB16,MATCH(BG$19&amp;$C$17,machina[#Headers],)))</f>
        <v xml:space="preserve"> </v>
      </c>
      <c r="BH33" s="287" t="str">
        <f>IF(INDEX(machina!$A16:$FB16,MATCH(BH$19&amp;$C$17,machina[#Headers],))=""," ",INDEX(machina!$A16:$FB16,MATCH(BH$19&amp;$C$17,machina[#Headers],)))</f>
        <v xml:space="preserve"> </v>
      </c>
      <c r="BI33" s="287" t="str">
        <f>IF(INDEX(machina!$A16:$FB16,MATCH(BI$19&amp;$C$17,machina[#Headers],))=""," ",INDEX(machina!$A16:$FB16,MATCH(BI$19&amp;$C$17,machina[#Headers],)))</f>
        <v xml:space="preserve"> </v>
      </c>
      <c r="BJ33" s="287" t="str">
        <f>IF(INDEX(machina!$A16:$FB16,MATCH(BJ$19&amp;$C$17,machina[#Headers],))=""," ",INDEX(machina!$A16:$FB16,MATCH(BJ$19&amp;$C$17,machina[#Headers],)))</f>
        <v xml:space="preserve"> </v>
      </c>
      <c r="BK33" s="287" t="str">
        <f>IF(INDEX(machina!$A16:$FB16,MATCH(BK$19&amp;$C$17,machina[#Headers],))=""," ",INDEX(machina!$A16:$FB16,MATCH(BK$19&amp;$C$17,machina[#Headers],)))</f>
        <v xml:space="preserve"> </v>
      </c>
      <c r="BL33" s="287" t="str">
        <f>IF(INDEX(machina!$A16:$FB16,MATCH(BL$19&amp;$C$17,machina[#Headers],))=""," ",INDEX(machina!$A16:$FB16,MATCH(BL$19&amp;$C$17,machina[#Headers],)))</f>
        <v xml:space="preserve"> </v>
      </c>
      <c r="BM33" s="287" t="str">
        <f>IF(INDEX(machina!$A16:$FB16,MATCH(BM$19&amp;$C$17,machina[#Headers],))=""," ",INDEX(machina!$A16:$FB16,MATCH(BM$19&amp;$C$17,machina[#Headers],)))</f>
        <v xml:space="preserve"> </v>
      </c>
      <c r="BN33" s="287" t="str">
        <f>IF(INDEX(machina!$A16:$FB16,MATCH(BN$19&amp;$C$17,machina[#Headers],))=""," ",INDEX(machina!$A16:$FB16,MATCH(BN$19&amp;$C$17,machina[#Headers],)))</f>
        <v xml:space="preserve"> </v>
      </c>
      <c r="BO33" s="287" t="str">
        <f>IF(INDEX(machina!$A16:$FB16,MATCH(BO$19&amp;$C$17,machina[#Headers],))=""," ",INDEX(machina!$A16:$FB16,MATCH(BO$19&amp;$C$17,machina[#Headers],)))</f>
        <v xml:space="preserve"> </v>
      </c>
      <c r="BP33" s="287" t="str">
        <f>IF(INDEX(machina!$A16:$FB16,MATCH(BP$19&amp;$C$17,machina[#Headers],))=""," ",INDEX(machina!$A16:$FB16,MATCH(BP$19&amp;$C$17,machina[#Headers],)))</f>
        <v xml:space="preserve"> </v>
      </c>
      <c r="BQ33" s="287" t="str">
        <f>IF(INDEX(machina!$A16:$FB16,MATCH(BQ$19&amp;$C$17,machina[#Headers],))=""," ",INDEX(machina!$A16:$FB16,MATCH(BQ$19&amp;$C$17,machina[#Headers],)))</f>
        <v xml:space="preserve"> </v>
      </c>
      <c r="BR33" s="287" t="str">
        <f>IF(INDEX(machina!$A16:$FB16,MATCH(BR$19&amp;$C$17,machina[#Headers],))=""," ",INDEX(machina!$A16:$FB16,MATCH(BR$19&amp;$C$17,machina[#Headers],)))</f>
        <v xml:space="preserve"> </v>
      </c>
      <c r="BS33" s="287" t="str">
        <f>IF(INDEX(machina!$A16:$FB16,MATCH(BS$19&amp;$C$17,machina[#Headers],))=""," ",INDEX(machina!$A16:$FB16,MATCH(BS$19&amp;$C$17,machina[#Headers],)))</f>
        <v xml:space="preserve"> </v>
      </c>
      <c r="BT33" s="287" t="str">
        <f>IF(INDEX(machina!$A16:$FB16,MATCH(BT$19&amp;$C$17,machina[#Headers],))=""," ",INDEX(machina!$A16:$FB16,MATCH(BT$19&amp;$C$17,machina[#Headers],)))</f>
        <v xml:space="preserve"> </v>
      </c>
      <c r="BU33" s="287" t="str">
        <f>IF(INDEX(machina!$A16:$FB16,MATCH(BU$19&amp;$C$17,machina[#Headers],))=""," ",INDEX(machina!$A16:$FB16,MATCH(BU$19&amp;$C$17,machina[#Headers],)))</f>
        <v xml:space="preserve"> </v>
      </c>
      <c r="BV33" s="287" t="str">
        <f>IF(INDEX(machina!$A16:$FB16,MATCH(BV$19&amp;$C$17,machina[#Headers],))=""," ",INDEX(machina!$A16:$FB16,MATCH(BV$19&amp;$C$17,machina[#Headers],)))</f>
        <v xml:space="preserve"> </v>
      </c>
      <c r="BW33" s="287" t="str">
        <f>IF(INDEX(machina!$A16:$FB16,MATCH(BW$19&amp;$C$17,machina[#Headers],))=""," ",INDEX(machina!$A16:$FB16,MATCH(BW$19&amp;$C$17,machina[#Headers],)))</f>
        <v xml:space="preserve"> </v>
      </c>
      <c r="BX33" s="287" t="str">
        <f>IF(INDEX(machina!$A16:$FB16,MATCH(BX$19&amp;$C$17,machina[#Headers],))=""," ",INDEX(machina!$A16:$FB16,MATCH(BX$19&amp;$C$17,machina[#Headers],)))</f>
        <v xml:space="preserve"> </v>
      </c>
      <c r="BY33" s="287" t="str">
        <f>IF(INDEX(machina!$A16:$FB16,MATCH(BY$19&amp;$C$17,machina[#Headers],))=""," ",INDEX(machina!$A16:$FB16,MATCH(BY$19&amp;$C$17,machina[#Headers],)))</f>
        <v xml:space="preserve"> </v>
      </c>
      <c r="BZ33" s="287" t="str">
        <f>IF(INDEX(machina!$A16:$FB16,MATCH(BZ$19&amp;$C$17,machina[#Headers],))=""," ",INDEX(machina!$A16:$FB16,MATCH(BZ$19&amp;$C$17,machina[#Headers],)))</f>
        <v xml:space="preserve"> </v>
      </c>
      <c r="CA33" s="287" t="str">
        <f>IF(INDEX(machina!$A16:$FB16,MATCH(CA$19&amp;$C$17,machina[#Headers],))=""," ",INDEX(machina!$A16:$FB16,MATCH(CA$19&amp;$C$17,machina[#Headers],)))</f>
        <v xml:space="preserve"> </v>
      </c>
      <c r="CB33" s="288" t="str">
        <f>IF(INDEX('Raw Data'!$A16:$EA16,MATCH(CB$19,RawData[#Headers],))=""," ",INDEX('Raw Data'!$A16:$EA16,MATCH(CB$19,RawData[#Headers],)))</f>
        <v xml:space="preserve"> </v>
      </c>
      <c r="CD33" s="299" t="str">
        <f t="shared" si="61"/>
        <v xml:space="preserve"> </v>
      </c>
      <c r="CE33" s="299" t="str">
        <f t="shared" si="42"/>
        <v/>
      </c>
      <c r="CF33" s="299" t="str">
        <f t="shared" si="43"/>
        <v xml:space="preserve"> </v>
      </c>
      <c r="CG33" s="299" t="str">
        <f>IF(CE33=""," ",INDEX($CU$9:$CU$12,MATCH(CF33,analysis[CLUSTER],0)))</f>
        <v xml:space="preserve"> </v>
      </c>
      <c r="CH33" s="299" t="str">
        <f t="shared" si="44"/>
        <v xml:space="preserve"> </v>
      </c>
      <c r="CI33" s="298" t="str">
        <f t="shared" si="45"/>
        <v xml:space="preserve"> </v>
      </c>
      <c r="CJ33" s="326" t="s">
        <v>691</v>
      </c>
      <c r="CK33" s="299">
        <f>MODE($CL$20:$CL$45)</f>
        <v>6</v>
      </c>
      <c r="CL33" s="298" t="str">
        <f t="shared" si="46"/>
        <v/>
      </c>
      <c r="CM33" s="326"/>
      <c r="CN33" s="326"/>
      <c r="CO33" s="326"/>
      <c r="CP33" s="326"/>
      <c r="CQ33" s="315" t="str">
        <f t="shared" si="38"/>
        <v/>
      </c>
      <c r="CR33" s="333" t="str">
        <f t="shared" si="47"/>
        <v xml:space="preserve"> </v>
      </c>
      <c r="CS33" s="333" t="str">
        <f t="shared" si="48"/>
        <v xml:space="preserve"> </v>
      </c>
      <c r="CT33" s="333" t="str">
        <f t="shared" si="49"/>
        <v xml:space="preserve"> </v>
      </c>
      <c r="CU33" s="333" t="str">
        <f t="shared" si="50"/>
        <v xml:space="preserve"> </v>
      </c>
      <c r="CV33" s="326"/>
      <c r="CW33" s="315" t="str">
        <f t="shared" si="51"/>
        <v/>
      </c>
      <c r="CX33" s="333" t="str">
        <f t="shared" si="52"/>
        <v xml:space="preserve"> </v>
      </c>
      <c r="CY33" s="333" t="str">
        <f t="shared" si="53"/>
        <v xml:space="preserve"> </v>
      </c>
      <c r="CZ33" s="333" t="str">
        <f t="shared" si="53"/>
        <v xml:space="preserve"> </v>
      </c>
      <c r="DA33" s="333" t="str">
        <f t="shared" si="53"/>
        <v xml:space="preserve"> </v>
      </c>
      <c r="DB33" s="326">
        <v>14</v>
      </c>
      <c r="DC33" s="337" t="str">
        <f t="shared" si="54"/>
        <v xml:space="preserve"> </v>
      </c>
      <c r="DD33" s="337" t="str">
        <f t="shared" si="55"/>
        <v xml:space="preserve"> </v>
      </c>
      <c r="DE33" s="337" t="str">
        <f t="shared" si="56"/>
        <v xml:space="preserve"> </v>
      </c>
      <c r="DF33" s="337" t="str">
        <f t="shared" si="57"/>
        <v xml:space="preserve"> </v>
      </c>
      <c r="DG33" s="344" t="str">
        <f t="shared" si="58"/>
        <v xml:space="preserve"> </v>
      </c>
      <c r="DH33" s="337" t="str">
        <f t="shared" si="59"/>
        <v xml:space="preserve"> </v>
      </c>
      <c r="DI33" s="337" t="str">
        <f t="shared" si="41"/>
        <v xml:space="preserve"> </v>
      </c>
      <c r="DJ33" s="337" t="str">
        <f t="shared" si="41"/>
        <v xml:space="preserve"> </v>
      </c>
      <c r="DK33" s="337" t="str">
        <f t="shared" si="41"/>
        <v xml:space="preserve"> </v>
      </c>
      <c r="DL33" s="344" t="str">
        <f t="shared" si="60"/>
        <v xml:space="preserve"> </v>
      </c>
      <c r="DN33" s="292" t="str">
        <f>IFERROR(VLOOKUP($A33,'Raw Data'!$A$3:$EV$32,152,FALSE)," ")</f>
        <v xml:space="preserve"> </v>
      </c>
    </row>
    <row r="34" spans="1:118" x14ac:dyDescent="0.3">
      <c r="A34" s="255">
        <f>'Raw Data'!A17</f>
        <v>0</v>
      </c>
      <c r="B34" s="287" t="str">
        <f>IF(INDEX(machina!$A17:$FB17,MATCH(B$19&amp;$C$17,machina[#Headers],))=""," ",INDEX(machina!$A17:$FB17,MATCH(B$19&amp;$C$17,machina[#Headers],)))</f>
        <v xml:space="preserve"> </v>
      </c>
      <c r="C34" s="287" t="str">
        <f>IF(INDEX(machina!$A17:$FB17,MATCH(C$19&amp;$C$17,machina[#Headers],))=""," ",INDEX(machina!$A17:$FB17,MATCH(C$19&amp;$C$17,machina[#Headers],)))</f>
        <v xml:space="preserve"> </v>
      </c>
      <c r="D34" s="287" t="str">
        <f>IF(INDEX(machina!$A17:$FB17,MATCH(D$19&amp;$C$17,machina[#Headers],))=""," ",INDEX(machina!$A17:$FB17,MATCH(D$19&amp;$C$17,machina[#Headers],)))</f>
        <v xml:space="preserve"> </v>
      </c>
      <c r="E34" s="287" t="str">
        <f>IF(INDEX(machina!$A17:$FB17,MATCH(E$19&amp;$C$17,machina[#Headers],))=""," ",INDEX(machina!$A17:$FB17,MATCH(E$19&amp;$C$17,machina[#Headers],)))</f>
        <v xml:space="preserve"> </v>
      </c>
      <c r="F34" s="287" t="str">
        <f>IF(INDEX(machina!$A17:$FB17,MATCH(F$19&amp;$C$17,machina[#Headers],))=""," ",INDEX(machina!$A17:$FB17,MATCH(F$19&amp;$C$17,machina[#Headers],)))</f>
        <v xml:space="preserve"> </v>
      </c>
      <c r="G34" s="287" t="str">
        <f>IF(INDEX(machina!$A17:$FB17,MATCH(G$19&amp;$C$17,machina[#Headers],))=""," ",INDEX(machina!$A17:$FB17,MATCH(G$19&amp;$C$17,machina[#Headers],)))</f>
        <v xml:space="preserve"> </v>
      </c>
      <c r="H34" s="287" t="str">
        <f>IF(INDEX(machina!$A17:$FB17,MATCH(H$19&amp;$C$17,machina[#Headers],))=""," ",INDEX(machina!$A17:$FB17,MATCH(H$19&amp;$C$17,machina[#Headers],)))</f>
        <v xml:space="preserve"> </v>
      </c>
      <c r="I34" s="287" t="str">
        <f>IF(INDEX(machina!$A17:$FB17,MATCH(I$19&amp;$C$17,machina[#Headers],))=""," ",INDEX(machina!$A17:$FB17,MATCH(I$19&amp;$C$17,machina[#Headers],)))</f>
        <v xml:space="preserve"> </v>
      </c>
      <c r="J34" s="287" t="str">
        <f>IF(INDEX(machina!$A17:$FB17,MATCH(J$19&amp;$C$17,machina[#Headers],))=""," ",INDEX(machina!$A17:$FB17,MATCH(J$19&amp;$C$17,machina[#Headers],)))</f>
        <v xml:space="preserve"> </v>
      </c>
      <c r="K34" s="287" t="str">
        <f>IF(INDEX(machina!$A17:$FB17,MATCH(K$19&amp;$C$17,machina[#Headers],))=""," ",INDEX(machina!$A17:$FB17,MATCH(K$19&amp;$C$17,machina[#Headers],)))</f>
        <v xml:space="preserve"> </v>
      </c>
      <c r="L34" s="287" t="str">
        <f>IF(INDEX(machina!$A17:$FB17,MATCH(L$19&amp;$C$17,machina[#Headers],))=""," ",INDEX(machina!$A17:$FB17,MATCH(L$19&amp;$C$17,machina[#Headers],)))</f>
        <v xml:space="preserve"> </v>
      </c>
      <c r="M34" s="287" t="str">
        <f>IF(INDEX(machina!$A17:$FB17,MATCH(M$19&amp;$C$17,machina[#Headers],))=""," ",INDEX(machina!$A17:$FB17,MATCH(M$19&amp;$C$17,machina[#Headers],)))</f>
        <v xml:space="preserve"> </v>
      </c>
      <c r="N34" s="287" t="str">
        <f>IF(INDEX(machina!$A17:$FB17,MATCH(N$19&amp;$C$17,machina[#Headers],))=""," ",INDEX(machina!$A17:$FB17,MATCH(N$19&amp;$C$17,machina[#Headers],)))</f>
        <v xml:space="preserve"> </v>
      </c>
      <c r="O34" s="287" t="str">
        <f>IF(INDEX(machina!$A17:$FB17,MATCH(O$19&amp;$C$17,machina[#Headers],))=""," ",INDEX(machina!$A17:$FB17,MATCH(O$19&amp;$C$17,machina[#Headers],)))</f>
        <v xml:space="preserve"> </v>
      </c>
      <c r="P34" s="287" t="str">
        <f>IF(INDEX(machina!$A17:$FB17,MATCH(P$19&amp;$C$17,machina[#Headers],))=""," ",INDEX(machina!$A17:$FB17,MATCH(P$19&amp;$C$17,machina[#Headers],)))</f>
        <v xml:space="preserve"> </v>
      </c>
      <c r="Q34" s="287" t="str">
        <f>IF(INDEX(machina!$A17:$FB17,MATCH(Q$19&amp;$C$17,machina[#Headers],))=""," ",INDEX(machina!$A17:$FB17,MATCH(Q$19&amp;$C$17,machina[#Headers],)))</f>
        <v xml:space="preserve"> </v>
      </c>
      <c r="R34" s="287" t="str">
        <f>IF(INDEX(machina!$A17:$FB17,MATCH(R$19&amp;$C$17,machina[#Headers],))=""," ",INDEX(machina!$A17:$FB17,MATCH(R$19&amp;$C$17,machina[#Headers],)))</f>
        <v xml:space="preserve"> </v>
      </c>
      <c r="S34" s="287" t="str">
        <f>IF(INDEX(machina!$A17:$FB17,MATCH(S$19&amp;$C$17,machina[#Headers],))=""," ",INDEX(machina!$A17:$FB17,MATCH(S$19&amp;$C$17,machina[#Headers],)))</f>
        <v xml:space="preserve"> </v>
      </c>
      <c r="T34" s="287" t="str">
        <f>IF(INDEX(machina!$A17:$FB17,MATCH(T$19&amp;$C$17,machina[#Headers],))=""," ",INDEX(machina!$A17:$FB17,MATCH(T$19&amp;$C$17,machina[#Headers],)))</f>
        <v xml:space="preserve"> </v>
      </c>
      <c r="U34" s="287" t="str">
        <f>IF(INDEX(machina!$A17:$FB17,MATCH(U$19&amp;$C$17,machina[#Headers],))=""," ",INDEX(machina!$A17:$FB17,MATCH(U$19&amp;$C$17,machina[#Headers],)))</f>
        <v xml:space="preserve"> </v>
      </c>
      <c r="V34" s="287" t="str">
        <f>IF(INDEX(machina!$A17:$FB17,MATCH(V$19&amp;$C$17,machina[#Headers],))=""," ",INDEX(machina!$A17:$FB17,MATCH(V$19&amp;$C$17,machina[#Headers],)))</f>
        <v xml:space="preserve"> </v>
      </c>
      <c r="W34" s="287" t="str">
        <f>IF(INDEX(machina!$A17:$FB17,MATCH(W$19&amp;$C$17,machina[#Headers],))=""," ",INDEX(machina!$A17:$FB17,MATCH(W$19&amp;$C$17,machina[#Headers],)))</f>
        <v xml:space="preserve"> </v>
      </c>
      <c r="X34" s="287" t="str">
        <f>IF(INDEX(machina!$A17:$FB17,MATCH(X$19&amp;$C$17,machina[#Headers],))=""," ",INDEX(machina!$A17:$FB17,MATCH(X$19&amp;$C$17,machina[#Headers],)))</f>
        <v xml:space="preserve"> </v>
      </c>
      <c r="Y34" s="287" t="str">
        <f>IF(INDEX(machina!$A17:$FB17,MATCH(Y$19&amp;$C$17,machina[#Headers],))=""," ",INDEX(machina!$A17:$FB17,MATCH(Y$19&amp;$C$17,machina[#Headers],)))</f>
        <v xml:space="preserve"> </v>
      </c>
      <c r="Z34" s="287" t="str">
        <f>IF(INDEX(machina!$A17:$FB17,MATCH(Z$19&amp;$C$17,machina[#Headers],))=""," ",INDEX(machina!$A17:$FB17,MATCH(Z$19&amp;$C$17,machina[#Headers],)))</f>
        <v xml:space="preserve"> </v>
      </c>
      <c r="AA34" s="287" t="str">
        <f>IF(INDEX(machina!$A17:$FB17,MATCH(AA$19&amp;$C$17,machina[#Headers],))=""," ",INDEX(machina!$A17:$FB17,MATCH(AA$19&amp;$C$17,machina[#Headers],)))</f>
        <v xml:space="preserve"> </v>
      </c>
      <c r="AB34" s="287" t="str">
        <f>IF(INDEX(machina!$A17:$FB17,MATCH(AB$19&amp;$C$17,machina[#Headers],))=""," ",INDEX(machina!$A17:$FB17,MATCH(AB$19&amp;$C$17,machina[#Headers],)))</f>
        <v xml:space="preserve"> </v>
      </c>
      <c r="AC34" s="287" t="str">
        <f>IF(INDEX(machina!$A17:$FB17,MATCH(AC$19&amp;$C$17,machina[#Headers],))=""," ",INDEX(machina!$A17:$FB17,MATCH(AC$19&amp;$C$17,machina[#Headers],)))</f>
        <v xml:space="preserve"> </v>
      </c>
      <c r="AD34" s="287" t="str">
        <f>IF(INDEX(machina!$A17:$FB17,MATCH(AD$19&amp;$C$17,machina[#Headers],))=""," ",INDEX(machina!$A17:$FB17,MATCH(AD$19&amp;$C$17,machina[#Headers],)))</f>
        <v xml:space="preserve"> </v>
      </c>
      <c r="AE34" s="287" t="str">
        <f>IF(INDEX(machina!$A17:$FB17,MATCH(AE$19&amp;$C$17,machina[#Headers],))=""," ",INDEX(machina!$A17:$FB17,MATCH(AE$19&amp;$C$17,machina[#Headers],)))</f>
        <v xml:space="preserve"> </v>
      </c>
      <c r="AF34" s="287" t="str">
        <f>IF(INDEX(machina!$A17:$FB17,MATCH(AF$19&amp;$C$17,machina[#Headers],))=""," ",INDEX(machina!$A17:$FB17,MATCH(AF$19&amp;$C$17,machina[#Headers],)))</f>
        <v xml:space="preserve"> </v>
      </c>
      <c r="AG34" s="287" t="str">
        <f>IF(INDEX(machina!$A17:$FB17,MATCH(AG$19&amp;$C$17,machina[#Headers],))=""," ",INDEX(machina!$A17:$FB17,MATCH(AG$19&amp;$C$17,machina[#Headers],)))</f>
        <v xml:space="preserve"> </v>
      </c>
      <c r="AH34" s="287" t="str">
        <f>IF(INDEX(machina!$A17:$FB17,MATCH(AH$19&amp;$C$17,machina[#Headers],))=""," ",INDEX(machina!$A17:$FB17,MATCH(AH$19&amp;$C$17,machina[#Headers],)))</f>
        <v xml:space="preserve"> </v>
      </c>
      <c r="AI34" s="287" t="str">
        <f>IF(INDEX(machina!$A17:$FB17,MATCH(AI$19&amp;$C$17,machina[#Headers],))=""," ",INDEX(machina!$A17:$FB17,MATCH(AI$19&amp;$C$17,machina[#Headers],)))</f>
        <v xml:space="preserve"> </v>
      </c>
      <c r="AJ34" s="287" t="str">
        <f>IF(INDEX(machina!$A17:$FB17,MATCH(AJ$19&amp;$C$17,machina[#Headers],))=""," ",INDEX(machina!$A17:$FB17,MATCH(AJ$19&amp;$C$17,machina[#Headers],)))</f>
        <v xml:space="preserve"> </v>
      </c>
      <c r="AK34" s="287" t="str">
        <f>IF(INDEX(machina!$A17:$FB17,MATCH(AK$19&amp;$C$17,machina[#Headers],))=""," ",INDEX(machina!$A17:$FB17,MATCH(AK$19&amp;$C$17,machina[#Headers],)))</f>
        <v xml:space="preserve"> </v>
      </c>
      <c r="AL34" s="287" t="str">
        <f>IF(INDEX(machina!$A17:$FB17,MATCH(AL$19&amp;$C$17,machina[#Headers],))=""," ",INDEX(machina!$A17:$FB17,MATCH(AL$19&amp;$C$17,machina[#Headers],)))</f>
        <v xml:space="preserve"> </v>
      </c>
      <c r="AM34" s="287" t="str">
        <f>IF(INDEX(machina!$A17:$FB17,MATCH(AM$19&amp;$C$17,machina[#Headers],))=""," ",INDEX(machina!$A17:$FB17,MATCH(AM$19&amp;$C$17,machina[#Headers],)))</f>
        <v xml:space="preserve"> </v>
      </c>
      <c r="AN34" s="287" t="str">
        <f>IF(INDEX(machina!$A17:$FB17,MATCH(AN$19&amp;$C$17,machina[#Headers],))=""," ",INDEX(machina!$A17:$FB17,MATCH(AN$19&amp;$C$17,machina[#Headers],)))</f>
        <v xml:space="preserve"> </v>
      </c>
      <c r="AO34" s="287" t="str">
        <f>IF(INDEX(machina!$A17:$FB17,MATCH(AO$19&amp;$C$17,machina[#Headers],))=""," ",INDEX(machina!$A17:$FB17,MATCH(AO$19&amp;$C$17,machina[#Headers],)))</f>
        <v xml:space="preserve"> </v>
      </c>
      <c r="AP34" s="287" t="str">
        <f>IF(INDEX(machina!$A17:$FB17,MATCH(AP$19&amp;$C$17,machina[#Headers],))=""," ",INDEX(machina!$A17:$FB17,MATCH(AP$19&amp;$C$17,machina[#Headers],)))</f>
        <v xml:space="preserve"> </v>
      </c>
      <c r="AQ34" s="287" t="str">
        <f>IF(INDEX(machina!$A17:$FB17,MATCH(AQ$19&amp;$C$17,machina[#Headers],))=""," ",INDEX(machina!$A17:$FB17,MATCH(AQ$19&amp;$C$17,machina[#Headers],)))</f>
        <v xml:space="preserve"> </v>
      </c>
      <c r="AR34" s="287" t="str">
        <f>IF(INDEX(machina!$A17:$FB17,MATCH(AR$19&amp;$C$17,machina[#Headers],))=""," ",INDEX(machina!$A17:$FB17,MATCH(AR$19&amp;$C$17,machina[#Headers],)))</f>
        <v xml:space="preserve"> </v>
      </c>
      <c r="AS34" s="287" t="str">
        <f>IF(INDEX(machina!$A17:$FB17,MATCH(AS$19&amp;$C$17,machina[#Headers],))=""," ",INDEX(machina!$A17:$FB17,MATCH(AS$19&amp;$C$17,machina[#Headers],)))</f>
        <v xml:space="preserve"> </v>
      </c>
      <c r="AT34" s="287" t="str">
        <f>IF(INDEX(machina!$A17:$FB17,MATCH(AT$19&amp;$C$17,machina[#Headers],))=""," ",INDEX(machina!$A17:$FB17,MATCH(AT$19&amp;$C$17,machina[#Headers],)))</f>
        <v xml:space="preserve"> </v>
      </c>
      <c r="AU34" s="287" t="str">
        <f>IF(INDEX(machina!$A17:$FB17,MATCH(AU$19&amp;$C$17,machina[#Headers],))=""," ",INDEX(machina!$A17:$FB17,MATCH(AU$19&amp;$C$17,machina[#Headers],)))</f>
        <v xml:space="preserve"> </v>
      </c>
      <c r="AV34" s="287" t="str">
        <f>IF(INDEX(machina!$A17:$FB17,MATCH(AV$19&amp;$C$17,machina[#Headers],))=""," ",INDEX(machina!$A17:$FB17,MATCH(AV$19&amp;$C$17,machina[#Headers],)))</f>
        <v xml:space="preserve"> </v>
      </c>
      <c r="AW34" s="287" t="str">
        <f>IF(INDEX(machina!$A17:$FB17,MATCH(AW$19&amp;$C$17,machina[#Headers],))=""," ",INDEX(machina!$A17:$FB17,MATCH(AW$19&amp;$C$17,machina[#Headers],)))</f>
        <v xml:space="preserve"> </v>
      </c>
      <c r="AX34" s="287" t="str">
        <f>IF(INDEX(machina!$A17:$FB17,MATCH(AX$19&amp;$C$17,machina[#Headers],))=""," ",INDEX(machina!$A17:$FB17,MATCH(AX$19&amp;$C$17,machina[#Headers],)))</f>
        <v xml:space="preserve"> </v>
      </c>
      <c r="AY34" s="287" t="str">
        <f>IF(INDEX(machina!$A17:$FB17,MATCH(AY$19&amp;$C$17,machina[#Headers],))=""," ",INDEX(machina!$A17:$FB17,MATCH(AY$19&amp;$C$17,machina[#Headers],)))</f>
        <v xml:space="preserve"> </v>
      </c>
      <c r="AZ34" s="287" t="str">
        <f>IF(INDEX(machina!$A17:$FB17,MATCH(AZ$19&amp;$C$17,machina[#Headers],))=""," ",INDEX(machina!$A17:$FB17,MATCH(AZ$19&amp;$C$17,machina[#Headers],)))</f>
        <v xml:space="preserve"> </v>
      </c>
      <c r="BA34" s="287" t="str">
        <f>IF(INDEX(machina!$A17:$FB17,MATCH(BA$19&amp;$C$17,machina[#Headers],))=""," ",INDEX(machina!$A17:$FB17,MATCH(BA$19&amp;$C$17,machina[#Headers],)))</f>
        <v xml:space="preserve"> </v>
      </c>
      <c r="BB34" s="287" t="str">
        <f>IF(INDEX(machina!$A17:$FB17,MATCH(BB$19&amp;$C$17,machina[#Headers],))=""," ",INDEX(machina!$A17:$FB17,MATCH(BB$19&amp;$C$17,machina[#Headers],)))</f>
        <v xml:space="preserve"> </v>
      </c>
      <c r="BC34" s="287" t="str">
        <f>IF(INDEX(machina!$A17:$FB17,MATCH(BC$19&amp;$C$17,machina[#Headers],))=""," ",INDEX(machina!$A17:$FB17,MATCH(BC$19&amp;$C$17,machina[#Headers],)))</f>
        <v xml:space="preserve"> </v>
      </c>
      <c r="BD34" s="287" t="str">
        <f>IF(INDEX(machina!$A17:$FB17,MATCH(BD$19&amp;$C$17,machina[#Headers],))=""," ",INDEX(machina!$A17:$FB17,MATCH(BD$19&amp;$C$17,machina[#Headers],)))</f>
        <v xml:space="preserve"> </v>
      </c>
      <c r="BE34" s="287" t="str">
        <f>IF(INDEX(machina!$A17:$FB17,MATCH(BE$19&amp;$C$17,machina[#Headers],))=""," ",INDEX(machina!$A17:$FB17,MATCH(BE$19&amp;$C$17,machina[#Headers],)))</f>
        <v xml:space="preserve"> </v>
      </c>
      <c r="BF34" s="287" t="str">
        <f>IF(INDEX(machina!$A17:$FB17,MATCH(BF$19&amp;$C$17,machina[#Headers],))=""," ",INDEX(machina!$A17:$FB17,MATCH(BF$19&amp;$C$17,machina[#Headers],)))</f>
        <v xml:space="preserve"> </v>
      </c>
      <c r="BG34" s="287" t="str">
        <f>IF(INDEX(machina!$A17:$FB17,MATCH(BG$19&amp;$C$17,machina[#Headers],))=""," ",INDEX(machina!$A17:$FB17,MATCH(BG$19&amp;$C$17,machina[#Headers],)))</f>
        <v xml:space="preserve"> </v>
      </c>
      <c r="BH34" s="287" t="str">
        <f>IF(INDEX(machina!$A17:$FB17,MATCH(BH$19&amp;$C$17,machina[#Headers],))=""," ",INDEX(machina!$A17:$FB17,MATCH(BH$19&amp;$C$17,machina[#Headers],)))</f>
        <v xml:space="preserve"> </v>
      </c>
      <c r="BI34" s="287" t="str">
        <f>IF(INDEX(machina!$A17:$FB17,MATCH(BI$19&amp;$C$17,machina[#Headers],))=""," ",INDEX(machina!$A17:$FB17,MATCH(BI$19&amp;$C$17,machina[#Headers],)))</f>
        <v xml:space="preserve"> </v>
      </c>
      <c r="BJ34" s="287" t="str">
        <f>IF(INDEX(machina!$A17:$FB17,MATCH(BJ$19&amp;$C$17,machina[#Headers],))=""," ",INDEX(machina!$A17:$FB17,MATCH(BJ$19&amp;$C$17,machina[#Headers],)))</f>
        <v xml:space="preserve"> </v>
      </c>
      <c r="BK34" s="287" t="str">
        <f>IF(INDEX(machina!$A17:$FB17,MATCH(BK$19&amp;$C$17,machina[#Headers],))=""," ",INDEX(machina!$A17:$FB17,MATCH(BK$19&amp;$C$17,machina[#Headers],)))</f>
        <v xml:space="preserve"> </v>
      </c>
      <c r="BL34" s="287" t="str">
        <f>IF(INDEX(machina!$A17:$FB17,MATCH(BL$19&amp;$C$17,machina[#Headers],))=""," ",INDEX(machina!$A17:$FB17,MATCH(BL$19&amp;$C$17,machina[#Headers],)))</f>
        <v xml:space="preserve"> </v>
      </c>
      <c r="BM34" s="287" t="str">
        <f>IF(INDEX(machina!$A17:$FB17,MATCH(BM$19&amp;$C$17,machina[#Headers],))=""," ",INDEX(machina!$A17:$FB17,MATCH(BM$19&amp;$C$17,machina[#Headers],)))</f>
        <v xml:space="preserve"> </v>
      </c>
      <c r="BN34" s="287" t="str">
        <f>IF(INDEX(machina!$A17:$FB17,MATCH(BN$19&amp;$C$17,machina[#Headers],))=""," ",INDEX(machina!$A17:$FB17,MATCH(BN$19&amp;$C$17,machina[#Headers],)))</f>
        <v xml:space="preserve"> </v>
      </c>
      <c r="BO34" s="287" t="str">
        <f>IF(INDEX(machina!$A17:$FB17,MATCH(BO$19&amp;$C$17,machina[#Headers],))=""," ",INDEX(machina!$A17:$FB17,MATCH(BO$19&amp;$C$17,machina[#Headers],)))</f>
        <v xml:space="preserve"> </v>
      </c>
      <c r="BP34" s="287" t="str">
        <f>IF(INDEX(machina!$A17:$FB17,MATCH(BP$19&amp;$C$17,machina[#Headers],))=""," ",INDEX(machina!$A17:$FB17,MATCH(BP$19&amp;$C$17,machina[#Headers],)))</f>
        <v xml:space="preserve"> </v>
      </c>
      <c r="BQ34" s="287" t="str">
        <f>IF(INDEX(machina!$A17:$FB17,MATCH(BQ$19&amp;$C$17,machina[#Headers],))=""," ",INDEX(machina!$A17:$FB17,MATCH(BQ$19&amp;$C$17,machina[#Headers],)))</f>
        <v xml:space="preserve"> </v>
      </c>
      <c r="BR34" s="287" t="str">
        <f>IF(INDEX(machina!$A17:$FB17,MATCH(BR$19&amp;$C$17,machina[#Headers],))=""," ",INDEX(machina!$A17:$FB17,MATCH(BR$19&amp;$C$17,machina[#Headers],)))</f>
        <v xml:space="preserve"> </v>
      </c>
      <c r="BS34" s="287" t="str">
        <f>IF(INDEX(machina!$A17:$FB17,MATCH(BS$19&amp;$C$17,machina[#Headers],))=""," ",INDEX(machina!$A17:$FB17,MATCH(BS$19&amp;$C$17,machina[#Headers],)))</f>
        <v xml:space="preserve"> </v>
      </c>
      <c r="BT34" s="287" t="str">
        <f>IF(INDEX(machina!$A17:$FB17,MATCH(BT$19&amp;$C$17,machina[#Headers],))=""," ",INDEX(machina!$A17:$FB17,MATCH(BT$19&amp;$C$17,machina[#Headers],)))</f>
        <v xml:space="preserve"> </v>
      </c>
      <c r="BU34" s="287" t="str">
        <f>IF(INDEX(machina!$A17:$FB17,MATCH(BU$19&amp;$C$17,machina[#Headers],))=""," ",INDEX(machina!$A17:$FB17,MATCH(BU$19&amp;$C$17,machina[#Headers],)))</f>
        <v xml:space="preserve"> </v>
      </c>
      <c r="BV34" s="287" t="str">
        <f>IF(INDEX(machina!$A17:$FB17,MATCH(BV$19&amp;$C$17,machina[#Headers],))=""," ",INDEX(machina!$A17:$FB17,MATCH(BV$19&amp;$C$17,machina[#Headers],)))</f>
        <v xml:space="preserve"> </v>
      </c>
      <c r="BW34" s="287" t="str">
        <f>IF(INDEX(machina!$A17:$FB17,MATCH(BW$19&amp;$C$17,machina[#Headers],))=""," ",INDEX(machina!$A17:$FB17,MATCH(BW$19&amp;$C$17,machina[#Headers],)))</f>
        <v xml:space="preserve"> </v>
      </c>
      <c r="BX34" s="287" t="str">
        <f>IF(INDEX(machina!$A17:$FB17,MATCH(BX$19&amp;$C$17,machina[#Headers],))=""," ",INDEX(machina!$A17:$FB17,MATCH(BX$19&amp;$C$17,machina[#Headers],)))</f>
        <v xml:space="preserve"> </v>
      </c>
      <c r="BY34" s="287" t="str">
        <f>IF(INDEX(machina!$A17:$FB17,MATCH(BY$19&amp;$C$17,machina[#Headers],))=""," ",INDEX(machina!$A17:$FB17,MATCH(BY$19&amp;$C$17,machina[#Headers],)))</f>
        <v xml:space="preserve"> </v>
      </c>
      <c r="BZ34" s="287" t="str">
        <f>IF(INDEX(machina!$A17:$FB17,MATCH(BZ$19&amp;$C$17,machina[#Headers],))=""," ",INDEX(machina!$A17:$FB17,MATCH(BZ$19&amp;$C$17,machina[#Headers],)))</f>
        <v xml:space="preserve"> </v>
      </c>
      <c r="CA34" s="287" t="str">
        <f>IF(INDEX(machina!$A17:$FB17,MATCH(CA$19&amp;$C$17,machina[#Headers],))=""," ",INDEX(machina!$A17:$FB17,MATCH(CA$19&amp;$C$17,machina[#Headers],)))</f>
        <v xml:space="preserve"> </v>
      </c>
      <c r="CB34" s="288" t="str">
        <f>IF(INDEX('Raw Data'!$A17:$EA17,MATCH(CB$19,RawData[#Headers],))=""," ",INDEX('Raw Data'!$A17:$EA17,MATCH(CB$19,RawData[#Headers],)))</f>
        <v xml:space="preserve"> </v>
      </c>
      <c r="CD34" s="298" t="str">
        <f t="shared" si="61"/>
        <v xml:space="preserve"> </v>
      </c>
      <c r="CE34" s="298" t="str">
        <f t="shared" si="42"/>
        <v/>
      </c>
      <c r="CF34" s="298" t="str">
        <f t="shared" si="43"/>
        <v xml:space="preserve"> </v>
      </c>
      <c r="CG34" s="298" t="str">
        <f>IF(CE34=""," ",INDEX($CU$9:$CU$12,MATCH(CF34,analysis[CLUSTER],0)))</f>
        <v xml:space="preserve"> </v>
      </c>
      <c r="CH34" s="298" t="str">
        <f t="shared" si="44"/>
        <v xml:space="preserve"> </v>
      </c>
      <c r="CI34" s="298" t="str">
        <f t="shared" si="45"/>
        <v xml:space="preserve"> </v>
      </c>
      <c r="CJ34" s="326" t="s">
        <v>222</v>
      </c>
      <c r="CK34" s="299">
        <f>MEDIAN($CL$20:$CL$45)</f>
        <v>4.5</v>
      </c>
      <c r="CL34" s="298" t="str">
        <f t="shared" si="46"/>
        <v/>
      </c>
      <c r="CM34" s="326"/>
      <c r="CN34" s="326"/>
      <c r="CO34" s="326"/>
      <c r="CP34" s="326"/>
      <c r="CQ34" s="315" t="str">
        <f t="shared" si="38"/>
        <v/>
      </c>
      <c r="CR34" s="333" t="str">
        <f t="shared" si="47"/>
        <v xml:space="preserve"> </v>
      </c>
      <c r="CS34" s="333" t="str">
        <f t="shared" si="48"/>
        <v xml:space="preserve"> </v>
      </c>
      <c r="CT34" s="333" t="str">
        <f t="shared" si="49"/>
        <v xml:space="preserve"> </v>
      </c>
      <c r="CU34" s="333" t="str">
        <f t="shared" si="50"/>
        <v xml:space="preserve"> </v>
      </c>
      <c r="CV34" s="326"/>
      <c r="CW34" s="315" t="str">
        <f t="shared" si="51"/>
        <v/>
      </c>
      <c r="CX34" s="333" t="str">
        <f t="shared" si="52"/>
        <v xml:space="preserve"> </v>
      </c>
      <c r="CY34" s="333" t="str">
        <f t="shared" si="53"/>
        <v xml:space="preserve"> </v>
      </c>
      <c r="CZ34" s="333" t="str">
        <f t="shared" si="53"/>
        <v xml:space="preserve"> </v>
      </c>
      <c r="DA34" s="333" t="str">
        <f t="shared" si="53"/>
        <v xml:space="preserve"> </v>
      </c>
      <c r="DB34" s="326">
        <v>15</v>
      </c>
      <c r="DC34" s="337" t="str">
        <f t="shared" si="54"/>
        <v xml:space="preserve"> </v>
      </c>
      <c r="DD34" s="337" t="str">
        <f t="shared" si="55"/>
        <v xml:space="preserve"> </v>
      </c>
      <c r="DE34" s="337" t="str">
        <f t="shared" si="56"/>
        <v xml:space="preserve"> </v>
      </c>
      <c r="DF34" s="337" t="str">
        <f t="shared" si="57"/>
        <v xml:space="preserve"> </v>
      </c>
      <c r="DG34" s="344" t="str">
        <f t="shared" si="58"/>
        <v xml:space="preserve"> </v>
      </c>
      <c r="DH34" s="337" t="str">
        <f t="shared" si="59"/>
        <v xml:space="preserve"> </v>
      </c>
      <c r="DI34" s="337" t="str">
        <f t="shared" si="41"/>
        <v xml:space="preserve"> </v>
      </c>
      <c r="DJ34" s="337" t="str">
        <f t="shared" si="41"/>
        <v xml:space="preserve"> </v>
      </c>
      <c r="DK34" s="337" t="str">
        <f t="shared" si="41"/>
        <v xml:space="preserve"> </v>
      </c>
      <c r="DL34" s="344" t="str">
        <f t="shared" si="60"/>
        <v xml:space="preserve"> </v>
      </c>
      <c r="DN34" s="292" t="str">
        <f>IFERROR(VLOOKUP($A34,'Raw Data'!$A$3:$EV$32,152,FALSE)," ")</f>
        <v xml:space="preserve"> </v>
      </c>
    </row>
    <row r="35" spans="1:118" x14ac:dyDescent="0.3">
      <c r="A35" s="255">
        <f>'Raw Data'!A18</f>
        <v>0</v>
      </c>
      <c r="B35" s="287" t="str">
        <f>IF(INDEX(machina!$A18:$FB18,MATCH(B$19&amp;$C$17,machina[#Headers],))=""," ",INDEX(machina!$A18:$FB18,MATCH(B$19&amp;$C$17,machina[#Headers],)))</f>
        <v xml:space="preserve"> </v>
      </c>
      <c r="C35" s="287" t="str">
        <f>IF(INDEX(machina!$A18:$FB18,MATCH(C$19&amp;$C$17,machina[#Headers],))=""," ",INDEX(machina!$A18:$FB18,MATCH(C$19&amp;$C$17,machina[#Headers],)))</f>
        <v xml:space="preserve"> </v>
      </c>
      <c r="D35" s="287" t="str">
        <f>IF(INDEX(machina!$A18:$FB18,MATCH(D$19&amp;$C$17,machina[#Headers],))=""," ",INDEX(machina!$A18:$FB18,MATCH(D$19&amp;$C$17,machina[#Headers],)))</f>
        <v xml:space="preserve"> </v>
      </c>
      <c r="E35" s="287" t="str">
        <f>IF(INDEX(machina!$A18:$FB18,MATCH(E$19&amp;$C$17,machina[#Headers],))=""," ",INDEX(machina!$A18:$FB18,MATCH(E$19&amp;$C$17,machina[#Headers],)))</f>
        <v xml:space="preserve"> </v>
      </c>
      <c r="F35" s="287" t="str">
        <f>IF(INDEX(machina!$A18:$FB18,MATCH(F$19&amp;$C$17,machina[#Headers],))=""," ",INDEX(machina!$A18:$FB18,MATCH(F$19&amp;$C$17,machina[#Headers],)))</f>
        <v xml:space="preserve"> </v>
      </c>
      <c r="G35" s="287" t="str">
        <f>IF(INDEX(machina!$A18:$FB18,MATCH(G$19&amp;$C$17,machina[#Headers],))=""," ",INDEX(machina!$A18:$FB18,MATCH(G$19&amp;$C$17,machina[#Headers],)))</f>
        <v xml:space="preserve"> </v>
      </c>
      <c r="H35" s="287" t="str">
        <f>IF(INDEX(machina!$A18:$FB18,MATCH(H$19&amp;$C$17,machina[#Headers],))=""," ",INDEX(machina!$A18:$FB18,MATCH(H$19&amp;$C$17,machina[#Headers],)))</f>
        <v xml:space="preserve"> </v>
      </c>
      <c r="I35" s="287" t="str">
        <f>IF(INDEX(machina!$A18:$FB18,MATCH(I$19&amp;$C$17,machina[#Headers],))=""," ",INDEX(machina!$A18:$FB18,MATCH(I$19&amp;$C$17,machina[#Headers],)))</f>
        <v xml:space="preserve"> </v>
      </c>
      <c r="J35" s="287" t="str">
        <f>IF(INDEX(machina!$A18:$FB18,MATCH(J$19&amp;$C$17,machina[#Headers],))=""," ",INDEX(machina!$A18:$FB18,MATCH(J$19&amp;$C$17,machina[#Headers],)))</f>
        <v xml:space="preserve"> </v>
      </c>
      <c r="K35" s="287" t="str">
        <f>IF(INDEX(machina!$A18:$FB18,MATCH(K$19&amp;$C$17,machina[#Headers],))=""," ",INDEX(machina!$A18:$FB18,MATCH(K$19&amp;$C$17,machina[#Headers],)))</f>
        <v xml:space="preserve"> </v>
      </c>
      <c r="L35" s="287" t="str">
        <f>IF(INDEX(machina!$A18:$FB18,MATCH(L$19&amp;$C$17,machina[#Headers],))=""," ",INDEX(machina!$A18:$FB18,MATCH(L$19&amp;$C$17,machina[#Headers],)))</f>
        <v xml:space="preserve"> </v>
      </c>
      <c r="M35" s="287" t="str">
        <f>IF(INDEX(machina!$A18:$FB18,MATCH(M$19&amp;$C$17,machina[#Headers],))=""," ",INDEX(machina!$A18:$FB18,MATCH(M$19&amp;$C$17,machina[#Headers],)))</f>
        <v xml:space="preserve"> </v>
      </c>
      <c r="N35" s="287" t="str">
        <f>IF(INDEX(machina!$A18:$FB18,MATCH(N$19&amp;$C$17,machina[#Headers],))=""," ",INDEX(machina!$A18:$FB18,MATCH(N$19&amp;$C$17,machina[#Headers],)))</f>
        <v xml:space="preserve"> </v>
      </c>
      <c r="O35" s="287" t="str">
        <f>IF(INDEX(machina!$A18:$FB18,MATCH(O$19&amp;$C$17,machina[#Headers],))=""," ",INDEX(machina!$A18:$FB18,MATCH(O$19&amp;$C$17,machina[#Headers],)))</f>
        <v xml:space="preserve"> </v>
      </c>
      <c r="P35" s="287" t="str">
        <f>IF(INDEX(machina!$A18:$FB18,MATCH(P$19&amp;$C$17,machina[#Headers],))=""," ",INDEX(machina!$A18:$FB18,MATCH(P$19&amp;$C$17,machina[#Headers],)))</f>
        <v xml:space="preserve"> </v>
      </c>
      <c r="Q35" s="287" t="str">
        <f>IF(INDEX(machina!$A18:$FB18,MATCH(Q$19&amp;$C$17,machina[#Headers],))=""," ",INDEX(machina!$A18:$FB18,MATCH(Q$19&amp;$C$17,machina[#Headers],)))</f>
        <v xml:space="preserve"> </v>
      </c>
      <c r="R35" s="287" t="str">
        <f>IF(INDEX(machina!$A18:$FB18,MATCH(R$19&amp;$C$17,machina[#Headers],))=""," ",INDEX(machina!$A18:$FB18,MATCH(R$19&amp;$C$17,machina[#Headers],)))</f>
        <v xml:space="preserve"> </v>
      </c>
      <c r="S35" s="287" t="str">
        <f>IF(INDEX(machina!$A18:$FB18,MATCH(S$19&amp;$C$17,machina[#Headers],))=""," ",INDEX(machina!$A18:$FB18,MATCH(S$19&amp;$C$17,machina[#Headers],)))</f>
        <v xml:space="preserve"> </v>
      </c>
      <c r="T35" s="287" t="str">
        <f>IF(INDEX(machina!$A18:$FB18,MATCH(T$19&amp;$C$17,machina[#Headers],))=""," ",INDEX(machina!$A18:$FB18,MATCH(T$19&amp;$C$17,machina[#Headers],)))</f>
        <v xml:space="preserve"> </v>
      </c>
      <c r="U35" s="287" t="str">
        <f>IF(INDEX(machina!$A18:$FB18,MATCH(U$19&amp;$C$17,machina[#Headers],))=""," ",INDEX(machina!$A18:$FB18,MATCH(U$19&amp;$C$17,machina[#Headers],)))</f>
        <v xml:space="preserve"> </v>
      </c>
      <c r="V35" s="287" t="str">
        <f>IF(INDEX(machina!$A18:$FB18,MATCH(V$19&amp;$C$17,machina[#Headers],))=""," ",INDEX(machina!$A18:$FB18,MATCH(V$19&amp;$C$17,machina[#Headers],)))</f>
        <v xml:space="preserve"> </v>
      </c>
      <c r="W35" s="287" t="str">
        <f>IF(INDEX(machina!$A18:$FB18,MATCH(W$19&amp;$C$17,machina[#Headers],))=""," ",INDEX(machina!$A18:$FB18,MATCH(W$19&amp;$C$17,machina[#Headers],)))</f>
        <v xml:space="preserve"> </v>
      </c>
      <c r="X35" s="287" t="str">
        <f>IF(INDEX(machina!$A18:$FB18,MATCH(X$19&amp;$C$17,machina[#Headers],))=""," ",INDEX(machina!$A18:$FB18,MATCH(X$19&amp;$C$17,machina[#Headers],)))</f>
        <v xml:space="preserve"> </v>
      </c>
      <c r="Y35" s="287" t="str">
        <f>IF(INDEX(machina!$A18:$FB18,MATCH(Y$19&amp;$C$17,machina[#Headers],))=""," ",INDEX(machina!$A18:$FB18,MATCH(Y$19&amp;$C$17,machina[#Headers],)))</f>
        <v xml:space="preserve"> </v>
      </c>
      <c r="Z35" s="287" t="str">
        <f>IF(INDEX(machina!$A18:$FB18,MATCH(Z$19&amp;$C$17,machina[#Headers],))=""," ",INDEX(machina!$A18:$FB18,MATCH(Z$19&amp;$C$17,machina[#Headers],)))</f>
        <v xml:space="preserve"> </v>
      </c>
      <c r="AA35" s="287" t="str">
        <f>IF(INDEX(machina!$A18:$FB18,MATCH(AA$19&amp;$C$17,machina[#Headers],))=""," ",INDEX(machina!$A18:$FB18,MATCH(AA$19&amp;$C$17,machina[#Headers],)))</f>
        <v xml:space="preserve"> </v>
      </c>
      <c r="AB35" s="287" t="str">
        <f>IF(INDEX(machina!$A18:$FB18,MATCH(AB$19&amp;$C$17,machina[#Headers],))=""," ",INDEX(machina!$A18:$FB18,MATCH(AB$19&amp;$C$17,machina[#Headers],)))</f>
        <v xml:space="preserve"> </v>
      </c>
      <c r="AC35" s="287" t="str">
        <f>IF(INDEX(machina!$A18:$FB18,MATCH(AC$19&amp;$C$17,machina[#Headers],))=""," ",INDEX(machina!$A18:$FB18,MATCH(AC$19&amp;$C$17,machina[#Headers],)))</f>
        <v xml:space="preserve"> </v>
      </c>
      <c r="AD35" s="287" t="str">
        <f>IF(INDEX(machina!$A18:$FB18,MATCH(AD$19&amp;$C$17,machina[#Headers],))=""," ",INDEX(machina!$A18:$FB18,MATCH(AD$19&amp;$C$17,machina[#Headers],)))</f>
        <v xml:space="preserve"> </v>
      </c>
      <c r="AE35" s="287" t="str">
        <f>IF(INDEX(machina!$A18:$FB18,MATCH(AE$19&amp;$C$17,machina[#Headers],))=""," ",INDEX(machina!$A18:$FB18,MATCH(AE$19&amp;$C$17,machina[#Headers],)))</f>
        <v xml:space="preserve"> </v>
      </c>
      <c r="AF35" s="287" t="str">
        <f>IF(INDEX(machina!$A18:$FB18,MATCH(AF$19&amp;$C$17,machina[#Headers],))=""," ",INDEX(machina!$A18:$FB18,MATCH(AF$19&amp;$C$17,machina[#Headers],)))</f>
        <v xml:space="preserve"> </v>
      </c>
      <c r="AG35" s="287" t="str">
        <f>IF(INDEX(machina!$A18:$FB18,MATCH(AG$19&amp;$C$17,machina[#Headers],))=""," ",INDEX(machina!$A18:$FB18,MATCH(AG$19&amp;$C$17,machina[#Headers],)))</f>
        <v xml:space="preserve"> </v>
      </c>
      <c r="AH35" s="287" t="str">
        <f>IF(INDEX(machina!$A18:$FB18,MATCH(AH$19&amp;$C$17,machina[#Headers],))=""," ",INDEX(machina!$A18:$FB18,MATCH(AH$19&amp;$C$17,machina[#Headers],)))</f>
        <v xml:space="preserve"> </v>
      </c>
      <c r="AI35" s="287" t="str">
        <f>IF(INDEX(machina!$A18:$FB18,MATCH(AI$19&amp;$C$17,machina[#Headers],))=""," ",INDEX(machina!$A18:$FB18,MATCH(AI$19&amp;$C$17,machina[#Headers],)))</f>
        <v xml:space="preserve"> </v>
      </c>
      <c r="AJ35" s="287" t="str">
        <f>IF(INDEX(machina!$A18:$FB18,MATCH(AJ$19&amp;$C$17,machina[#Headers],))=""," ",INDEX(machina!$A18:$FB18,MATCH(AJ$19&amp;$C$17,machina[#Headers],)))</f>
        <v xml:space="preserve"> </v>
      </c>
      <c r="AK35" s="287" t="str">
        <f>IF(INDEX(machina!$A18:$FB18,MATCH(AK$19&amp;$C$17,machina[#Headers],))=""," ",INDEX(machina!$A18:$FB18,MATCH(AK$19&amp;$C$17,machina[#Headers],)))</f>
        <v xml:space="preserve"> </v>
      </c>
      <c r="AL35" s="287" t="str">
        <f>IF(INDEX(machina!$A18:$FB18,MATCH(AL$19&amp;$C$17,machina[#Headers],))=""," ",INDEX(machina!$A18:$FB18,MATCH(AL$19&amp;$C$17,machina[#Headers],)))</f>
        <v xml:space="preserve"> </v>
      </c>
      <c r="AM35" s="287" t="str">
        <f>IF(INDEX(machina!$A18:$FB18,MATCH(AM$19&amp;$C$17,machina[#Headers],))=""," ",INDEX(machina!$A18:$FB18,MATCH(AM$19&amp;$C$17,machina[#Headers],)))</f>
        <v xml:space="preserve"> </v>
      </c>
      <c r="AN35" s="287" t="str">
        <f>IF(INDEX(machina!$A18:$FB18,MATCH(AN$19&amp;$C$17,machina[#Headers],))=""," ",INDEX(machina!$A18:$FB18,MATCH(AN$19&amp;$C$17,machina[#Headers],)))</f>
        <v xml:space="preserve"> </v>
      </c>
      <c r="AO35" s="287" t="str">
        <f>IF(INDEX(machina!$A18:$FB18,MATCH(AO$19&amp;$C$17,machina[#Headers],))=""," ",INDEX(machina!$A18:$FB18,MATCH(AO$19&amp;$C$17,machina[#Headers],)))</f>
        <v xml:space="preserve"> </v>
      </c>
      <c r="AP35" s="287" t="str">
        <f>IF(INDEX(machina!$A18:$FB18,MATCH(AP$19&amp;$C$17,machina[#Headers],))=""," ",INDEX(machina!$A18:$FB18,MATCH(AP$19&amp;$C$17,machina[#Headers],)))</f>
        <v xml:space="preserve"> </v>
      </c>
      <c r="AQ35" s="287" t="str">
        <f>IF(INDEX(machina!$A18:$FB18,MATCH(AQ$19&amp;$C$17,machina[#Headers],))=""," ",INDEX(machina!$A18:$FB18,MATCH(AQ$19&amp;$C$17,machina[#Headers],)))</f>
        <v xml:space="preserve"> </v>
      </c>
      <c r="AR35" s="287" t="str">
        <f>IF(INDEX(machina!$A18:$FB18,MATCH(AR$19&amp;$C$17,machina[#Headers],))=""," ",INDEX(machina!$A18:$FB18,MATCH(AR$19&amp;$C$17,machina[#Headers],)))</f>
        <v xml:space="preserve"> </v>
      </c>
      <c r="AS35" s="287" t="str">
        <f>IF(INDEX(machina!$A18:$FB18,MATCH(AS$19&amp;$C$17,machina[#Headers],))=""," ",INDEX(machina!$A18:$FB18,MATCH(AS$19&amp;$C$17,machina[#Headers],)))</f>
        <v xml:space="preserve"> </v>
      </c>
      <c r="AT35" s="287" t="str">
        <f>IF(INDEX(machina!$A18:$FB18,MATCH(AT$19&amp;$C$17,machina[#Headers],))=""," ",INDEX(machina!$A18:$FB18,MATCH(AT$19&amp;$C$17,machina[#Headers],)))</f>
        <v xml:space="preserve"> </v>
      </c>
      <c r="AU35" s="287" t="str">
        <f>IF(INDEX(machina!$A18:$FB18,MATCH(AU$19&amp;$C$17,machina[#Headers],))=""," ",INDEX(machina!$A18:$FB18,MATCH(AU$19&amp;$C$17,machina[#Headers],)))</f>
        <v xml:space="preserve"> </v>
      </c>
      <c r="AV35" s="287" t="str">
        <f>IF(INDEX(machina!$A18:$FB18,MATCH(AV$19&amp;$C$17,machina[#Headers],))=""," ",INDEX(machina!$A18:$FB18,MATCH(AV$19&amp;$C$17,machina[#Headers],)))</f>
        <v xml:space="preserve"> </v>
      </c>
      <c r="AW35" s="287" t="str">
        <f>IF(INDEX(machina!$A18:$FB18,MATCH(AW$19&amp;$C$17,machina[#Headers],))=""," ",INDEX(machina!$A18:$FB18,MATCH(AW$19&amp;$C$17,machina[#Headers],)))</f>
        <v xml:space="preserve"> </v>
      </c>
      <c r="AX35" s="287" t="str">
        <f>IF(INDEX(machina!$A18:$FB18,MATCH(AX$19&amp;$C$17,machina[#Headers],))=""," ",INDEX(machina!$A18:$FB18,MATCH(AX$19&amp;$C$17,machina[#Headers],)))</f>
        <v xml:space="preserve"> </v>
      </c>
      <c r="AY35" s="287" t="str">
        <f>IF(INDEX(machina!$A18:$FB18,MATCH(AY$19&amp;$C$17,machina[#Headers],))=""," ",INDEX(machina!$A18:$FB18,MATCH(AY$19&amp;$C$17,machina[#Headers],)))</f>
        <v xml:space="preserve"> </v>
      </c>
      <c r="AZ35" s="287" t="str">
        <f>IF(INDEX(machina!$A18:$FB18,MATCH(AZ$19&amp;$C$17,machina[#Headers],))=""," ",INDEX(machina!$A18:$FB18,MATCH(AZ$19&amp;$C$17,machina[#Headers],)))</f>
        <v xml:space="preserve"> </v>
      </c>
      <c r="BA35" s="287" t="str">
        <f>IF(INDEX(machina!$A18:$FB18,MATCH(BA$19&amp;$C$17,machina[#Headers],))=""," ",INDEX(machina!$A18:$FB18,MATCH(BA$19&amp;$C$17,machina[#Headers],)))</f>
        <v xml:space="preserve"> </v>
      </c>
      <c r="BB35" s="287" t="str">
        <f>IF(INDEX(machina!$A18:$FB18,MATCH(BB$19&amp;$C$17,machina[#Headers],))=""," ",INDEX(machina!$A18:$FB18,MATCH(BB$19&amp;$C$17,machina[#Headers],)))</f>
        <v xml:space="preserve"> </v>
      </c>
      <c r="BC35" s="287" t="str">
        <f>IF(INDEX(machina!$A18:$FB18,MATCH(BC$19&amp;$C$17,machina[#Headers],))=""," ",INDEX(machina!$A18:$FB18,MATCH(BC$19&amp;$C$17,machina[#Headers],)))</f>
        <v xml:space="preserve"> </v>
      </c>
      <c r="BD35" s="287" t="str">
        <f>IF(INDEX(machina!$A18:$FB18,MATCH(BD$19&amp;$C$17,machina[#Headers],))=""," ",INDEX(machina!$A18:$FB18,MATCH(BD$19&amp;$C$17,machina[#Headers],)))</f>
        <v xml:space="preserve"> </v>
      </c>
      <c r="BE35" s="287" t="str">
        <f>IF(INDEX(machina!$A18:$FB18,MATCH(BE$19&amp;$C$17,machina[#Headers],))=""," ",INDEX(machina!$A18:$FB18,MATCH(BE$19&amp;$C$17,machina[#Headers],)))</f>
        <v xml:space="preserve"> </v>
      </c>
      <c r="BF35" s="287" t="str">
        <f>IF(INDEX(machina!$A18:$FB18,MATCH(BF$19&amp;$C$17,machina[#Headers],))=""," ",INDEX(machina!$A18:$FB18,MATCH(BF$19&amp;$C$17,machina[#Headers],)))</f>
        <v xml:space="preserve"> </v>
      </c>
      <c r="BG35" s="287" t="str">
        <f>IF(INDEX(machina!$A18:$FB18,MATCH(BG$19&amp;$C$17,machina[#Headers],))=""," ",INDEX(machina!$A18:$FB18,MATCH(BG$19&amp;$C$17,machina[#Headers],)))</f>
        <v xml:space="preserve"> </v>
      </c>
      <c r="BH35" s="287" t="str">
        <f>IF(INDEX(machina!$A18:$FB18,MATCH(BH$19&amp;$C$17,machina[#Headers],))=""," ",INDEX(machina!$A18:$FB18,MATCH(BH$19&amp;$C$17,machina[#Headers],)))</f>
        <v xml:space="preserve"> </v>
      </c>
      <c r="BI35" s="287" t="str">
        <f>IF(INDEX(machina!$A18:$FB18,MATCH(BI$19&amp;$C$17,machina[#Headers],))=""," ",INDEX(machina!$A18:$FB18,MATCH(BI$19&amp;$C$17,machina[#Headers],)))</f>
        <v xml:space="preserve"> </v>
      </c>
      <c r="BJ35" s="287" t="str">
        <f>IF(INDEX(machina!$A18:$FB18,MATCH(BJ$19&amp;$C$17,machina[#Headers],))=""," ",INDEX(machina!$A18:$FB18,MATCH(BJ$19&amp;$C$17,machina[#Headers],)))</f>
        <v xml:space="preserve"> </v>
      </c>
      <c r="BK35" s="287" t="str">
        <f>IF(INDEX(machina!$A18:$FB18,MATCH(BK$19&amp;$C$17,machina[#Headers],))=""," ",INDEX(machina!$A18:$FB18,MATCH(BK$19&amp;$C$17,machina[#Headers],)))</f>
        <v xml:space="preserve"> </v>
      </c>
      <c r="BL35" s="287" t="str">
        <f>IF(INDEX(machina!$A18:$FB18,MATCH(BL$19&amp;$C$17,machina[#Headers],))=""," ",INDEX(machina!$A18:$FB18,MATCH(BL$19&amp;$C$17,machina[#Headers],)))</f>
        <v xml:space="preserve"> </v>
      </c>
      <c r="BM35" s="287" t="str">
        <f>IF(INDEX(machina!$A18:$FB18,MATCH(BM$19&amp;$C$17,machina[#Headers],))=""," ",INDEX(machina!$A18:$FB18,MATCH(BM$19&amp;$C$17,machina[#Headers],)))</f>
        <v xml:space="preserve"> </v>
      </c>
      <c r="BN35" s="287" t="str">
        <f>IF(INDEX(machina!$A18:$FB18,MATCH(BN$19&amp;$C$17,machina[#Headers],))=""," ",INDEX(machina!$A18:$FB18,MATCH(BN$19&amp;$C$17,machina[#Headers],)))</f>
        <v xml:space="preserve"> </v>
      </c>
      <c r="BO35" s="287" t="str">
        <f>IF(INDEX(machina!$A18:$FB18,MATCH(BO$19&amp;$C$17,machina[#Headers],))=""," ",INDEX(machina!$A18:$FB18,MATCH(BO$19&amp;$C$17,machina[#Headers],)))</f>
        <v xml:space="preserve"> </v>
      </c>
      <c r="BP35" s="287" t="str">
        <f>IF(INDEX(machina!$A18:$FB18,MATCH(BP$19&amp;$C$17,machina[#Headers],))=""," ",INDEX(machina!$A18:$FB18,MATCH(BP$19&amp;$C$17,machina[#Headers],)))</f>
        <v xml:space="preserve"> </v>
      </c>
      <c r="BQ35" s="287" t="str">
        <f>IF(INDEX(machina!$A18:$FB18,MATCH(BQ$19&amp;$C$17,machina[#Headers],))=""," ",INDEX(machina!$A18:$FB18,MATCH(BQ$19&amp;$C$17,machina[#Headers],)))</f>
        <v xml:space="preserve"> </v>
      </c>
      <c r="BR35" s="287" t="str">
        <f>IF(INDEX(machina!$A18:$FB18,MATCH(BR$19&amp;$C$17,machina[#Headers],))=""," ",INDEX(machina!$A18:$FB18,MATCH(BR$19&amp;$C$17,machina[#Headers],)))</f>
        <v xml:space="preserve"> </v>
      </c>
      <c r="BS35" s="287" t="str">
        <f>IF(INDEX(machina!$A18:$FB18,MATCH(BS$19&amp;$C$17,machina[#Headers],))=""," ",INDEX(machina!$A18:$FB18,MATCH(BS$19&amp;$C$17,machina[#Headers],)))</f>
        <v xml:space="preserve"> </v>
      </c>
      <c r="BT35" s="287" t="str">
        <f>IF(INDEX(machina!$A18:$FB18,MATCH(BT$19&amp;$C$17,machina[#Headers],))=""," ",INDEX(machina!$A18:$FB18,MATCH(BT$19&amp;$C$17,machina[#Headers],)))</f>
        <v xml:space="preserve"> </v>
      </c>
      <c r="BU35" s="287" t="str">
        <f>IF(INDEX(machina!$A18:$FB18,MATCH(BU$19&amp;$C$17,machina[#Headers],))=""," ",INDEX(machina!$A18:$FB18,MATCH(BU$19&amp;$C$17,machina[#Headers],)))</f>
        <v xml:space="preserve"> </v>
      </c>
      <c r="BV35" s="287" t="str">
        <f>IF(INDEX(machina!$A18:$FB18,MATCH(BV$19&amp;$C$17,machina[#Headers],))=""," ",INDEX(machina!$A18:$FB18,MATCH(BV$19&amp;$C$17,machina[#Headers],)))</f>
        <v xml:space="preserve"> </v>
      </c>
      <c r="BW35" s="287" t="str">
        <f>IF(INDEX(machina!$A18:$FB18,MATCH(BW$19&amp;$C$17,machina[#Headers],))=""," ",INDEX(machina!$A18:$FB18,MATCH(BW$19&amp;$C$17,machina[#Headers],)))</f>
        <v xml:space="preserve"> </v>
      </c>
      <c r="BX35" s="287" t="str">
        <f>IF(INDEX(machina!$A18:$FB18,MATCH(BX$19&amp;$C$17,machina[#Headers],))=""," ",INDEX(machina!$A18:$FB18,MATCH(BX$19&amp;$C$17,machina[#Headers],)))</f>
        <v xml:space="preserve"> </v>
      </c>
      <c r="BY35" s="287" t="str">
        <f>IF(INDEX(machina!$A18:$FB18,MATCH(BY$19&amp;$C$17,machina[#Headers],))=""," ",INDEX(machina!$A18:$FB18,MATCH(BY$19&amp;$C$17,machina[#Headers],)))</f>
        <v xml:space="preserve"> </v>
      </c>
      <c r="BZ35" s="287" t="str">
        <f>IF(INDEX(machina!$A18:$FB18,MATCH(BZ$19&amp;$C$17,machina[#Headers],))=""," ",INDEX(machina!$A18:$FB18,MATCH(BZ$19&amp;$C$17,machina[#Headers],)))</f>
        <v xml:space="preserve"> </v>
      </c>
      <c r="CA35" s="287" t="str">
        <f>IF(INDEX(machina!$A18:$FB18,MATCH(CA$19&amp;$C$17,machina[#Headers],))=""," ",INDEX(machina!$A18:$FB18,MATCH(CA$19&amp;$C$17,machina[#Headers],)))</f>
        <v xml:space="preserve"> </v>
      </c>
      <c r="CB35" s="288" t="str">
        <f>IF(INDEX('Raw Data'!$A18:$EA18,MATCH(CB$19,RawData[#Headers],))=""," ",INDEX('Raw Data'!$A18:$EA18,MATCH(CB$19,RawData[#Headers],)))</f>
        <v xml:space="preserve"> </v>
      </c>
      <c r="CD35" s="299" t="str">
        <f t="shared" si="61"/>
        <v xml:space="preserve"> </v>
      </c>
      <c r="CE35" s="299" t="str">
        <f t="shared" si="42"/>
        <v/>
      </c>
      <c r="CF35" s="299" t="str">
        <f t="shared" si="43"/>
        <v xml:space="preserve"> </v>
      </c>
      <c r="CG35" s="299" t="str">
        <f>IF(CE35=""," ",INDEX($CU$9:$CU$12,MATCH(CF35,analysis[CLUSTER],0)))</f>
        <v xml:space="preserve"> </v>
      </c>
      <c r="CH35" s="299" t="str">
        <f t="shared" si="44"/>
        <v xml:space="preserve"> </v>
      </c>
      <c r="CI35" s="298" t="str">
        <f t="shared" si="45"/>
        <v xml:space="preserve"> </v>
      </c>
      <c r="CJ35" s="326" t="s">
        <v>717</v>
      </c>
      <c r="CK35" s="299">
        <f>ROUND($CK$20+($CK$26*0.5),0)</f>
        <v>5</v>
      </c>
      <c r="CL35" s="298" t="str">
        <f t="shared" si="46"/>
        <v/>
      </c>
      <c r="CM35" s="326"/>
      <c r="CN35" s="326"/>
      <c r="CO35" s="326"/>
      <c r="CP35" s="326"/>
      <c r="CQ35" s="315" t="str">
        <f t="shared" si="38"/>
        <v/>
      </c>
      <c r="CR35" s="333" t="str">
        <f t="shared" si="47"/>
        <v xml:space="preserve"> </v>
      </c>
      <c r="CS35" s="333" t="str">
        <f t="shared" si="48"/>
        <v xml:space="preserve"> </v>
      </c>
      <c r="CT35" s="333" t="str">
        <f t="shared" si="49"/>
        <v xml:space="preserve"> </v>
      </c>
      <c r="CU35" s="333" t="str">
        <f t="shared" si="50"/>
        <v xml:space="preserve"> </v>
      </c>
      <c r="CV35" s="326"/>
      <c r="CW35" s="315" t="str">
        <f t="shared" si="51"/>
        <v/>
      </c>
      <c r="CX35" s="333" t="str">
        <f t="shared" si="52"/>
        <v xml:space="preserve"> </v>
      </c>
      <c r="CY35" s="333" t="str">
        <f t="shared" si="53"/>
        <v xml:space="preserve"> </v>
      </c>
      <c r="CZ35" s="333" t="str">
        <f t="shared" si="53"/>
        <v xml:space="preserve"> </v>
      </c>
      <c r="DA35" s="333" t="str">
        <f t="shared" si="53"/>
        <v xml:space="preserve"> </v>
      </c>
      <c r="DB35" s="326">
        <v>16</v>
      </c>
      <c r="DC35" s="337" t="str">
        <f t="shared" si="54"/>
        <v xml:space="preserve"> </v>
      </c>
      <c r="DD35" s="337" t="str">
        <f t="shared" si="55"/>
        <v xml:space="preserve"> </v>
      </c>
      <c r="DE35" s="337" t="str">
        <f t="shared" si="56"/>
        <v xml:space="preserve"> </v>
      </c>
      <c r="DF35" s="337" t="str">
        <f t="shared" si="57"/>
        <v xml:space="preserve"> </v>
      </c>
      <c r="DG35" s="344" t="str">
        <f t="shared" si="58"/>
        <v xml:space="preserve"> </v>
      </c>
      <c r="DH35" s="337" t="str">
        <f t="shared" si="59"/>
        <v xml:space="preserve"> </v>
      </c>
      <c r="DI35" s="337" t="str">
        <f t="shared" si="41"/>
        <v xml:space="preserve"> </v>
      </c>
      <c r="DJ35" s="337" t="str">
        <f t="shared" si="41"/>
        <v xml:space="preserve"> </v>
      </c>
      <c r="DK35" s="337" t="str">
        <f t="shared" si="41"/>
        <v xml:space="preserve"> </v>
      </c>
      <c r="DL35" s="344" t="str">
        <f t="shared" si="60"/>
        <v xml:space="preserve"> </v>
      </c>
      <c r="DN35" s="292" t="str">
        <f>IFERROR(VLOOKUP($A35,'Raw Data'!$A$3:$EV$32,152,FALSE)," ")</f>
        <v xml:space="preserve"> </v>
      </c>
    </row>
    <row r="36" spans="1:118" x14ac:dyDescent="0.3">
      <c r="A36" s="255">
        <f>'Raw Data'!A19</f>
        <v>0</v>
      </c>
      <c r="B36" s="287" t="str">
        <f>IF(INDEX(machina!$A19:$FB19,MATCH(B$19&amp;$C$17,machina[#Headers],))=""," ",INDEX(machina!$A19:$FB19,MATCH(B$19&amp;$C$17,machina[#Headers],)))</f>
        <v xml:space="preserve"> </v>
      </c>
      <c r="C36" s="287" t="str">
        <f>IF(INDEX(machina!$A19:$FB19,MATCH(C$19&amp;$C$17,machina[#Headers],))=""," ",INDEX(machina!$A19:$FB19,MATCH(C$19&amp;$C$17,machina[#Headers],)))</f>
        <v xml:space="preserve"> </v>
      </c>
      <c r="D36" s="287" t="str">
        <f>IF(INDEX(machina!$A19:$FB19,MATCH(D$19&amp;$C$17,machina[#Headers],))=""," ",INDEX(machina!$A19:$FB19,MATCH(D$19&amp;$C$17,machina[#Headers],)))</f>
        <v xml:space="preserve"> </v>
      </c>
      <c r="E36" s="287" t="str">
        <f>IF(INDEX(machina!$A19:$FB19,MATCH(E$19&amp;$C$17,machina[#Headers],))=""," ",INDEX(machina!$A19:$FB19,MATCH(E$19&amp;$C$17,machina[#Headers],)))</f>
        <v xml:space="preserve"> </v>
      </c>
      <c r="F36" s="287" t="str">
        <f>IF(INDEX(machina!$A19:$FB19,MATCH(F$19&amp;$C$17,machina[#Headers],))=""," ",INDEX(machina!$A19:$FB19,MATCH(F$19&amp;$C$17,machina[#Headers],)))</f>
        <v xml:space="preserve"> </v>
      </c>
      <c r="G36" s="287" t="str">
        <f>IF(INDEX(machina!$A19:$FB19,MATCH(G$19&amp;$C$17,machina[#Headers],))=""," ",INDEX(machina!$A19:$FB19,MATCH(G$19&amp;$C$17,machina[#Headers],)))</f>
        <v xml:space="preserve"> </v>
      </c>
      <c r="H36" s="287" t="str">
        <f>IF(INDEX(machina!$A19:$FB19,MATCH(H$19&amp;$C$17,machina[#Headers],))=""," ",INDEX(machina!$A19:$FB19,MATCH(H$19&amp;$C$17,machina[#Headers],)))</f>
        <v xml:space="preserve"> </v>
      </c>
      <c r="I36" s="287" t="str">
        <f>IF(INDEX(machina!$A19:$FB19,MATCH(I$19&amp;$C$17,machina[#Headers],))=""," ",INDEX(machina!$A19:$FB19,MATCH(I$19&amp;$C$17,machina[#Headers],)))</f>
        <v xml:space="preserve"> </v>
      </c>
      <c r="J36" s="287" t="str">
        <f>IF(INDEX(machina!$A19:$FB19,MATCH(J$19&amp;$C$17,machina[#Headers],))=""," ",INDEX(machina!$A19:$FB19,MATCH(J$19&amp;$C$17,machina[#Headers],)))</f>
        <v xml:space="preserve"> </v>
      </c>
      <c r="K36" s="287" t="str">
        <f>IF(INDEX(machina!$A19:$FB19,MATCH(K$19&amp;$C$17,machina[#Headers],))=""," ",INDEX(machina!$A19:$FB19,MATCH(K$19&amp;$C$17,machina[#Headers],)))</f>
        <v xml:space="preserve"> </v>
      </c>
      <c r="L36" s="287" t="str">
        <f>IF(INDEX(machina!$A19:$FB19,MATCH(L$19&amp;$C$17,machina[#Headers],))=""," ",INDEX(machina!$A19:$FB19,MATCH(L$19&amp;$C$17,machina[#Headers],)))</f>
        <v xml:space="preserve"> </v>
      </c>
      <c r="M36" s="287" t="str">
        <f>IF(INDEX(machina!$A19:$FB19,MATCH(M$19&amp;$C$17,machina[#Headers],))=""," ",INDEX(machina!$A19:$FB19,MATCH(M$19&amp;$C$17,machina[#Headers],)))</f>
        <v xml:space="preserve"> </v>
      </c>
      <c r="N36" s="287" t="str">
        <f>IF(INDEX(machina!$A19:$FB19,MATCH(N$19&amp;$C$17,machina[#Headers],))=""," ",INDEX(machina!$A19:$FB19,MATCH(N$19&amp;$C$17,machina[#Headers],)))</f>
        <v xml:space="preserve"> </v>
      </c>
      <c r="O36" s="287" t="str">
        <f>IF(INDEX(machina!$A19:$FB19,MATCH(O$19&amp;$C$17,machina[#Headers],))=""," ",INDEX(machina!$A19:$FB19,MATCH(O$19&amp;$C$17,machina[#Headers],)))</f>
        <v xml:space="preserve"> </v>
      </c>
      <c r="P36" s="287" t="str">
        <f>IF(INDEX(machina!$A19:$FB19,MATCH(P$19&amp;$C$17,machina[#Headers],))=""," ",INDEX(machina!$A19:$FB19,MATCH(P$19&amp;$C$17,machina[#Headers],)))</f>
        <v xml:space="preserve"> </v>
      </c>
      <c r="Q36" s="287" t="str">
        <f>IF(INDEX(machina!$A19:$FB19,MATCH(Q$19&amp;$C$17,machina[#Headers],))=""," ",INDEX(machina!$A19:$FB19,MATCH(Q$19&amp;$C$17,machina[#Headers],)))</f>
        <v xml:space="preserve"> </v>
      </c>
      <c r="R36" s="287" t="str">
        <f>IF(INDEX(machina!$A19:$FB19,MATCH(R$19&amp;$C$17,machina[#Headers],))=""," ",INDEX(machina!$A19:$FB19,MATCH(R$19&amp;$C$17,machina[#Headers],)))</f>
        <v xml:space="preserve"> </v>
      </c>
      <c r="S36" s="287" t="str">
        <f>IF(INDEX(machina!$A19:$FB19,MATCH(S$19&amp;$C$17,machina[#Headers],))=""," ",INDEX(machina!$A19:$FB19,MATCH(S$19&amp;$C$17,machina[#Headers],)))</f>
        <v xml:space="preserve"> </v>
      </c>
      <c r="T36" s="287" t="str">
        <f>IF(INDEX(machina!$A19:$FB19,MATCH(T$19&amp;$C$17,machina[#Headers],))=""," ",INDEX(machina!$A19:$FB19,MATCH(T$19&amp;$C$17,machina[#Headers],)))</f>
        <v xml:space="preserve"> </v>
      </c>
      <c r="U36" s="287" t="str">
        <f>IF(INDEX(machina!$A19:$FB19,MATCH(U$19&amp;$C$17,machina[#Headers],))=""," ",INDEX(machina!$A19:$FB19,MATCH(U$19&amp;$C$17,machina[#Headers],)))</f>
        <v xml:space="preserve"> </v>
      </c>
      <c r="V36" s="287" t="str">
        <f>IF(INDEX(machina!$A19:$FB19,MATCH(V$19&amp;$C$17,machina[#Headers],))=""," ",INDEX(machina!$A19:$FB19,MATCH(V$19&amp;$C$17,machina[#Headers],)))</f>
        <v xml:space="preserve"> </v>
      </c>
      <c r="W36" s="287" t="str">
        <f>IF(INDEX(machina!$A19:$FB19,MATCH(W$19&amp;$C$17,machina[#Headers],))=""," ",INDEX(machina!$A19:$FB19,MATCH(W$19&amp;$C$17,machina[#Headers],)))</f>
        <v xml:space="preserve"> </v>
      </c>
      <c r="X36" s="287" t="str">
        <f>IF(INDEX(machina!$A19:$FB19,MATCH(X$19&amp;$C$17,machina[#Headers],))=""," ",INDEX(machina!$A19:$FB19,MATCH(X$19&amp;$C$17,machina[#Headers],)))</f>
        <v xml:space="preserve"> </v>
      </c>
      <c r="Y36" s="287" t="str">
        <f>IF(INDEX(machina!$A19:$FB19,MATCH(Y$19&amp;$C$17,machina[#Headers],))=""," ",INDEX(machina!$A19:$FB19,MATCH(Y$19&amp;$C$17,machina[#Headers],)))</f>
        <v xml:space="preserve"> </v>
      </c>
      <c r="Z36" s="287" t="str">
        <f>IF(INDEX(machina!$A19:$FB19,MATCH(Z$19&amp;$C$17,machina[#Headers],))=""," ",INDEX(machina!$A19:$FB19,MATCH(Z$19&amp;$C$17,machina[#Headers],)))</f>
        <v xml:space="preserve"> </v>
      </c>
      <c r="AA36" s="287" t="str">
        <f>IF(INDEX(machina!$A19:$FB19,MATCH(AA$19&amp;$C$17,machina[#Headers],))=""," ",INDEX(machina!$A19:$FB19,MATCH(AA$19&amp;$C$17,machina[#Headers],)))</f>
        <v xml:space="preserve"> </v>
      </c>
      <c r="AB36" s="287" t="str">
        <f>IF(INDEX(machina!$A19:$FB19,MATCH(AB$19&amp;$C$17,machina[#Headers],))=""," ",INDEX(machina!$A19:$FB19,MATCH(AB$19&amp;$C$17,machina[#Headers],)))</f>
        <v xml:space="preserve"> </v>
      </c>
      <c r="AC36" s="287" t="str">
        <f>IF(INDEX(machina!$A19:$FB19,MATCH(AC$19&amp;$C$17,machina[#Headers],))=""," ",INDEX(machina!$A19:$FB19,MATCH(AC$19&amp;$C$17,machina[#Headers],)))</f>
        <v xml:space="preserve"> </v>
      </c>
      <c r="AD36" s="287" t="str">
        <f>IF(INDEX(machina!$A19:$FB19,MATCH(AD$19&amp;$C$17,machina[#Headers],))=""," ",INDEX(machina!$A19:$FB19,MATCH(AD$19&amp;$C$17,machina[#Headers],)))</f>
        <v xml:space="preserve"> </v>
      </c>
      <c r="AE36" s="287" t="str">
        <f>IF(INDEX(machina!$A19:$FB19,MATCH(AE$19&amp;$C$17,machina[#Headers],))=""," ",INDEX(machina!$A19:$FB19,MATCH(AE$19&amp;$C$17,machina[#Headers],)))</f>
        <v xml:space="preserve"> </v>
      </c>
      <c r="AF36" s="287" t="str">
        <f>IF(INDEX(machina!$A19:$FB19,MATCH(AF$19&amp;$C$17,machina[#Headers],))=""," ",INDEX(machina!$A19:$FB19,MATCH(AF$19&amp;$C$17,machina[#Headers],)))</f>
        <v xml:space="preserve"> </v>
      </c>
      <c r="AG36" s="287" t="str">
        <f>IF(INDEX(machina!$A19:$FB19,MATCH(AG$19&amp;$C$17,machina[#Headers],))=""," ",INDEX(machina!$A19:$FB19,MATCH(AG$19&amp;$C$17,machina[#Headers],)))</f>
        <v xml:space="preserve"> </v>
      </c>
      <c r="AH36" s="287" t="str">
        <f>IF(INDEX(machina!$A19:$FB19,MATCH(AH$19&amp;$C$17,machina[#Headers],))=""," ",INDEX(machina!$A19:$FB19,MATCH(AH$19&amp;$C$17,machina[#Headers],)))</f>
        <v xml:space="preserve"> </v>
      </c>
      <c r="AI36" s="287" t="str">
        <f>IF(INDEX(machina!$A19:$FB19,MATCH(AI$19&amp;$C$17,machina[#Headers],))=""," ",INDEX(machina!$A19:$FB19,MATCH(AI$19&amp;$C$17,machina[#Headers],)))</f>
        <v xml:space="preserve"> </v>
      </c>
      <c r="AJ36" s="287" t="str">
        <f>IF(INDEX(machina!$A19:$FB19,MATCH(AJ$19&amp;$C$17,machina[#Headers],))=""," ",INDEX(machina!$A19:$FB19,MATCH(AJ$19&amp;$C$17,machina[#Headers],)))</f>
        <v xml:space="preserve"> </v>
      </c>
      <c r="AK36" s="287" t="str">
        <f>IF(INDEX(machina!$A19:$FB19,MATCH(AK$19&amp;$C$17,machina[#Headers],))=""," ",INDEX(machina!$A19:$FB19,MATCH(AK$19&amp;$C$17,machina[#Headers],)))</f>
        <v xml:space="preserve"> </v>
      </c>
      <c r="AL36" s="287" t="str">
        <f>IF(INDEX(machina!$A19:$FB19,MATCH(AL$19&amp;$C$17,machina[#Headers],))=""," ",INDEX(machina!$A19:$FB19,MATCH(AL$19&amp;$C$17,machina[#Headers],)))</f>
        <v xml:space="preserve"> </v>
      </c>
      <c r="AM36" s="287" t="str">
        <f>IF(INDEX(machina!$A19:$FB19,MATCH(AM$19&amp;$C$17,machina[#Headers],))=""," ",INDEX(machina!$A19:$FB19,MATCH(AM$19&amp;$C$17,machina[#Headers],)))</f>
        <v xml:space="preserve"> </v>
      </c>
      <c r="AN36" s="287" t="str">
        <f>IF(INDEX(machina!$A19:$FB19,MATCH(AN$19&amp;$C$17,machina[#Headers],))=""," ",INDEX(machina!$A19:$FB19,MATCH(AN$19&amp;$C$17,machina[#Headers],)))</f>
        <v xml:space="preserve"> </v>
      </c>
      <c r="AO36" s="287" t="str">
        <f>IF(INDEX(machina!$A19:$FB19,MATCH(AO$19&amp;$C$17,machina[#Headers],))=""," ",INDEX(machina!$A19:$FB19,MATCH(AO$19&amp;$C$17,machina[#Headers],)))</f>
        <v xml:space="preserve"> </v>
      </c>
      <c r="AP36" s="287" t="str">
        <f>IF(INDEX(machina!$A19:$FB19,MATCH(AP$19&amp;$C$17,machina[#Headers],))=""," ",INDEX(machina!$A19:$FB19,MATCH(AP$19&amp;$C$17,machina[#Headers],)))</f>
        <v xml:space="preserve"> </v>
      </c>
      <c r="AQ36" s="287" t="str">
        <f>IF(INDEX(machina!$A19:$FB19,MATCH(AQ$19&amp;$C$17,machina[#Headers],))=""," ",INDEX(machina!$A19:$FB19,MATCH(AQ$19&amp;$C$17,machina[#Headers],)))</f>
        <v xml:space="preserve"> </v>
      </c>
      <c r="AR36" s="287" t="str">
        <f>IF(INDEX(machina!$A19:$FB19,MATCH(AR$19&amp;$C$17,machina[#Headers],))=""," ",INDEX(machina!$A19:$FB19,MATCH(AR$19&amp;$C$17,machina[#Headers],)))</f>
        <v xml:space="preserve"> </v>
      </c>
      <c r="AS36" s="287" t="str">
        <f>IF(INDEX(machina!$A19:$FB19,MATCH(AS$19&amp;$C$17,machina[#Headers],))=""," ",INDEX(machina!$A19:$FB19,MATCH(AS$19&amp;$C$17,machina[#Headers],)))</f>
        <v xml:space="preserve"> </v>
      </c>
      <c r="AT36" s="287" t="str">
        <f>IF(INDEX(machina!$A19:$FB19,MATCH(AT$19&amp;$C$17,machina[#Headers],))=""," ",INDEX(machina!$A19:$FB19,MATCH(AT$19&amp;$C$17,machina[#Headers],)))</f>
        <v xml:space="preserve"> </v>
      </c>
      <c r="AU36" s="287" t="str">
        <f>IF(INDEX(machina!$A19:$FB19,MATCH(AU$19&amp;$C$17,machina[#Headers],))=""," ",INDEX(machina!$A19:$FB19,MATCH(AU$19&amp;$C$17,machina[#Headers],)))</f>
        <v xml:space="preserve"> </v>
      </c>
      <c r="AV36" s="287" t="str">
        <f>IF(INDEX(machina!$A19:$FB19,MATCH(AV$19&amp;$C$17,machina[#Headers],))=""," ",INDEX(machina!$A19:$FB19,MATCH(AV$19&amp;$C$17,machina[#Headers],)))</f>
        <v xml:space="preserve"> </v>
      </c>
      <c r="AW36" s="287" t="str">
        <f>IF(INDEX(machina!$A19:$FB19,MATCH(AW$19&amp;$C$17,machina[#Headers],))=""," ",INDEX(machina!$A19:$FB19,MATCH(AW$19&amp;$C$17,machina[#Headers],)))</f>
        <v xml:space="preserve"> </v>
      </c>
      <c r="AX36" s="287" t="str">
        <f>IF(INDEX(machina!$A19:$FB19,MATCH(AX$19&amp;$C$17,machina[#Headers],))=""," ",INDEX(machina!$A19:$FB19,MATCH(AX$19&amp;$C$17,machina[#Headers],)))</f>
        <v xml:space="preserve"> </v>
      </c>
      <c r="AY36" s="287" t="str">
        <f>IF(INDEX(machina!$A19:$FB19,MATCH(AY$19&amp;$C$17,machina[#Headers],))=""," ",INDEX(machina!$A19:$FB19,MATCH(AY$19&amp;$C$17,machina[#Headers],)))</f>
        <v xml:space="preserve"> </v>
      </c>
      <c r="AZ36" s="287" t="str">
        <f>IF(INDEX(machina!$A19:$FB19,MATCH(AZ$19&amp;$C$17,machina[#Headers],))=""," ",INDEX(machina!$A19:$FB19,MATCH(AZ$19&amp;$C$17,machina[#Headers],)))</f>
        <v xml:space="preserve"> </v>
      </c>
      <c r="BA36" s="287" t="str">
        <f>IF(INDEX(machina!$A19:$FB19,MATCH(BA$19&amp;$C$17,machina[#Headers],))=""," ",INDEX(machina!$A19:$FB19,MATCH(BA$19&amp;$C$17,machina[#Headers],)))</f>
        <v xml:space="preserve"> </v>
      </c>
      <c r="BB36" s="287" t="str">
        <f>IF(INDEX(machina!$A19:$FB19,MATCH(BB$19&amp;$C$17,machina[#Headers],))=""," ",INDEX(machina!$A19:$FB19,MATCH(BB$19&amp;$C$17,machina[#Headers],)))</f>
        <v xml:space="preserve"> </v>
      </c>
      <c r="BC36" s="287" t="str">
        <f>IF(INDEX(machina!$A19:$FB19,MATCH(BC$19&amp;$C$17,machina[#Headers],))=""," ",INDEX(machina!$A19:$FB19,MATCH(BC$19&amp;$C$17,machina[#Headers],)))</f>
        <v xml:space="preserve"> </v>
      </c>
      <c r="BD36" s="287" t="str">
        <f>IF(INDEX(machina!$A19:$FB19,MATCH(BD$19&amp;$C$17,machina[#Headers],))=""," ",INDEX(machina!$A19:$FB19,MATCH(BD$19&amp;$C$17,machina[#Headers],)))</f>
        <v xml:space="preserve"> </v>
      </c>
      <c r="BE36" s="287" t="str">
        <f>IF(INDEX(machina!$A19:$FB19,MATCH(BE$19&amp;$C$17,machina[#Headers],))=""," ",INDEX(machina!$A19:$FB19,MATCH(BE$19&amp;$C$17,machina[#Headers],)))</f>
        <v xml:space="preserve"> </v>
      </c>
      <c r="BF36" s="287" t="str">
        <f>IF(INDEX(machina!$A19:$FB19,MATCH(BF$19&amp;$C$17,machina[#Headers],))=""," ",INDEX(machina!$A19:$FB19,MATCH(BF$19&amp;$C$17,machina[#Headers],)))</f>
        <v xml:space="preserve"> </v>
      </c>
      <c r="BG36" s="287" t="str">
        <f>IF(INDEX(machina!$A19:$FB19,MATCH(BG$19&amp;$C$17,machina[#Headers],))=""," ",INDEX(machina!$A19:$FB19,MATCH(BG$19&amp;$C$17,machina[#Headers],)))</f>
        <v xml:space="preserve"> </v>
      </c>
      <c r="BH36" s="287" t="str">
        <f>IF(INDEX(machina!$A19:$FB19,MATCH(BH$19&amp;$C$17,machina[#Headers],))=""," ",INDEX(machina!$A19:$FB19,MATCH(BH$19&amp;$C$17,machina[#Headers],)))</f>
        <v xml:space="preserve"> </v>
      </c>
      <c r="BI36" s="287" t="str">
        <f>IF(INDEX(machina!$A19:$FB19,MATCH(BI$19&amp;$C$17,machina[#Headers],))=""," ",INDEX(machina!$A19:$FB19,MATCH(BI$19&amp;$C$17,machina[#Headers],)))</f>
        <v xml:space="preserve"> </v>
      </c>
      <c r="BJ36" s="287" t="str">
        <f>IF(INDEX(machina!$A19:$FB19,MATCH(BJ$19&amp;$C$17,machina[#Headers],))=""," ",INDEX(machina!$A19:$FB19,MATCH(BJ$19&amp;$C$17,machina[#Headers],)))</f>
        <v xml:space="preserve"> </v>
      </c>
      <c r="BK36" s="287" t="str">
        <f>IF(INDEX(machina!$A19:$FB19,MATCH(BK$19&amp;$C$17,machina[#Headers],))=""," ",INDEX(machina!$A19:$FB19,MATCH(BK$19&amp;$C$17,machina[#Headers],)))</f>
        <v xml:space="preserve"> </v>
      </c>
      <c r="BL36" s="287" t="str">
        <f>IF(INDEX(machina!$A19:$FB19,MATCH(BL$19&amp;$C$17,machina[#Headers],))=""," ",INDEX(machina!$A19:$FB19,MATCH(BL$19&amp;$C$17,machina[#Headers],)))</f>
        <v xml:space="preserve"> </v>
      </c>
      <c r="BM36" s="287" t="str">
        <f>IF(INDEX(machina!$A19:$FB19,MATCH(BM$19&amp;$C$17,machina[#Headers],))=""," ",INDEX(machina!$A19:$FB19,MATCH(BM$19&amp;$C$17,machina[#Headers],)))</f>
        <v xml:space="preserve"> </v>
      </c>
      <c r="BN36" s="287" t="str">
        <f>IF(INDEX(machina!$A19:$FB19,MATCH(BN$19&amp;$C$17,machina[#Headers],))=""," ",INDEX(machina!$A19:$FB19,MATCH(BN$19&amp;$C$17,machina[#Headers],)))</f>
        <v xml:space="preserve"> </v>
      </c>
      <c r="BO36" s="287" t="str">
        <f>IF(INDEX(machina!$A19:$FB19,MATCH(BO$19&amp;$C$17,machina[#Headers],))=""," ",INDEX(machina!$A19:$FB19,MATCH(BO$19&amp;$C$17,machina[#Headers],)))</f>
        <v xml:space="preserve"> </v>
      </c>
      <c r="BP36" s="287" t="str">
        <f>IF(INDEX(machina!$A19:$FB19,MATCH(BP$19&amp;$C$17,machina[#Headers],))=""," ",INDEX(machina!$A19:$FB19,MATCH(BP$19&amp;$C$17,machina[#Headers],)))</f>
        <v xml:space="preserve"> </v>
      </c>
      <c r="BQ36" s="287" t="str">
        <f>IF(INDEX(machina!$A19:$FB19,MATCH(BQ$19&amp;$C$17,machina[#Headers],))=""," ",INDEX(machina!$A19:$FB19,MATCH(BQ$19&amp;$C$17,machina[#Headers],)))</f>
        <v xml:space="preserve"> </v>
      </c>
      <c r="BR36" s="287" t="str">
        <f>IF(INDEX(machina!$A19:$FB19,MATCH(BR$19&amp;$C$17,machina[#Headers],))=""," ",INDEX(machina!$A19:$FB19,MATCH(BR$19&amp;$C$17,machina[#Headers],)))</f>
        <v xml:space="preserve"> </v>
      </c>
      <c r="BS36" s="287" t="str">
        <f>IF(INDEX(machina!$A19:$FB19,MATCH(BS$19&amp;$C$17,machina[#Headers],))=""," ",INDEX(machina!$A19:$FB19,MATCH(BS$19&amp;$C$17,machina[#Headers],)))</f>
        <v xml:space="preserve"> </v>
      </c>
      <c r="BT36" s="287" t="str">
        <f>IF(INDEX(machina!$A19:$FB19,MATCH(BT$19&amp;$C$17,machina[#Headers],))=""," ",INDEX(machina!$A19:$FB19,MATCH(BT$19&amp;$C$17,machina[#Headers],)))</f>
        <v xml:space="preserve"> </v>
      </c>
      <c r="BU36" s="287" t="str">
        <f>IF(INDEX(machina!$A19:$FB19,MATCH(BU$19&amp;$C$17,machina[#Headers],))=""," ",INDEX(machina!$A19:$FB19,MATCH(BU$19&amp;$C$17,machina[#Headers],)))</f>
        <v xml:space="preserve"> </v>
      </c>
      <c r="BV36" s="287" t="str">
        <f>IF(INDEX(machina!$A19:$FB19,MATCH(BV$19&amp;$C$17,machina[#Headers],))=""," ",INDEX(machina!$A19:$FB19,MATCH(BV$19&amp;$C$17,machina[#Headers],)))</f>
        <v xml:space="preserve"> </v>
      </c>
      <c r="BW36" s="287" t="str">
        <f>IF(INDEX(machina!$A19:$FB19,MATCH(BW$19&amp;$C$17,machina[#Headers],))=""," ",INDEX(machina!$A19:$FB19,MATCH(BW$19&amp;$C$17,machina[#Headers],)))</f>
        <v xml:space="preserve"> </v>
      </c>
      <c r="BX36" s="287" t="str">
        <f>IF(INDEX(machina!$A19:$FB19,MATCH(BX$19&amp;$C$17,machina[#Headers],))=""," ",INDEX(machina!$A19:$FB19,MATCH(BX$19&amp;$C$17,machina[#Headers],)))</f>
        <v xml:space="preserve"> </v>
      </c>
      <c r="BY36" s="287" t="str">
        <f>IF(INDEX(machina!$A19:$FB19,MATCH(BY$19&amp;$C$17,machina[#Headers],))=""," ",INDEX(machina!$A19:$FB19,MATCH(BY$19&amp;$C$17,machina[#Headers],)))</f>
        <v xml:space="preserve"> </v>
      </c>
      <c r="BZ36" s="287" t="str">
        <f>IF(INDEX(machina!$A19:$FB19,MATCH(BZ$19&amp;$C$17,machina[#Headers],))=""," ",INDEX(machina!$A19:$FB19,MATCH(BZ$19&amp;$C$17,machina[#Headers],)))</f>
        <v xml:space="preserve"> </v>
      </c>
      <c r="CA36" s="287" t="str">
        <f>IF(INDEX(machina!$A19:$FB19,MATCH(CA$19&amp;$C$17,machina[#Headers],))=""," ",INDEX(machina!$A19:$FB19,MATCH(CA$19&amp;$C$17,machina[#Headers],)))</f>
        <v xml:space="preserve"> </v>
      </c>
      <c r="CB36" s="288" t="str">
        <f>IF(INDEX('Raw Data'!$A19:$EA19,MATCH(CB$19,RawData[#Headers],))=""," ",INDEX('Raw Data'!$A19:$EA19,MATCH(CB$19,RawData[#Headers],)))</f>
        <v xml:space="preserve"> </v>
      </c>
      <c r="CD36" s="298" t="str">
        <f t="shared" si="61"/>
        <v xml:space="preserve"> </v>
      </c>
      <c r="CE36" s="298" t="str">
        <f t="shared" si="42"/>
        <v/>
      </c>
      <c r="CF36" s="298" t="str">
        <f t="shared" si="43"/>
        <v xml:space="preserve"> </v>
      </c>
      <c r="CG36" s="298" t="str">
        <f>IF(CE36=""," ",INDEX($CU$9:$CU$12,MATCH(CF36,analysis[CLUSTER],0)))</f>
        <v xml:space="preserve"> </v>
      </c>
      <c r="CH36" s="298" t="str">
        <f t="shared" si="44"/>
        <v xml:space="preserve"> </v>
      </c>
      <c r="CI36" s="298" t="str">
        <f t="shared" si="45"/>
        <v xml:space="preserve"> </v>
      </c>
      <c r="CJ36" s="326" t="s">
        <v>718</v>
      </c>
      <c r="CK36" s="299">
        <f>ROUND($CK$20-($CK$26*0.5),0)</f>
        <v>3</v>
      </c>
      <c r="CL36" s="298" t="str">
        <f t="shared" si="46"/>
        <v/>
      </c>
      <c r="CM36" s="326"/>
      <c r="CN36" s="326"/>
      <c r="CO36" s="326"/>
      <c r="CP36" s="326"/>
      <c r="CQ36" s="315" t="str">
        <f t="shared" si="38"/>
        <v/>
      </c>
      <c r="CR36" s="333" t="str">
        <f t="shared" si="47"/>
        <v xml:space="preserve"> </v>
      </c>
      <c r="CS36" s="333" t="str">
        <f t="shared" si="48"/>
        <v xml:space="preserve"> </v>
      </c>
      <c r="CT36" s="333" t="str">
        <f t="shared" si="49"/>
        <v xml:space="preserve"> </v>
      </c>
      <c r="CU36" s="333" t="str">
        <f t="shared" si="50"/>
        <v xml:space="preserve"> </v>
      </c>
      <c r="CV36" s="326"/>
      <c r="CW36" s="315" t="str">
        <f t="shared" si="51"/>
        <v/>
      </c>
      <c r="CX36" s="333" t="str">
        <f t="shared" si="52"/>
        <v xml:space="preserve"> </v>
      </c>
      <c r="CY36" s="333" t="str">
        <f t="shared" si="53"/>
        <v xml:space="preserve"> </v>
      </c>
      <c r="CZ36" s="333" t="str">
        <f t="shared" si="53"/>
        <v xml:space="preserve"> </v>
      </c>
      <c r="DA36" s="333" t="str">
        <f t="shared" si="53"/>
        <v xml:space="preserve"> </v>
      </c>
      <c r="DB36" s="326">
        <v>17</v>
      </c>
      <c r="DC36" s="337" t="str">
        <f t="shared" si="54"/>
        <v xml:space="preserve"> </v>
      </c>
      <c r="DD36" s="337" t="str">
        <f t="shared" si="55"/>
        <v xml:space="preserve"> </v>
      </c>
      <c r="DE36" s="337" t="str">
        <f t="shared" si="56"/>
        <v xml:space="preserve"> </v>
      </c>
      <c r="DF36" s="337" t="str">
        <f t="shared" si="57"/>
        <v xml:space="preserve"> </v>
      </c>
      <c r="DG36" s="344" t="str">
        <f t="shared" si="58"/>
        <v xml:space="preserve"> </v>
      </c>
      <c r="DH36" s="337" t="str">
        <f t="shared" si="59"/>
        <v xml:space="preserve"> </v>
      </c>
      <c r="DI36" s="337" t="str">
        <f t="shared" si="59"/>
        <v xml:space="preserve"> </v>
      </c>
      <c r="DJ36" s="337" t="str">
        <f t="shared" si="59"/>
        <v xml:space="preserve"> </v>
      </c>
      <c r="DK36" s="337" t="str">
        <f t="shared" si="59"/>
        <v xml:space="preserve"> </v>
      </c>
      <c r="DL36" s="344" t="str">
        <f t="shared" si="60"/>
        <v xml:space="preserve"> </v>
      </c>
      <c r="DN36" s="292" t="str">
        <f>IFERROR(VLOOKUP($A36,'Raw Data'!$A$3:$EV$32,152,FALSE)," ")</f>
        <v xml:space="preserve"> </v>
      </c>
    </row>
    <row r="37" spans="1:118" x14ac:dyDescent="0.3">
      <c r="A37" s="255">
        <f>'Raw Data'!A20</f>
        <v>0</v>
      </c>
      <c r="B37" s="287" t="str">
        <f>IF(INDEX(machina!$A20:$FB20,MATCH(B$19&amp;$C$17,machina[#Headers],))=""," ",INDEX(machina!$A20:$FB20,MATCH(B$19&amp;$C$17,machina[#Headers],)))</f>
        <v xml:space="preserve"> </v>
      </c>
      <c r="C37" s="287" t="str">
        <f>IF(INDEX(machina!$A20:$FB20,MATCH(C$19&amp;$C$17,machina[#Headers],))=""," ",INDEX(machina!$A20:$FB20,MATCH(C$19&amp;$C$17,machina[#Headers],)))</f>
        <v xml:space="preserve"> </v>
      </c>
      <c r="D37" s="287" t="str">
        <f>IF(INDEX(machina!$A20:$FB20,MATCH(D$19&amp;$C$17,machina[#Headers],))=""," ",INDEX(machina!$A20:$FB20,MATCH(D$19&amp;$C$17,machina[#Headers],)))</f>
        <v xml:space="preserve"> </v>
      </c>
      <c r="E37" s="287" t="str">
        <f>IF(INDEX(machina!$A20:$FB20,MATCH(E$19&amp;$C$17,machina[#Headers],))=""," ",INDEX(machina!$A20:$FB20,MATCH(E$19&amp;$C$17,machina[#Headers],)))</f>
        <v xml:space="preserve"> </v>
      </c>
      <c r="F37" s="287" t="str">
        <f>IF(INDEX(machina!$A20:$FB20,MATCH(F$19&amp;$C$17,machina[#Headers],))=""," ",INDEX(machina!$A20:$FB20,MATCH(F$19&amp;$C$17,machina[#Headers],)))</f>
        <v xml:space="preserve"> </v>
      </c>
      <c r="G37" s="287" t="str">
        <f>IF(INDEX(machina!$A20:$FB20,MATCH(G$19&amp;$C$17,machina[#Headers],))=""," ",INDEX(machina!$A20:$FB20,MATCH(G$19&amp;$C$17,machina[#Headers],)))</f>
        <v xml:space="preserve"> </v>
      </c>
      <c r="H37" s="287" t="str">
        <f>IF(INDEX(machina!$A20:$FB20,MATCH(H$19&amp;$C$17,machina[#Headers],))=""," ",INDEX(machina!$A20:$FB20,MATCH(H$19&amp;$C$17,machina[#Headers],)))</f>
        <v xml:space="preserve"> </v>
      </c>
      <c r="I37" s="287" t="str">
        <f>IF(INDEX(machina!$A20:$FB20,MATCH(I$19&amp;$C$17,machina[#Headers],))=""," ",INDEX(machina!$A20:$FB20,MATCH(I$19&amp;$C$17,machina[#Headers],)))</f>
        <v xml:space="preserve"> </v>
      </c>
      <c r="J37" s="287" t="str">
        <f>IF(INDEX(machina!$A20:$FB20,MATCH(J$19&amp;$C$17,machina[#Headers],))=""," ",INDEX(machina!$A20:$FB20,MATCH(J$19&amp;$C$17,machina[#Headers],)))</f>
        <v xml:space="preserve"> </v>
      </c>
      <c r="K37" s="287" t="str">
        <f>IF(INDEX(machina!$A20:$FB20,MATCH(K$19&amp;$C$17,machina[#Headers],))=""," ",INDEX(machina!$A20:$FB20,MATCH(K$19&amp;$C$17,machina[#Headers],)))</f>
        <v xml:space="preserve"> </v>
      </c>
      <c r="L37" s="287" t="str">
        <f>IF(INDEX(machina!$A20:$FB20,MATCH(L$19&amp;$C$17,machina[#Headers],))=""," ",INDEX(machina!$A20:$FB20,MATCH(L$19&amp;$C$17,machina[#Headers],)))</f>
        <v xml:space="preserve"> </v>
      </c>
      <c r="M37" s="287" t="str">
        <f>IF(INDEX(machina!$A20:$FB20,MATCH(M$19&amp;$C$17,machina[#Headers],))=""," ",INDEX(machina!$A20:$FB20,MATCH(M$19&amp;$C$17,machina[#Headers],)))</f>
        <v xml:space="preserve"> </v>
      </c>
      <c r="N37" s="287" t="str">
        <f>IF(INDEX(machina!$A20:$FB20,MATCH(N$19&amp;$C$17,machina[#Headers],))=""," ",INDEX(machina!$A20:$FB20,MATCH(N$19&amp;$C$17,machina[#Headers],)))</f>
        <v xml:space="preserve"> </v>
      </c>
      <c r="O37" s="287" t="str">
        <f>IF(INDEX(machina!$A20:$FB20,MATCH(O$19&amp;$C$17,machina[#Headers],))=""," ",INDEX(machina!$A20:$FB20,MATCH(O$19&amp;$C$17,machina[#Headers],)))</f>
        <v xml:space="preserve"> </v>
      </c>
      <c r="P37" s="287" t="str">
        <f>IF(INDEX(machina!$A20:$FB20,MATCH(P$19&amp;$C$17,machina[#Headers],))=""," ",INDEX(machina!$A20:$FB20,MATCH(P$19&amp;$C$17,machina[#Headers],)))</f>
        <v xml:space="preserve"> </v>
      </c>
      <c r="Q37" s="287" t="str">
        <f>IF(INDEX(machina!$A20:$FB20,MATCH(Q$19&amp;$C$17,machina[#Headers],))=""," ",INDEX(machina!$A20:$FB20,MATCH(Q$19&amp;$C$17,machina[#Headers],)))</f>
        <v xml:space="preserve"> </v>
      </c>
      <c r="R37" s="287" t="str">
        <f>IF(INDEX(machina!$A20:$FB20,MATCH(R$19&amp;$C$17,machina[#Headers],))=""," ",INDEX(machina!$A20:$FB20,MATCH(R$19&amp;$C$17,machina[#Headers],)))</f>
        <v xml:space="preserve"> </v>
      </c>
      <c r="S37" s="287" t="str">
        <f>IF(INDEX(machina!$A20:$FB20,MATCH(S$19&amp;$C$17,machina[#Headers],))=""," ",INDEX(machina!$A20:$FB20,MATCH(S$19&amp;$C$17,machina[#Headers],)))</f>
        <v xml:space="preserve"> </v>
      </c>
      <c r="T37" s="287" t="str">
        <f>IF(INDEX(machina!$A20:$FB20,MATCH(T$19&amp;$C$17,machina[#Headers],))=""," ",INDEX(machina!$A20:$FB20,MATCH(T$19&amp;$C$17,machina[#Headers],)))</f>
        <v xml:space="preserve"> </v>
      </c>
      <c r="U37" s="287" t="str">
        <f>IF(INDEX(machina!$A20:$FB20,MATCH(U$19&amp;$C$17,machina[#Headers],))=""," ",INDEX(machina!$A20:$FB20,MATCH(U$19&amp;$C$17,machina[#Headers],)))</f>
        <v xml:space="preserve"> </v>
      </c>
      <c r="V37" s="287" t="str">
        <f>IF(INDEX(machina!$A20:$FB20,MATCH(V$19&amp;$C$17,machina[#Headers],))=""," ",INDEX(machina!$A20:$FB20,MATCH(V$19&amp;$C$17,machina[#Headers],)))</f>
        <v xml:space="preserve"> </v>
      </c>
      <c r="W37" s="287" t="str">
        <f>IF(INDEX(machina!$A20:$FB20,MATCH(W$19&amp;$C$17,machina[#Headers],))=""," ",INDEX(machina!$A20:$FB20,MATCH(W$19&amp;$C$17,machina[#Headers],)))</f>
        <v xml:space="preserve"> </v>
      </c>
      <c r="X37" s="287" t="str">
        <f>IF(INDEX(machina!$A20:$FB20,MATCH(X$19&amp;$C$17,machina[#Headers],))=""," ",INDEX(machina!$A20:$FB20,MATCH(X$19&amp;$C$17,machina[#Headers],)))</f>
        <v xml:space="preserve"> </v>
      </c>
      <c r="Y37" s="287" t="str">
        <f>IF(INDEX(machina!$A20:$FB20,MATCH(Y$19&amp;$C$17,machina[#Headers],))=""," ",INDEX(machina!$A20:$FB20,MATCH(Y$19&amp;$C$17,machina[#Headers],)))</f>
        <v xml:space="preserve"> </v>
      </c>
      <c r="Z37" s="287" t="str">
        <f>IF(INDEX(machina!$A20:$FB20,MATCH(Z$19&amp;$C$17,machina[#Headers],))=""," ",INDEX(machina!$A20:$FB20,MATCH(Z$19&amp;$C$17,machina[#Headers],)))</f>
        <v xml:space="preserve"> </v>
      </c>
      <c r="AA37" s="287" t="str">
        <f>IF(INDEX(machina!$A20:$FB20,MATCH(AA$19&amp;$C$17,machina[#Headers],))=""," ",INDEX(machina!$A20:$FB20,MATCH(AA$19&amp;$C$17,machina[#Headers],)))</f>
        <v xml:space="preserve"> </v>
      </c>
      <c r="AB37" s="287" t="str">
        <f>IF(INDEX(machina!$A20:$FB20,MATCH(AB$19&amp;$C$17,machina[#Headers],))=""," ",INDEX(machina!$A20:$FB20,MATCH(AB$19&amp;$C$17,machina[#Headers],)))</f>
        <v xml:space="preserve"> </v>
      </c>
      <c r="AC37" s="287" t="str">
        <f>IF(INDEX(machina!$A20:$FB20,MATCH(AC$19&amp;$C$17,machina[#Headers],))=""," ",INDEX(machina!$A20:$FB20,MATCH(AC$19&amp;$C$17,machina[#Headers],)))</f>
        <v xml:space="preserve"> </v>
      </c>
      <c r="AD37" s="287" t="str">
        <f>IF(INDEX(machina!$A20:$FB20,MATCH(AD$19&amp;$C$17,machina[#Headers],))=""," ",INDEX(machina!$A20:$FB20,MATCH(AD$19&amp;$C$17,machina[#Headers],)))</f>
        <v xml:space="preserve"> </v>
      </c>
      <c r="AE37" s="287" t="str">
        <f>IF(INDEX(machina!$A20:$FB20,MATCH(AE$19&amp;$C$17,machina[#Headers],))=""," ",INDEX(machina!$A20:$FB20,MATCH(AE$19&amp;$C$17,machina[#Headers],)))</f>
        <v xml:space="preserve"> </v>
      </c>
      <c r="AF37" s="287" t="str">
        <f>IF(INDEX(machina!$A20:$FB20,MATCH(AF$19&amp;$C$17,machina[#Headers],))=""," ",INDEX(machina!$A20:$FB20,MATCH(AF$19&amp;$C$17,machina[#Headers],)))</f>
        <v xml:space="preserve"> </v>
      </c>
      <c r="AG37" s="287" t="str">
        <f>IF(INDEX(machina!$A20:$FB20,MATCH(AG$19&amp;$C$17,machina[#Headers],))=""," ",INDEX(machina!$A20:$FB20,MATCH(AG$19&amp;$C$17,machina[#Headers],)))</f>
        <v xml:space="preserve"> </v>
      </c>
      <c r="AH37" s="287" t="str">
        <f>IF(INDEX(machina!$A20:$FB20,MATCH(AH$19&amp;$C$17,machina[#Headers],))=""," ",INDEX(machina!$A20:$FB20,MATCH(AH$19&amp;$C$17,machina[#Headers],)))</f>
        <v xml:space="preserve"> </v>
      </c>
      <c r="AI37" s="287" t="str">
        <f>IF(INDEX(machina!$A20:$FB20,MATCH(AI$19&amp;$C$17,machina[#Headers],))=""," ",INDEX(machina!$A20:$FB20,MATCH(AI$19&amp;$C$17,machina[#Headers],)))</f>
        <v xml:space="preserve"> </v>
      </c>
      <c r="AJ37" s="287" t="str">
        <f>IF(INDEX(machina!$A20:$FB20,MATCH(AJ$19&amp;$C$17,machina[#Headers],))=""," ",INDEX(machina!$A20:$FB20,MATCH(AJ$19&amp;$C$17,machina[#Headers],)))</f>
        <v xml:space="preserve"> </v>
      </c>
      <c r="AK37" s="287" t="str">
        <f>IF(INDEX(machina!$A20:$FB20,MATCH(AK$19&amp;$C$17,machina[#Headers],))=""," ",INDEX(machina!$A20:$FB20,MATCH(AK$19&amp;$C$17,machina[#Headers],)))</f>
        <v xml:space="preserve"> </v>
      </c>
      <c r="AL37" s="287" t="str">
        <f>IF(INDEX(machina!$A20:$FB20,MATCH(AL$19&amp;$C$17,machina[#Headers],))=""," ",INDEX(machina!$A20:$FB20,MATCH(AL$19&amp;$C$17,machina[#Headers],)))</f>
        <v xml:space="preserve"> </v>
      </c>
      <c r="AM37" s="287" t="str">
        <f>IF(INDEX(machina!$A20:$FB20,MATCH(AM$19&amp;$C$17,machina[#Headers],))=""," ",INDEX(machina!$A20:$FB20,MATCH(AM$19&amp;$C$17,machina[#Headers],)))</f>
        <v xml:space="preserve"> </v>
      </c>
      <c r="AN37" s="287" t="str">
        <f>IF(INDEX(machina!$A20:$FB20,MATCH(AN$19&amp;$C$17,machina[#Headers],))=""," ",INDEX(machina!$A20:$FB20,MATCH(AN$19&amp;$C$17,machina[#Headers],)))</f>
        <v xml:space="preserve"> </v>
      </c>
      <c r="AO37" s="287" t="str">
        <f>IF(INDEX(machina!$A20:$FB20,MATCH(AO$19&amp;$C$17,machina[#Headers],))=""," ",INDEX(machina!$A20:$FB20,MATCH(AO$19&amp;$C$17,machina[#Headers],)))</f>
        <v xml:space="preserve"> </v>
      </c>
      <c r="AP37" s="287" t="str">
        <f>IF(INDEX(machina!$A20:$FB20,MATCH(AP$19&amp;$C$17,machina[#Headers],))=""," ",INDEX(machina!$A20:$FB20,MATCH(AP$19&amp;$C$17,machina[#Headers],)))</f>
        <v xml:space="preserve"> </v>
      </c>
      <c r="AQ37" s="287" t="str">
        <f>IF(INDEX(machina!$A20:$FB20,MATCH(AQ$19&amp;$C$17,machina[#Headers],))=""," ",INDEX(machina!$A20:$FB20,MATCH(AQ$19&amp;$C$17,machina[#Headers],)))</f>
        <v xml:space="preserve"> </v>
      </c>
      <c r="AR37" s="287" t="str">
        <f>IF(INDEX(machina!$A20:$FB20,MATCH(AR$19&amp;$C$17,machina[#Headers],))=""," ",INDEX(machina!$A20:$FB20,MATCH(AR$19&amp;$C$17,machina[#Headers],)))</f>
        <v xml:space="preserve"> </v>
      </c>
      <c r="AS37" s="287" t="str">
        <f>IF(INDEX(machina!$A20:$FB20,MATCH(AS$19&amp;$C$17,machina[#Headers],))=""," ",INDEX(machina!$A20:$FB20,MATCH(AS$19&amp;$C$17,machina[#Headers],)))</f>
        <v xml:space="preserve"> </v>
      </c>
      <c r="AT37" s="287" t="str">
        <f>IF(INDEX(machina!$A20:$FB20,MATCH(AT$19&amp;$C$17,machina[#Headers],))=""," ",INDEX(machina!$A20:$FB20,MATCH(AT$19&amp;$C$17,machina[#Headers],)))</f>
        <v xml:space="preserve"> </v>
      </c>
      <c r="AU37" s="287" t="str">
        <f>IF(INDEX(machina!$A20:$FB20,MATCH(AU$19&amp;$C$17,machina[#Headers],))=""," ",INDEX(machina!$A20:$FB20,MATCH(AU$19&amp;$C$17,machina[#Headers],)))</f>
        <v xml:space="preserve"> </v>
      </c>
      <c r="AV37" s="287" t="str">
        <f>IF(INDEX(machina!$A20:$FB20,MATCH(AV$19&amp;$C$17,machina[#Headers],))=""," ",INDEX(machina!$A20:$FB20,MATCH(AV$19&amp;$C$17,machina[#Headers],)))</f>
        <v xml:space="preserve"> </v>
      </c>
      <c r="AW37" s="287" t="str">
        <f>IF(INDEX(machina!$A20:$FB20,MATCH(AW$19&amp;$C$17,machina[#Headers],))=""," ",INDEX(machina!$A20:$FB20,MATCH(AW$19&amp;$C$17,machina[#Headers],)))</f>
        <v xml:space="preserve"> </v>
      </c>
      <c r="AX37" s="287" t="str">
        <f>IF(INDEX(machina!$A20:$FB20,MATCH(AX$19&amp;$C$17,machina[#Headers],))=""," ",INDEX(machina!$A20:$FB20,MATCH(AX$19&amp;$C$17,machina[#Headers],)))</f>
        <v xml:space="preserve"> </v>
      </c>
      <c r="AY37" s="287" t="str">
        <f>IF(INDEX(machina!$A20:$FB20,MATCH(AY$19&amp;$C$17,machina[#Headers],))=""," ",INDEX(machina!$A20:$FB20,MATCH(AY$19&amp;$C$17,machina[#Headers],)))</f>
        <v xml:space="preserve"> </v>
      </c>
      <c r="AZ37" s="287" t="str">
        <f>IF(INDEX(machina!$A20:$FB20,MATCH(AZ$19&amp;$C$17,machina[#Headers],))=""," ",INDEX(machina!$A20:$FB20,MATCH(AZ$19&amp;$C$17,machina[#Headers],)))</f>
        <v xml:space="preserve"> </v>
      </c>
      <c r="BA37" s="287" t="str">
        <f>IF(INDEX(machina!$A20:$FB20,MATCH(BA$19&amp;$C$17,machina[#Headers],))=""," ",INDEX(machina!$A20:$FB20,MATCH(BA$19&amp;$C$17,machina[#Headers],)))</f>
        <v xml:space="preserve"> </v>
      </c>
      <c r="BB37" s="287" t="str">
        <f>IF(INDEX(machina!$A20:$FB20,MATCH(BB$19&amp;$C$17,machina[#Headers],))=""," ",INDEX(machina!$A20:$FB20,MATCH(BB$19&amp;$C$17,machina[#Headers],)))</f>
        <v xml:space="preserve"> </v>
      </c>
      <c r="BC37" s="287" t="str">
        <f>IF(INDEX(machina!$A20:$FB20,MATCH(BC$19&amp;$C$17,machina[#Headers],))=""," ",INDEX(machina!$A20:$FB20,MATCH(BC$19&amp;$C$17,machina[#Headers],)))</f>
        <v xml:space="preserve"> </v>
      </c>
      <c r="BD37" s="287" t="str">
        <f>IF(INDEX(machina!$A20:$FB20,MATCH(BD$19&amp;$C$17,machina[#Headers],))=""," ",INDEX(machina!$A20:$FB20,MATCH(BD$19&amp;$C$17,machina[#Headers],)))</f>
        <v xml:space="preserve"> </v>
      </c>
      <c r="BE37" s="287" t="str">
        <f>IF(INDEX(machina!$A20:$FB20,MATCH(BE$19&amp;$C$17,machina[#Headers],))=""," ",INDEX(machina!$A20:$FB20,MATCH(BE$19&amp;$C$17,machina[#Headers],)))</f>
        <v xml:space="preserve"> </v>
      </c>
      <c r="BF37" s="287" t="str">
        <f>IF(INDEX(machina!$A20:$FB20,MATCH(BF$19&amp;$C$17,machina[#Headers],))=""," ",INDEX(machina!$A20:$FB20,MATCH(BF$19&amp;$C$17,machina[#Headers],)))</f>
        <v xml:space="preserve"> </v>
      </c>
      <c r="BG37" s="287" t="str">
        <f>IF(INDEX(machina!$A20:$FB20,MATCH(BG$19&amp;$C$17,machina[#Headers],))=""," ",INDEX(machina!$A20:$FB20,MATCH(BG$19&amp;$C$17,machina[#Headers],)))</f>
        <v xml:space="preserve"> </v>
      </c>
      <c r="BH37" s="287" t="str">
        <f>IF(INDEX(machina!$A20:$FB20,MATCH(BH$19&amp;$C$17,machina[#Headers],))=""," ",INDEX(machina!$A20:$FB20,MATCH(BH$19&amp;$C$17,machina[#Headers],)))</f>
        <v xml:space="preserve"> </v>
      </c>
      <c r="BI37" s="287" t="str">
        <f>IF(INDEX(machina!$A20:$FB20,MATCH(BI$19&amp;$C$17,machina[#Headers],))=""," ",INDEX(machina!$A20:$FB20,MATCH(BI$19&amp;$C$17,machina[#Headers],)))</f>
        <v xml:space="preserve"> </v>
      </c>
      <c r="BJ37" s="287" t="str">
        <f>IF(INDEX(machina!$A20:$FB20,MATCH(BJ$19&amp;$C$17,machina[#Headers],))=""," ",INDEX(machina!$A20:$FB20,MATCH(BJ$19&amp;$C$17,machina[#Headers],)))</f>
        <v xml:space="preserve"> </v>
      </c>
      <c r="BK37" s="287" t="str">
        <f>IF(INDEX(machina!$A20:$FB20,MATCH(BK$19&amp;$C$17,machina[#Headers],))=""," ",INDEX(machina!$A20:$FB20,MATCH(BK$19&amp;$C$17,machina[#Headers],)))</f>
        <v xml:space="preserve"> </v>
      </c>
      <c r="BL37" s="287" t="str">
        <f>IF(INDEX(machina!$A20:$FB20,MATCH(BL$19&amp;$C$17,machina[#Headers],))=""," ",INDEX(machina!$A20:$FB20,MATCH(BL$19&amp;$C$17,machina[#Headers],)))</f>
        <v xml:space="preserve"> </v>
      </c>
      <c r="BM37" s="287" t="str">
        <f>IF(INDEX(machina!$A20:$FB20,MATCH(BM$19&amp;$C$17,machina[#Headers],))=""," ",INDEX(machina!$A20:$FB20,MATCH(BM$19&amp;$C$17,machina[#Headers],)))</f>
        <v xml:space="preserve"> </v>
      </c>
      <c r="BN37" s="287" t="str">
        <f>IF(INDEX(machina!$A20:$FB20,MATCH(BN$19&amp;$C$17,machina[#Headers],))=""," ",INDEX(machina!$A20:$FB20,MATCH(BN$19&amp;$C$17,machina[#Headers],)))</f>
        <v xml:space="preserve"> </v>
      </c>
      <c r="BO37" s="287" t="str">
        <f>IF(INDEX(machina!$A20:$FB20,MATCH(BO$19&amp;$C$17,machina[#Headers],))=""," ",INDEX(machina!$A20:$FB20,MATCH(BO$19&amp;$C$17,machina[#Headers],)))</f>
        <v xml:space="preserve"> </v>
      </c>
      <c r="BP37" s="287" t="str">
        <f>IF(INDEX(machina!$A20:$FB20,MATCH(BP$19&amp;$C$17,machina[#Headers],))=""," ",INDEX(machina!$A20:$FB20,MATCH(BP$19&amp;$C$17,machina[#Headers],)))</f>
        <v xml:space="preserve"> </v>
      </c>
      <c r="BQ37" s="287" t="str">
        <f>IF(INDEX(machina!$A20:$FB20,MATCH(BQ$19&amp;$C$17,machina[#Headers],))=""," ",INDEX(machina!$A20:$FB20,MATCH(BQ$19&amp;$C$17,machina[#Headers],)))</f>
        <v xml:space="preserve"> </v>
      </c>
      <c r="BR37" s="287" t="str">
        <f>IF(INDEX(machina!$A20:$FB20,MATCH(BR$19&amp;$C$17,machina[#Headers],))=""," ",INDEX(machina!$A20:$FB20,MATCH(BR$19&amp;$C$17,machina[#Headers],)))</f>
        <v xml:space="preserve"> </v>
      </c>
      <c r="BS37" s="287" t="str">
        <f>IF(INDEX(machina!$A20:$FB20,MATCH(BS$19&amp;$C$17,machina[#Headers],))=""," ",INDEX(machina!$A20:$FB20,MATCH(BS$19&amp;$C$17,machina[#Headers],)))</f>
        <v xml:space="preserve"> </v>
      </c>
      <c r="BT37" s="287" t="str">
        <f>IF(INDEX(machina!$A20:$FB20,MATCH(BT$19&amp;$C$17,machina[#Headers],))=""," ",INDEX(machina!$A20:$FB20,MATCH(BT$19&amp;$C$17,machina[#Headers],)))</f>
        <v xml:space="preserve"> </v>
      </c>
      <c r="BU37" s="287" t="str">
        <f>IF(INDEX(machina!$A20:$FB20,MATCH(BU$19&amp;$C$17,machina[#Headers],))=""," ",INDEX(machina!$A20:$FB20,MATCH(BU$19&amp;$C$17,machina[#Headers],)))</f>
        <v xml:space="preserve"> </v>
      </c>
      <c r="BV37" s="287" t="str">
        <f>IF(INDEX(machina!$A20:$FB20,MATCH(BV$19&amp;$C$17,machina[#Headers],))=""," ",INDEX(machina!$A20:$FB20,MATCH(BV$19&amp;$C$17,machina[#Headers],)))</f>
        <v xml:space="preserve"> </v>
      </c>
      <c r="BW37" s="287" t="str">
        <f>IF(INDEX(machina!$A20:$FB20,MATCH(BW$19&amp;$C$17,machina[#Headers],))=""," ",INDEX(machina!$A20:$FB20,MATCH(BW$19&amp;$C$17,machina[#Headers],)))</f>
        <v xml:space="preserve"> </v>
      </c>
      <c r="BX37" s="287" t="str">
        <f>IF(INDEX(machina!$A20:$FB20,MATCH(BX$19&amp;$C$17,machina[#Headers],))=""," ",INDEX(machina!$A20:$FB20,MATCH(BX$19&amp;$C$17,machina[#Headers],)))</f>
        <v xml:space="preserve"> </v>
      </c>
      <c r="BY37" s="287" t="str">
        <f>IF(INDEX(machina!$A20:$FB20,MATCH(BY$19&amp;$C$17,machina[#Headers],))=""," ",INDEX(machina!$A20:$FB20,MATCH(BY$19&amp;$C$17,machina[#Headers],)))</f>
        <v xml:space="preserve"> </v>
      </c>
      <c r="BZ37" s="287" t="str">
        <f>IF(INDEX(machina!$A20:$FB20,MATCH(BZ$19&amp;$C$17,machina[#Headers],))=""," ",INDEX(machina!$A20:$FB20,MATCH(BZ$19&amp;$C$17,machina[#Headers],)))</f>
        <v xml:space="preserve"> </v>
      </c>
      <c r="CA37" s="287" t="str">
        <f>IF(INDEX(machina!$A20:$FB20,MATCH(CA$19&amp;$C$17,machina[#Headers],))=""," ",INDEX(machina!$A20:$FB20,MATCH(CA$19&amp;$C$17,machina[#Headers],)))</f>
        <v xml:space="preserve"> </v>
      </c>
      <c r="CB37" s="288" t="str">
        <f>IF(INDEX('Raw Data'!$A20:$EA20,MATCH(CB$19,RawData[#Headers],))=""," ",INDEX('Raw Data'!$A20:$EA20,MATCH(CB$19,RawData[#Headers],)))</f>
        <v xml:space="preserve"> </v>
      </c>
      <c r="CD37" s="299" t="str">
        <f t="shared" si="61"/>
        <v xml:space="preserve"> </v>
      </c>
      <c r="CE37" s="299" t="str">
        <f t="shared" si="42"/>
        <v/>
      </c>
      <c r="CF37" s="299" t="str">
        <f t="shared" si="43"/>
        <v xml:space="preserve"> </v>
      </c>
      <c r="CG37" s="299" t="str">
        <f>IF(CE37=""," ",INDEX($CU$9:$CU$12,MATCH(CF37,analysis[CLUSTER],0)))</f>
        <v xml:space="preserve"> </v>
      </c>
      <c r="CH37" s="299" t="str">
        <f t="shared" si="44"/>
        <v xml:space="preserve"> </v>
      </c>
      <c r="CI37" s="298" t="str">
        <f t="shared" si="45"/>
        <v xml:space="preserve"> </v>
      </c>
      <c r="CJ37" s="274"/>
      <c r="CK37" s="298"/>
      <c r="CL37" s="298" t="str">
        <f t="shared" si="46"/>
        <v/>
      </c>
      <c r="CM37" s="326"/>
      <c r="CN37" s="326"/>
      <c r="CO37" s="326"/>
      <c r="CP37" s="326"/>
      <c r="CQ37" s="315" t="str">
        <f t="shared" si="38"/>
        <v/>
      </c>
      <c r="CR37" s="333" t="str">
        <f t="shared" si="47"/>
        <v xml:space="preserve"> </v>
      </c>
      <c r="CS37" s="333" t="str">
        <f t="shared" si="48"/>
        <v xml:space="preserve"> </v>
      </c>
      <c r="CT37" s="333" t="str">
        <f t="shared" si="49"/>
        <v xml:space="preserve"> </v>
      </c>
      <c r="CU37" s="333" t="str">
        <f t="shared" si="50"/>
        <v xml:space="preserve"> </v>
      </c>
      <c r="CV37" s="326"/>
      <c r="CW37" s="315" t="str">
        <f t="shared" si="51"/>
        <v/>
      </c>
      <c r="CX37" s="333" t="str">
        <f t="shared" si="52"/>
        <v xml:space="preserve"> </v>
      </c>
      <c r="CY37" s="333" t="str">
        <f t="shared" ref="CY37:DA45" si="62">IF(AND($CH37&gt;CX$19,$CH37&lt;=CY$19),$CH37," ")</f>
        <v xml:space="preserve"> </v>
      </c>
      <c r="CZ37" s="333" t="str">
        <f t="shared" si="62"/>
        <v xml:space="preserve"> </v>
      </c>
      <c r="DA37" s="333" t="str">
        <f t="shared" si="62"/>
        <v xml:space="preserve"> </v>
      </c>
      <c r="DB37" s="326">
        <v>18</v>
      </c>
      <c r="DC37" s="337" t="str">
        <f t="shared" si="54"/>
        <v xml:space="preserve"> </v>
      </c>
      <c r="DD37" s="337" t="str">
        <f t="shared" si="55"/>
        <v xml:space="preserve"> </v>
      </c>
      <c r="DE37" s="337" t="str">
        <f t="shared" si="56"/>
        <v xml:space="preserve"> </v>
      </c>
      <c r="DF37" s="337" t="str">
        <f t="shared" si="57"/>
        <v xml:space="preserve"> </v>
      </c>
      <c r="DG37" s="344" t="str">
        <f t="shared" si="58"/>
        <v xml:space="preserve"> </v>
      </c>
      <c r="DH37" s="337" t="str">
        <f t="shared" si="59"/>
        <v xml:space="preserve"> </v>
      </c>
      <c r="DI37" s="337" t="str">
        <f t="shared" si="59"/>
        <v xml:space="preserve"> </v>
      </c>
      <c r="DJ37" s="337" t="str">
        <f t="shared" si="59"/>
        <v xml:space="preserve"> </v>
      </c>
      <c r="DK37" s="337" t="str">
        <f t="shared" si="59"/>
        <v xml:space="preserve"> </v>
      </c>
      <c r="DL37" s="344" t="str">
        <f t="shared" si="60"/>
        <v xml:space="preserve"> </v>
      </c>
      <c r="DN37" s="292" t="str">
        <f>IFERROR(VLOOKUP($A37,'Raw Data'!$A$3:$EV$32,152,FALSE)," ")</f>
        <v xml:space="preserve"> </v>
      </c>
    </row>
    <row r="38" spans="1:118" x14ac:dyDescent="0.3">
      <c r="A38" s="255">
        <f>'Raw Data'!A21</f>
        <v>0</v>
      </c>
      <c r="B38" s="287" t="str">
        <f>IF(INDEX(machina!$A21:$FB21,MATCH(B$19&amp;$C$17,machina[#Headers],))=""," ",INDEX(machina!$A21:$FB21,MATCH(B$19&amp;$C$17,machina[#Headers],)))</f>
        <v xml:space="preserve"> </v>
      </c>
      <c r="C38" s="287" t="str">
        <f>IF(INDEX(machina!$A21:$FB21,MATCH(C$19&amp;$C$17,machina[#Headers],))=""," ",INDEX(machina!$A21:$FB21,MATCH(C$19&amp;$C$17,machina[#Headers],)))</f>
        <v xml:space="preserve"> </v>
      </c>
      <c r="D38" s="287" t="str">
        <f>IF(INDEX(machina!$A21:$FB21,MATCH(D$19&amp;$C$17,machina[#Headers],))=""," ",INDEX(machina!$A21:$FB21,MATCH(D$19&amp;$C$17,machina[#Headers],)))</f>
        <v xml:space="preserve"> </v>
      </c>
      <c r="E38" s="287" t="str">
        <f>IF(INDEX(machina!$A21:$FB21,MATCH(E$19&amp;$C$17,machina[#Headers],))=""," ",INDEX(machina!$A21:$FB21,MATCH(E$19&amp;$C$17,machina[#Headers],)))</f>
        <v xml:space="preserve"> </v>
      </c>
      <c r="F38" s="287" t="str">
        <f>IF(INDEX(machina!$A21:$FB21,MATCH(F$19&amp;$C$17,machina[#Headers],))=""," ",INDEX(machina!$A21:$FB21,MATCH(F$19&amp;$C$17,machina[#Headers],)))</f>
        <v xml:space="preserve"> </v>
      </c>
      <c r="G38" s="287" t="str">
        <f>IF(INDEX(machina!$A21:$FB21,MATCH(G$19&amp;$C$17,machina[#Headers],))=""," ",INDEX(machina!$A21:$FB21,MATCH(G$19&amp;$C$17,machina[#Headers],)))</f>
        <v xml:space="preserve"> </v>
      </c>
      <c r="H38" s="287" t="str">
        <f>IF(INDEX(machina!$A21:$FB21,MATCH(H$19&amp;$C$17,machina[#Headers],))=""," ",INDEX(machina!$A21:$FB21,MATCH(H$19&amp;$C$17,machina[#Headers],)))</f>
        <v xml:space="preserve"> </v>
      </c>
      <c r="I38" s="287" t="str">
        <f>IF(INDEX(machina!$A21:$FB21,MATCH(I$19&amp;$C$17,machina[#Headers],))=""," ",INDEX(machina!$A21:$FB21,MATCH(I$19&amp;$C$17,machina[#Headers],)))</f>
        <v xml:space="preserve"> </v>
      </c>
      <c r="J38" s="287" t="str">
        <f>IF(INDEX(machina!$A21:$FB21,MATCH(J$19&amp;$C$17,machina[#Headers],))=""," ",INDEX(machina!$A21:$FB21,MATCH(J$19&amp;$C$17,machina[#Headers],)))</f>
        <v xml:space="preserve"> </v>
      </c>
      <c r="K38" s="287" t="str">
        <f>IF(INDEX(machina!$A21:$FB21,MATCH(K$19&amp;$C$17,machina[#Headers],))=""," ",INDEX(machina!$A21:$FB21,MATCH(K$19&amp;$C$17,machina[#Headers],)))</f>
        <v xml:space="preserve"> </v>
      </c>
      <c r="L38" s="287" t="str">
        <f>IF(INDEX(machina!$A21:$FB21,MATCH(L$19&amp;$C$17,machina[#Headers],))=""," ",INDEX(machina!$A21:$FB21,MATCH(L$19&amp;$C$17,machina[#Headers],)))</f>
        <v xml:space="preserve"> </v>
      </c>
      <c r="M38" s="287" t="str">
        <f>IF(INDEX(machina!$A21:$FB21,MATCH(M$19&amp;$C$17,machina[#Headers],))=""," ",INDEX(machina!$A21:$FB21,MATCH(M$19&amp;$C$17,machina[#Headers],)))</f>
        <v xml:space="preserve"> </v>
      </c>
      <c r="N38" s="287" t="str">
        <f>IF(INDEX(machina!$A21:$FB21,MATCH(N$19&amp;$C$17,machina[#Headers],))=""," ",INDEX(machina!$A21:$FB21,MATCH(N$19&amp;$C$17,machina[#Headers],)))</f>
        <v xml:space="preserve"> </v>
      </c>
      <c r="O38" s="287" t="str">
        <f>IF(INDEX(machina!$A21:$FB21,MATCH(O$19&amp;$C$17,machina[#Headers],))=""," ",INDEX(machina!$A21:$FB21,MATCH(O$19&amp;$C$17,machina[#Headers],)))</f>
        <v xml:space="preserve"> </v>
      </c>
      <c r="P38" s="287" t="str">
        <f>IF(INDEX(machina!$A21:$FB21,MATCH(P$19&amp;$C$17,machina[#Headers],))=""," ",INDEX(machina!$A21:$FB21,MATCH(P$19&amp;$C$17,machina[#Headers],)))</f>
        <v xml:space="preserve"> </v>
      </c>
      <c r="Q38" s="287" t="str">
        <f>IF(INDEX(machina!$A21:$FB21,MATCH(Q$19&amp;$C$17,machina[#Headers],))=""," ",INDEX(machina!$A21:$FB21,MATCH(Q$19&amp;$C$17,machina[#Headers],)))</f>
        <v xml:space="preserve"> </v>
      </c>
      <c r="R38" s="287" t="str">
        <f>IF(INDEX(machina!$A21:$FB21,MATCH(R$19&amp;$C$17,machina[#Headers],))=""," ",INDEX(machina!$A21:$FB21,MATCH(R$19&amp;$C$17,machina[#Headers],)))</f>
        <v xml:space="preserve"> </v>
      </c>
      <c r="S38" s="287" t="str">
        <f>IF(INDEX(machina!$A21:$FB21,MATCH(S$19&amp;$C$17,machina[#Headers],))=""," ",INDEX(machina!$A21:$FB21,MATCH(S$19&amp;$C$17,machina[#Headers],)))</f>
        <v xml:space="preserve"> </v>
      </c>
      <c r="T38" s="287" t="str">
        <f>IF(INDEX(machina!$A21:$FB21,MATCH(T$19&amp;$C$17,machina[#Headers],))=""," ",INDEX(machina!$A21:$FB21,MATCH(T$19&amp;$C$17,machina[#Headers],)))</f>
        <v xml:space="preserve"> </v>
      </c>
      <c r="U38" s="287" t="str">
        <f>IF(INDEX(machina!$A21:$FB21,MATCH(U$19&amp;$C$17,machina[#Headers],))=""," ",INDEX(machina!$A21:$FB21,MATCH(U$19&amp;$C$17,machina[#Headers],)))</f>
        <v xml:space="preserve"> </v>
      </c>
      <c r="V38" s="287" t="str">
        <f>IF(INDEX(machina!$A21:$FB21,MATCH(V$19&amp;$C$17,machina[#Headers],))=""," ",INDEX(machina!$A21:$FB21,MATCH(V$19&amp;$C$17,machina[#Headers],)))</f>
        <v xml:space="preserve"> </v>
      </c>
      <c r="W38" s="287" t="str">
        <f>IF(INDEX(machina!$A21:$FB21,MATCH(W$19&amp;$C$17,machina[#Headers],))=""," ",INDEX(machina!$A21:$FB21,MATCH(W$19&amp;$C$17,machina[#Headers],)))</f>
        <v xml:space="preserve"> </v>
      </c>
      <c r="X38" s="287" t="str">
        <f>IF(INDEX(machina!$A21:$FB21,MATCH(X$19&amp;$C$17,machina[#Headers],))=""," ",INDEX(machina!$A21:$FB21,MATCH(X$19&amp;$C$17,machina[#Headers],)))</f>
        <v xml:space="preserve"> </v>
      </c>
      <c r="Y38" s="287" t="str">
        <f>IF(INDEX(machina!$A21:$FB21,MATCH(Y$19&amp;$C$17,machina[#Headers],))=""," ",INDEX(machina!$A21:$FB21,MATCH(Y$19&amp;$C$17,machina[#Headers],)))</f>
        <v xml:space="preserve"> </v>
      </c>
      <c r="Z38" s="287" t="str">
        <f>IF(INDEX(machina!$A21:$FB21,MATCH(Z$19&amp;$C$17,machina[#Headers],))=""," ",INDEX(machina!$A21:$FB21,MATCH(Z$19&amp;$C$17,machina[#Headers],)))</f>
        <v xml:space="preserve"> </v>
      </c>
      <c r="AA38" s="287" t="str">
        <f>IF(INDEX(machina!$A21:$FB21,MATCH(AA$19&amp;$C$17,machina[#Headers],))=""," ",INDEX(machina!$A21:$FB21,MATCH(AA$19&amp;$C$17,machina[#Headers],)))</f>
        <v xml:space="preserve"> </v>
      </c>
      <c r="AB38" s="287" t="str">
        <f>IF(INDEX(machina!$A21:$FB21,MATCH(AB$19&amp;$C$17,machina[#Headers],))=""," ",INDEX(machina!$A21:$FB21,MATCH(AB$19&amp;$C$17,machina[#Headers],)))</f>
        <v xml:space="preserve"> </v>
      </c>
      <c r="AC38" s="287" t="str">
        <f>IF(INDEX(machina!$A21:$FB21,MATCH(AC$19&amp;$C$17,machina[#Headers],))=""," ",INDEX(machina!$A21:$FB21,MATCH(AC$19&amp;$C$17,machina[#Headers],)))</f>
        <v xml:space="preserve"> </v>
      </c>
      <c r="AD38" s="287" t="str">
        <f>IF(INDEX(machina!$A21:$FB21,MATCH(AD$19&amp;$C$17,machina[#Headers],))=""," ",INDEX(machina!$A21:$FB21,MATCH(AD$19&amp;$C$17,machina[#Headers],)))</f>
        <v xml:space="preserve"> </v>
      </c>
      <c r="AE38" s="287" t="str">
        <f>IF(INDEX(machina!$A21:$FB21,MATCH(AE$19&amp;$C$17,machina[#Headers],))=""," ",INDEX(machina!$A21:$FB21,MATCH(AE$19&amp;$C$17,machina[#Headers],)))</f>
        <v xml:space="preserve"> </v>
      </c>
      <c r="AF38" s="287" t="str">
        <f>IF(INDEX(machina!$A21:$FB21,MATCH(AF$19&amp;$C$17,machina[#Headers],))=""," ",INDEX(machina!$A21:$FB21,MATCH(AF$19&amp;$C$17,machina[#Headers],)))</f>
        <v xml:space="preserve"> </v>
      </c>
      <c r="AG38" s="287" t="str">
        <f>IF(INDEX(machina!$A21:$FB21,MATCH(AG$19&amp;$C$17,machina[#Headers],))=""," ",INDEX(machina!$A21:$FB21,MATCH(AG$19&amp;$C$17,machina[#Headers],)))</f>
        <v xml:space="preserve"> </v>
      </c>
      <c r="AH38" s="287" t="str">
        <f>IF(INDEX(machina!$A21:$FB21,MATCH(AH$19&amp;$C$17,machina[#Headers],))=""," ",INDEX(machina!$A21:$FB21,MATCH(AH$19&amp;$C$17,machina[#Headers],)))</f>
        <v xml:space="preserve"> </v>
      </c>
      <c r="AI38" s="287" t="str">
        <f>IF(INDEX(machina!$A21:$FB21,MATCH(AI$19&amp;$C$17,machina[#Headers],))=""," ",INDEX(machina!$A21:$FB21,MATCH(AI$19&amp;$C$17,machina[#Headers],)))</f>
        <v xml:space="preserve"> </v>
      </c>
      <c r="AJ38" s="287" t="str">
        <f>IF(INDEX(machina!$A21:$FB21,MATCH(AJ$19&amp;$C$17,machina[#Headers],))=""," ",INDEX(machina!$A21:$FB21,MATCH(AJ$19&amp;$C$17,machina[#Headers],)))</f>
        <v xml:space="preserve"> </v>
      </c>
      <c r="AK38" s="287" t="str">
        <f>IF(INDEX(machina!$A21:$FB21,MATCH(AK$19&amp;$C$17,machina[#Headers],))=""," ",INDEX(machina!$A21:$FB21,MATCH(AK$19&amp;$C$17,machina[#Headers],)))</f>
        <v xml:space="preserve"> </v>
      </c>
      <c r="AL38" s="287" t="str">
        <f>IF(INDEX(machina!$A21:$FB21,MATCH(AL$19&amp;$C$17,machina[#Headers],))=""," ",INDEX(machina!$A21:$FB21,MATCH(AL$19&amp;$C$17,machina[#Headers],)))</f>
        <v xml:space="preserve"> </v>
      </c>
      <c r="AM38" s="287" t="str">
        <f>IF(INDEX(machina!$A21:$FB21,MATCH(AM$19&amp;$C$17,machina[#Headers],))=""," ",INDEX(machina!$A21:$FB21,MATCH(AM$19&amp;$C$17,machina[#Headers],)))</f>
        <v xml:space="preserve"> </v>
      </c>
      <c r="AN38" s="287" t="str">
        <f>IF(INDEX(machina!$A21:$FB21,MATCH(AN$19&amp;$C$17,machina[#Headers],))=""," ",INDEX(machina!$A21:$FB21,MATCH(AN$19&amp;$C$17,machina[#Headers],)))</f>
        <v xml:space="preserve"> </v>
      </c>
      <c r="AO38" s="287" t="str">
        <f>IF(INDEX(machina!$A21:$FB21,MATCH(AO$19&amp;$C$17,machina[#Headers],))=""," ",INDEX(machina!$A21:$FB21,MATCH(AO$19&amp;$C$17,machina[#Headers],)))</f>
        <v xml:space="preserve"> </v>
      </c>
      <c r="AP38" s="287" t="str">
        <f>IF(INDEX(machina!$A21:$FB21,MATCH(AP$19&amp;$C$17,machina[#Headers],))=""," ",INDEX(machina!$A21:$FB21,MATCH(AP$19&amp;$C$17,machina[#Headers],)))</f>
        <v xml:space="preserve"> </v>
      </c>
      <c r="AQ38" s="287" t="str">
        <f>IF(INDEX(machina!$A21:$FB21,MATCH(AQ$19&amp;$C$17,machina[#Headers],))=""," ",INDEX(machina!$A21:$FB21,MATCH(AQ$19&amp;$C$17,machina[#Headers],)))</f>
        <v xml:space="preserve"> </v>
      </c>
      <c r="AR38" s="287" t="str">
        <f>IF(INDEX(machina!$A21:$FB21,MATCH(AR$19&amp;$C$17,machina[#Headers],))=""," ",INDEX(machina!$A21:$FB21,MATCH(AR$19&amp;$C$17,machina[#Headers],)))</f>
        <v xml:space="preserve"> </v>
      </c>
      <c r="AS38" s="287" t="str">
        <f>IF(INDEX(machina!$A21:$FB21,MATCH(AS$19&amp;$C$17,machina[#Headers],))=""," ",INDEX(machina!$A21:$FB21,MATCH(AS$19&amp;$C$17,machina[#Headers],)))</f>
        <v xml:space="preserve"> </v>
      </c>
      <c r="AT38" s="287" t="str">
        <f>IF(INDEX(machina!$A21:$FB21,MATCH(AT$19&amp;$C$17,machina[#Headers],))=""," ",INDEX(machina!$A21:$FB21,MATCH(AT$19&amp;$C$17,machina[#Headers],)))</f>
        <v xml:space="preserve"> </v>
      </c>
      <c r="AU38" s="287" t="str">
        <f>IF(INDEX(machina!$A21:$FB21,MATCH(AU$19&amp;$C$17,machina[#Headers],))=""," ",INDEX(machina!$A21:$FB21,MATCH(AU$19&amp;$C$17,machina[#Headers],)))</f>
        <v xml:space="preserve"> </v>
      </c>
      <c r="AV38" s="287" t="str">
        <f>IF(INDEX(machina!$A21:$FB21,MATCH(AV$19&amp;$C$17,machina[#Headers],))=""," ",INDEX(machina!$A21:$FB21,MATCH(AV$19&amp;$C$17,machina[#Headers],)))</f>
        <v xml:space="preserve"> </v>
      </c>
      <c r="AW38" s="287" t="str">
        <f>IF(INDEX(machina!$A21:$FB21,MATCH(AW$19&amp;$C$17,machina[#Headers],))=""," ",INDEX(machina!$A21:$FB21,MATCH(AW$19&amp;$C$17,machina[#Headers],)))</f>
        <v xml:space="preserve"> </v>
      </c>
      <c r="AX38" s="287" t="str">
        <f>IF(INDEX(machina!$A21:$FB21,MATCH(AX$19&amp;$C$17,machina[#Headers],))=""," ",INDEX(machina!$A21:$FB21,MATCH(AX$19&amp;$C$17,machina[#Headers],)))</f>
        <v xml:space="preserve"> </v>
      </c>
      <c r="AY38" s="287" t="str">
        <f>IF(INDEX(machina!$A21:$FB21,MATCH(AY$19&amp;$C$17,machina[#Headers],))=""," ",INDEX(machina!$A21:$FB21,MATCH(AY$19&amp;$C$17,machina[#Headers],)))</f>
        <v xml:space="preserve"> </v>
      </c>
      <c r="AZ38" s="287" t="str">
        <f>IF(INDEX(machina!$A21:$FB21,MATCH(AZ$19&amp;$C$17,machina[#Headers],))=""," ",INDEX(machina!$A21:$FB21,MATCH(AZ$19&amp;$C$17,machina[#Headers],)))</f>
        <v xml:space="preserve"> </v>
      </c>
      <c r="BA38" s="287" t="str">
        <f>IF(INDEX(machina!$A21:$FB21,MATCH(BA$19&amp;$C$17,machina[#Headers],))=""," ",INDEX(machina!$A21:$FB21,MATCH(BA$19&amp;$C$17,machina[#Headers],)))</f>
        <v xml:space="preserve"> </v>
      </c>
      <c r="BB38" s="287" t="str">
        <f>IF(INDEX(machina!$A21:$FB21,MATCH(BB$19&amp;$C$17,machina[#Headers],))=""," ",INDEX(machina!$A21:$FB21,MATCH(BB$19&amp;$C$17,machina[#Headers],)))</f>
        <v xml:space="preserve"> </v>
      </c>
      <c r="BC38" s="287" t="str">
        <f>IF(INDEX(machina!$A21:$FB21,MATCH(BC$19&amp;$C$17,machina[#Headers],))=""," ",INDEX(machina!$A21:$FB21,MATCH(BC$19&amp;$C$17,machina[#Headers],)))</f>
        <v xml:space="preserve"> </v>
      </c>
      <c r="BD38" s="287" t="str">
        <f>IF(INDEX(machina!$A21:$FB21,MATCH(BD$19&amp;$C$17,machina[#Headers],))=""," ",INDEX(machina!$A21:$FB21,MATCH(BD$19&amp;$C$17,machina[#Headers],)))</f>
        <v xml:space="preserve"> </v>
      </c>
      <c r="BE38" s="287" t="str">
        <f>IF(INDEX(machina!$A21:$FB21,MATCH(BE$19&amp;$C$17,machina[#Headers],))=""," ",INDEX(machina!$A21:$FB21,MATCH(BE$19&amp;$C$17,machina[#Headers],)))</f>
        <v xml:space="preserve"> </v>
      </c>
      <c r="BF38" s="287" t="str">
        <f>IF(INDEX(machina!$A21:$FB21,MATCH(BF$19&amp;$C$17,machina[#Headers],))=""," ",INDEX(machina!$A21:$FB21,MATCH(BF$19&amp;$C$17,machina[#Headers],)))</f>
        <v xml:space="preserve"> </v>
      </c>
      <c r="BG38" s="287" t="str">
        <f>IF(INDEX(machina!$A21:$FB21,MATCH(BG$19&amp;$C$17,machina[#Headers],))=""," ",INDEX(machina!$A21:$FB21,MATCH(BG$19&amp;$C$17,machina[#Headers],)))</f>
        <v xml:space="preserve"> </v>
      </c>
      <c r="BH38" s="287" t="str">
        <f>IF(INDEX(machina!$A21:$FB21,MATCH(BH$19&amp;$C$17,machina[#Headers],))=""," ",INDEX(machina!$A21:$FB21,MATCH(BH$19&amp;$C$17,machina[#Headers],)))</f>
        <v xml:space="preserve"> </v>
      </c>
      <c r="BI38" s="287" t="str">
        <f>IF(INDEX(machina!$A21:$FB21,MATCH(BI$19&amp;$C$17,machina[#Headers],))=""," ",INDEX(machina!$A21:$FB21,MATCH(BI$19&amp;$C$17,machina[#Headers],)))</f>
        <v xml:space="preserve"> </v>
      </c>
      <c r="BJ38" s="287" t="str">
        <f>IF(INDEX(machina!$A21:$FB21,MATCH(BJ$19&amp;$C$17,machina[#Headers],))=""," ",INDEX(machina!$A21:$FB21,MATCH(BJ$19&amp;$C$17,machina[#Headers],)))</f>
        <v xml:space="preserve"> </v>
      </c>
      <c r="BK38" s="287" t="str">
        <f>IF(INDEX(machina!$A21:$FB21,MATCH(BK$19&amp;$C$17,machina[#Headers],))=""," ",INDEX(machina!$A21:$FB21,MATCH(BK$19&amp;$C$17,machina[#Headers],)))</f>
        <v xml:space="preserve"> </v>
      </c>
      <c r="BL38" s="287" t="str">
        <f>IF(INDEX(machina!$A21:$FB21,MATCH(BL$19&amp;$C$17,machina[#Headers],))=""," ",INDEX(machina!$A21:$FB21,MATCH(BL$19&amp;$C$17,machina[#Headers],)))</f>
        <v xml:space="preserve"> </v>
      </c>
      <c r="BM38" s="287" t="str">
        <f>IF(INDEX(machina!$A21:$FB21,MATCH(BM$19&amp;$C$17,machina[#Headers],))=""," ",INDEX(machina!$A21:$FB21,MATCH(BM$19&amp;$C$17,machina[#Headers],)))</f>
        <v xml:space="preserve"> </v>
      </c>
      <c r="BN38" s="287" t="str">
        <f>IF(INDEX(machina!$A21:$FB21,MATCH(BN$19&amp;$C$17,machina[#Headers],))=""," ",INDEX(machina!$A21:$FB21,MATCH(BN$19&amp;$C$17,machina[#Headers],)))</f>
        <v xml:space="preserve"> </v>
      </c>
      <c r="BO38" s="287" t="str">
        <f>IF(INDEX(machina!$A21:$FB21,MATCH(BO$19&amp;$C$17,machina[#Headers],))=""," ",INDEX(machina!$A21:$FB21,MATCH(BO$19&amp;$C$17,machina[#Headers],)))</f>
        <v xml:space="preserve"> </v>
      </c>
      <c r="BP38" s="287" t="str">
        <f>IF(INDEX(machina!$A21:$FB21,MATCH(BP$19&amp;$C$17,machina[#Headers],))=""," ",INDEX(machina!$A21:$FB21,MATCH(BP$19&amp;$C$17,machina[#Headers],)))</f>
        <v xml:space="preserve"> </v>
      </c>
      <c r="BQ38" s="287" t="str">
        <f>IF(INDEX(machina!$A21:$FB21,MATCH(BQ$19&amp;$C$17,machina[#Headers],))=""," ",INDEX(machina!$A21:$FB21,MATCH(BQ$19&amp;$C$17,machina[#Headers],)))</f>
        <v xml:space="preserve"> </v>
      </c>
      <c r="BR38" s="287" t="str">
        <f>IF(INDEX(machina!$A21:$FB21,MATCH(BR$19&amp;$C$17,machina[#Headers],))=""," ",INDEX(machina!$A21:$FB21,MATCH(BR$19&amp;$C$17,machina[#Headers],)))</f>
        <v xml:space="preserve"> </v>
      </c>
      <c r="BS38" s="287" t="str">
        <f>IF(INDEX(machina!$A21:$FB21,MATCH(BS$19&amp;$C$17,machina[#Headers],))=""," ",INDEX(machina!$A21:$FB21,MATCH(BS$19&amp;$C$17,machina[#Headers],)))</f>
        <v xml:space="preserve"> </v>
      </c>
      <c r="BT38" s="287" t="str">
        <f>IF(INDEX(machina!$A21:$FB21,MATCH(BT$19&amp;$C$17,machina[#Headers],))=""," ",INDEX(machina!$A21:$FB21,MATCH(BT$19&amp;$C$17,machina[#Headers],)))</f>
        <v xml:space="preserve"> </v>
      </c>
      <c r="BU38" s="287" t="str">
        <f>IF(INDEX(machina!$A21:$FB21,MATCH(BU$19&amp;$C$17,machina[#Headers],))=""," ",INDEX(machina!$A21:$FB21,MATCH(BU$19&amp;$C$17,machina[#Headers],)))</f>
        <v xml:space="preserve"> </v>
      </c>
      <c r="BV38" s="287" t="str">
        <f>IF(INDEX(machina!$A21:$FB21,MATCH(BV$19&amp;$C$17,machina[#Headers],))=""," ",INDEX(machina!$A21:$FB21,MATCH(BV$19&amp;$C$17,machina[#Headers],)))</f>
        <v xml:space="preserve"> </v>
      </c>
      <c r="BW38" s="287" t="str">
        <f>IF(INDEX(machina!$A21:$FB21,MATCH(BW$19&amp;$C$17,machina[#Headers],))=""," ",INDEX(machina!$A21:$FB21,MATCH(BW$19&amp;$C$17,machina[#Headers],)))</f>
        <v xml:space="preserve"> </v>
      </c>
      <c r="BX38" s="287" t="str">
        <f>IF(INDEX(machina!$A21:$FB21,MATCH(BX$19&amp;$C$17,machina[#Headers],))=""," ",INDEX(machina!$A21:$FB21,MATCH(BX$19&amp;$C$17,machina[#Headers],)))</f>
        <v xml:space="preserve"> </v>
      </c>
      <c r="BY38" s="287" t="str">
        <f>IF(INDEX(machina!$A21:$FB21,MATCH(BY$19&amp;$C$17,machina[#Headers],))=""," ",INDEX(machina!$A21:$FB21,MATCH(BY$19&amp;$C$17,machina[#Headers],)))</f>
        <v xml:space="preserve"> </v>
      </c>
      <c r="BZ38" s="287" t="str">
        <f>IF(INDEX(machina!$A21:$FB21,MATCH(BZ$19&amp;$C$17,machina[#Headers],))=""," ",INDEX(machina!$A21:$FB21,MATCH(BZ$19&amp;$C$17,machina[#Headers],)))</f>
        <v xml:space="preserve"> </v>
      </c>
      <c r="CA38" s="287" t="str">
        <f>IF(INDEX(machina!$A21:$FB21,MATCH(CA$19&amp;$C$17,machina[#Headers],))=""," ",INDEX(machina!$A21:$FB21,MATCH(CA$19&amp;$C$17,machina[#Headers],)))</f>
        <v xml:space="preserve"> </v>
      </c>
      <c r="CB38" s="288" t="str">
        <f>IF(INDEX('Raw Data'!$A21:$EA21,MATCH(CB$19,RawData[#Headers],))=""," ",INDEX('Raw Data'!$A21:$EA21,MATCH(CB$19,RawData[#Headers],)))</f>
        <v xml:space="preserve"> </v>
      </c>
      <c r="CD38" s="298" t="str">
        <f t="shared" si="61"/>
        <v xml:space="preserve"> </v>
      </c>
      <c r="CE38" s="298" t="str">
        <f t="shared" si="42"/>
        <v/>
      </c>
      <c r="CF38" s="298" t="str">
        <f t="shared" si="43"/>
        <v xml:space="preserve"> </v>
      </c>
      <c r="CG38" s="298" t="str">
        <f>IF(CE38=""," ",INDEX($CU$9:$CU$12,MATCH(CF38,analysis[CLUSTER],0)))</f>
        <v xml:space="preserve"> </v>
      </c>
      <c r="CH38" s="298" t="str">
        <f t="shared" si="44"/>
        <v xml:space="preserve"> </v>
      </c>
      <c r="CI38" s="298" t="str">
        <f t="shared" si="45"/>
        <v xml:space="preserve"> </v>
      </c>
      <c r="CJ38" s="274"/>
      <c r="CK38" s="298"/>
      <c r="CL38" s="298" t="str">
        <f t="shared" si="46"/>
        <v/>
      </c>
      <c r="CM38" s="326"/>
      <c r="CN38" s="326"/>
      <c r="CO38" s="326"/>
      <c r="CP38" s="326"/>
      <c r="CQ38" s="315" t="str">
        <f t="shared" si="38"/>
        <v/>
      </c>
      <c r="CR38" s="333" t="str">
        <f t="shared" si="47"/>
        <v xml:space="preserve"> </v>
      </c>
      <c r="CS38" s="333" t="str">
        <f t="shared" si="48"/>
        <v xml:space="preserve"> </v>
      </c>
      <c r="CT38" s="333" t="str">
        <f t="shared" si="49"/>
        <v xml:space="preserve"> </v>
      </c>
      <c r="CU38" s="333" t="str">
        <f t="shared" si="50"/>
        <v xml:space="preserve"> </v>
      </c>
      <c r="CV38" s="326"/>
      <c r="CW38" s="315" t="str">
        <f t="shared" si="51"/>
        <v/>
      </c>
      <c r="CX38" s="333" t="str">
        <f t="shared" si="52"/>
        <v xml:space="preserve"> </v>
      </c>
      <c r="CY38" s="333" t="str">
        <f t="shared" si="62"/>
        <v xml:space="preserve"> </v>
      </c>
      <c r="CZ38" s="333" t="str">
        <f t="shared" si="62"/>
        <v xml:space="preserve"> </v>
      </c>
      <c r="DA38" s="333" t="str">
        <f t="shared" si="62"/>
        <v xml:space="preserve"> </v>
      </c>
      <c r="DB38" s="326">
        <v>19</v>
      </c>
      <c r="DC38" s="337" t="str">
        <f t="shared" si="54"/>
        <v xml:space="preserve"> </v>
      </c>
      <c r="DD38" s="337" t="str">
        <f t="shared" si="55"/>
        <v xml:space="preserve"> </v>
      </c>
      <c r="DE38" s="337" t="str">
        <f t="shared" si="56"/>
        <v xml:space="preserve"> </v>
      </c>
      <c r="DF38" s="337" t="str">
        <f t="shared" si="57"/>
        <v xml:space="preserve"> </v>
      </c>
      <c r="DG38" s="344" t="str">
        <f t="shared" si="58"/>
        <v xml:space="preserve"> </v>
      </c>
      <c r="DH38" s="337" t="str">
        <f t="shared" si="59"/>
        <v xml:space="preserve"> </v>
      </c>
      <c r="DI38" s="337" t="str">
        <f t="shared" si="59"/>
        <v xml:space="preserve"> </v>
      </c>
      <c r="DJ38" s="337" t="str">
        <f t="shared" si="59"/>
        <v xml:space="preserve"> </v>
      </c>
      <c r="DK38" s="337" t="str">
        <f t="shared" si="59"/>
        <v xml:space="preserve"> </v>
      </c>
      <c r="DL38" s="344" t="str">
        <f t="shared" si="60"/>
        <v xml:space="preserve"> </v>
      </c>
      <c r="DN38" s="292" t="str">
        <f>IFERROR(VLOOKUP($A38,'Raw Data'!$A$3:$EV$32,152,FALSE)," ")</f>
        <v xml:space="preserve"> </v>
      </c>
    </row>
    <row r="39" spans="1:118" x14ac:dyDescent="0.3">
      <c r="A39" s="255">
        <f>'Raw Data'!A22</f>
        <v>0</v>
      </c>
      <c r="B39" s="287" t="str">
        <f>IF(INDEX(machina!$A22:$FB22,MATCH(B$19&amp;$C$17,machina[#Headers],))=""," ",INDEX(machina!$A22:$FB22,MATCH(B$19&amp;$C$17,machina[#Headers],)))</f>
        <v xml:space="preserve"> </v>
      </c>
      <c r="C39" s="287" t="str">
        <f>IF(INDEX(machina!$A22:$FB22,MATCH(C$19&amp;$C$17,machina[#Headers],))=""," ",INDEX(machina!$A22:$FB22,MATCH(C$19&amp;$C$17,machina[#Headers],)))</f>
        <v xml:space="preserve"> </v>
      </c>
      <c r="D39" s="287" t="str">
        <f>IF(INDEX(machina!$A22:$FB22,MATCH(D$19&amp;$C$17,machina[#Headers],))=""," ",INDEX(machina!$A22:$FB22,MATCH(D$19&amp;$C$17,machina[#Headers],)))</f>
        <v xml:space="preserve"> </v>
      </c>
      <c r="E39" s="287" t="str">
        <f>IF(INDEX(machina!$A22:$FB22,MATCH(E$19&amp;$C$17,machina[#Headers],))=""," ",INDEX(machina!$A22:$FB22,MATCH(E$19&amp;$C$17,machina[#Headers],)))</f>
        <v xml:space="preserve"> </v>
      </c>
      <c r="F39" s="287" t="str">
        <f>IF(INDEX(machina!$A22:$FB22,MATCH(F$19&amp;$C$17,machina[#Headers],))=""," ",INDEX(machina!$A22:$FB22,MATCH(F$19&amp;$C$17,machina[#Headers],)))</f>
        <v xml:space="preserve"> </v>
      </c>
      <c r="G39" s="287" t="str">
        <f>IF(INDEX(machina!$A22:$FB22,MATCH(G$19&amp;$C$17,machina[#Headers],))=""," ",INDEX(machina!$A22:$FB22,MATCH(G$19&amp;$C$17,machina[#Headers],)))</f>
        <v xml:space="preserve"> </v>
      </c>
      <c r="H39" s="287" t="str">
        <f>IF(INDEX(machina!$A22:$FB22,MATCH(H$19&amp;$C$17,machina[#Headers],))=""," ",INDEX(machina!$A22:$FB22,MATCH(H$19&amp;$C$17,machina[#Headers],)))</f>
        <v xml:space="preserve"> </v>
      </c>
      <c r="I39" s="287" t="str">
        <f>IF(INDEX(machina!$A22:$FB22,MATCH(I$19&amp;$C$17,machina[#Headers],))=""," ",INDEX(machina!$A22:$FB22,MATCH(I$19&amp;$C$17,machina[#Headers],)))</f>
        <v xml:space="preserve"> </v>
      </c>
      <c r="J39" s="287" t="str">
        <f>IF(INDEX(machina!$A22:$FB22,MATCH(J$19&amp;$C$17,machina[#Headers],))=""," ",INDEX(machina!$A22:$FB22,MATCH(J$19&amp;$C$17,machina[#Headers],)))</f>
        <v xml:space="preserve"> </v>
      </c>
      <c r="K39" s="287" t="str">
        <f>IF(INDEX(machina!$A22:$FB22,MATCH(K$19&amp;$C$17,machina[#Headers],))=""," ",INDEX(machina!$A22:$FB22,MATCH(K$19&amp;$C$17,machina[#Headers],)))</f>
        <v xml:space="preserve"> </v>
      </c>
      <c r="L39" s="287" t="str">
        <f>IF(INDEX(machina!$A22:$FB22,MATCH(L$19&amp;$C$17,machina[#Headers],))=""," ",INDEX(machina!$A22:$FB22,MATCH(L$19&amp;$C$17,machina[#Headers],)))</f>
        <v xml:space="preserve"> </v>
      </c>
      <c r="M39" s="287" t="str">
        <f>IF(INDEX(machina!$A22:$FB22,MATCH(M$19&amp;$C$17,machina[#Headers],))=""," ",INDEX(machina!$A22:$FB22,MATCH(M$19&amp;$C$17,machina[#Headers],)))</f>
        <v xml:space="preserve"> </v>
      </c>
      <c r="N39" s="287" t="str">
        <f>IF(INDEX(machina!$A22:$FB22,MATCH(N$19&amp;$C$17,machina[#Headers],))=""," ",INDEX(machina!$A22:$FB22,MATCH(N$19&amp;$C$17,machina[#Headers],)))</f>
        <v xml:space="preserve"> </v>
      </c>
      <c r="O39" s="287" t="str">
        <f>IF(INDEX(machina!$A22:$FB22,MATCH(O$19&amp;$C$17,machina[#Headers],))=""," ",INDEX(machina!$A22:$FB22,MATCH(O$19&amp;$C$17,machina[#Headers],)))</f>
        <v xml:space="preserve"> </v>
      </c>
      <c r="P39" s="287" t="str">
        <f>IF(INDEX(machina!$A22:$FB22,MATCH(P$19&amp;$C$17,machina[#Headers],))=""," ",INDEX(machina!$A22:$FB22,MATCH(P$19&amp;$C$17,machina[#Headers],)))</f>
        <v xml:space="preserve"> </v>
      </c>
      <c r="Q39" s="287" t="str">
        <f>IF(INDEX(machina!$A22:$FB22,MATCH(Q$19&amp;$C$17,machina[#Headers],))=""," ",INDEX(machina!$A22:$FB22,MATCH(Q$19&amp;$C$17,machina[#Headers],)))</f>
        <v xml:space="preserve"> </v>
      </c>
      <c r="R39" s="287" t="str">
        <f>IF(INDEX(machina!$A22:$FB22,MATCH(R$19&amp;$C$17,machina[#Headers],))=""," ",INDEX(machina!$A22:$FB22,MATCH(R$19&amp;$C$17,machina[#Headers],)))</f>
        <v xml:space="preserve"> </v>
      </c>
      <c r="S39" s="287" t="str">
        <f>IF(INDEX(machina!$A22:$FB22,MATCH(S$19&amp;$C$17,machina[#Headers],))=""," ",INDEX(machina!$A22:$FB22,MATCH(S$19&amp;$C$17,machina[#Headers],)))</f>
        <v xml:space="preserve"> </v>
      </c>
      <c r="T39" s="287" t="str">
        <f>IF(INDEX(machina!$A22:$FB22,MATCH(T$19&amp;$C$17,machina[#Headers],))=""," ",INDEX(machina!$A22:$FB22,MATCH(T$19&amp;$C$17,machina[#Headers],)))</f>
        <v xml:space="preserve"> </v>
      </c>
      <c r="U39" s="287" t="str">
        <f>IF(INDEX(machina!$A22:$FB22,MATCH(U$19&amp;$C$17,machina[#Headers],))=""," ",INDEX(machina!$A22:$FB22,MATCH(U$19&amp;$C$17,machina[#Headers],)))</f>
        <v xml:space="preserve"> </v>
      </c>
      <c r="V39" s="287" t="str">
        <f>IF(INDEX(machina!$A22:$FB22,MATCH(V$19&amp;$C$17,machina[#Headers],))=""," ",INDEX(machina!$A22:$FB22,MATCH(V$19&amp;$C$17,machina[#Headers],)))</f>
        <v xml:space="preserve"> </v>
      </c>
      <c r="W39" s="287" t="str">
        <f>IF(INDEX(machina!$A22:$FB22,MATCH(W$19&amp;$C$17,machina[#Headers],))=""," ",INDEX(machina!$A22:$FB22,MATCH(W$19&amp;$C$17,machina[#Headers],)))</f>
        <v xml:space="preserve"> </v>
      </c>
      <c r="X39" s="287" t="str">
        <f>IF(INDEX(machina!$A22:$FB22,MATCH(X$19&amp;$C$17,machina[#Headers],))=""," ",INDEX(machina!$A22:$FB22,MATCH(X$19&amp;$C$17,machina[#Headers],)))</f>
        <v xml:space="preserve"> </v>
      </c>
      <c r="Y39" s="287" t="str">
        <f>IF(INDEX(machina!$A22:$FB22,MATCH(Y$19&amp;$C$17,machina[#Headers],))=""," ",INDEX(machina!$A22:$FB22,MATCH(Y$19&amp;$C$17,machina[#Headers],)))</f>
        <v xml:space="preserve"> </v>
      </c>
      <c r="Z39" s="287" t="str">
        <f>IF(INDEX(machina!$A22:$FB22,MATCH(Z$19&amp;$C$17,machina[#Headers],))=""," ",INDEX(machina!$A22:$FB22,MATCH(Z$19&amp;$C$17,machina[#Headers],)))</f>
        <v xml:space="preserve"> </v>
      </c>
      <c r="AA39" s="287" t="str">
        <f>IF(INDEX(machina!$A22:$FB22,MATCH(AA$19&amp;$C$17,machina[#Headers],))=""," ",INDEX(machina!$A22:$FB22,MATCH(AA$19&amp;$C$17,machina[#Headers],)))</f>
        <v xml:space="preserve"> </v>
      </c>
      <c r="AB39" s="287" t="str">
        <f>IF(INDEX(machina!$A22:$FB22,MATCH(AB$19&amp;$C$17,machina[#Headers],))=""," ",INDEX(machina!$A22:$FB22,MATCH(AB$19&amp;$C$17,machina[#Headers],)))</f>
        <v xml:space="preserve"> </v>
      </c>
      <c r="AC39" s="287" t="str">
        <f>IF(INDEX(machina!$A22:$FB22,MATCH(AC$19&amp;$C$17,machina[#Headers],))=""," ",INDEX(machina!$A22:$FB22,MATCH(AC$19&amp;$C$17,machina[#Headers],)))</f>
        <v xml:space="preserve"> </v>
      </c>
      <c r="AD39" s="287" t="str">
        <f>IF(INDEX(machina!$A22:$FB22,MATCH(AD$19&amp;$C$17,machina[#Headers],))=""," ",INDEX(machina!$A22:$FB22,MATCH(AD$19&amp;$C$17,machina[#Headers],)))</f>
        <v xml:space="preserve"> </v>
      </c>
      <c r="AE39" s="287" t="str">
        <f>IF(INDEX(machina!$A22:$FB22,MATCH(AE$19&amp;$C$17,machina[#Headers],))=""," ",INDEX(machina!$A22:$FB22,MATCH(AE$19&amp;$C$17,machina[#Headers],)))</f>
        <v xml:space="preserve"> </v>
      </c>
      <c r="AF39" s="287" t="str">
        <f>IF(INDEX(machina!$A22:$FB22,MATCH(AF$19&amp;$C$17,machina[#Headers],))=""," ",INDEX(machina!$A22:$FB22,MATCH(AF$19&amp;$C$17,machina[#Headers],)))</f>
        <v xml:space="preserve"> </v>
      </c>
      <c r="AG39" s="287" t="str">
        <f>IF(INDEX(machina!$A22:$FB22,MATCH(AG$19&amp;$C$17,machina[#Headers],))=""," ",INDEX(machina!$A22:$FB22,MATCH(AG$19&amp;$C$17,machina[#Headers],)))</f>
        <v xml:space="preserve"> </v>
      </c>
      <c r="AH39" s="287" t="str">
        <f>IF(INDEX(machina!$A22:$FB22,MATCH(AH$19&amp;$C$17,machina[#Headers],))=""," ",INDEX(machina!$A22:$FB22,MATCH(AH$19&amp;$C$17,machina[#Headers],)))</f>
        <v xml:space="preserve"> </v>
      </c>
      <c r="AI39" s="287" t="str">
        <f>IF(INDEX(machina!$A22:$FB22,MATCH(AI$19&amp;$C$17,machina[#Headers],))=""," ",INDEX(machina!$A22:$FB22,MATCH(AI$19&amp;$C$17,machina[#Headers],)))</f>
        <v xml:space="preserve"> </v>
      </c>
      <c r="AJ39" s="287" t="str">
        <f>IF(INDEX(machina!$A22:$FB22,MATCH(AJ$19&amp;$C$17,machina[#Headers],))=""," ",INDEX(machina!$A22:$FB22,MATCH(AJ$19&amp;$C$17,machina[#Headers],)))</f>
        <v xml:space="preserve"> </v>
      </c>
      <c r="AK39" s="287" t="str">
        <f>IF(INDEX(machina!$A22:$FB22,MATCH(AK$19&amp;$C$17,machina[#Headers],))=""," ",INDEX(machina!$A22:$FB22,MATCH(AK$19&amp;$C$17,machina[#Headers],)))</f>
        <v xml:space="preserve"> </v>
      </c>
      <c r="AL39" s="287" t="str">
        <f>IF(INDEX(machina!$A22:$FB22,MATCH(AL$19&amp;$C$17,machina[#Headers],))=""," ",INDEX(machina!$A22:$FB22,MATCH(AL$19&amp;$C$17,machina[#Headers],)))</f>
        <v xml:space="preserve"> </v>
      </c>
      <c r="AM39" s="287" t="str">
        <f>IF(INDEX(machina!$A22:$FB22,MATCH(AM$19&amp;$C$17,machina[#Headers],))=""," ",INDEX(machina!$A22:$FB22,MATCH(AM$19&amp;$C$17,machina[#Headers],)))</f>
        <v xml:space="preserve"> </v>
      </c>
      <c r="AN39" s="287" t="str">
        <f>IF(INDEX(machina!$A22:$FB22,MATCH(AN$19&amp;$C$17,machina[#Headers],))=""," ",INDEX(machina!$A22:$FB22,MATCH(AN$19&amp;$C$17,machina[#Headers],)))</f>
        <v xml:space="preserve"> </v>
      </c>
      <c r="AO39" s="287" t="str">
        <f>IF(INDEX(machina!$A22:$FB22,MATCH(AO$19&amp;$C$17,machina[#Headers],))=""," ",INDEX(machina!$A22:$FB22,MATCH(AO$19&amp;$C$17,machina[#Headers],)))</f>
        <v xml:space="preserve"> </v>
      </c>
      <c r="AP39" s="287" t="str">
        <f>IF(INDEX(machina!$A22:$FB22,MATCH(AP$19&amp;$C$17,machina[#Headers],))=""," ",INDEX(machina!$A22:$FB22,MATCH(AP$19&amp;$C$17,machina[#Headers],)))</f>
        <v xml:space="preserve"> </v>
      </c>
      <c r="AQ39" s="287" t="str">
        <f>IF(INDEX(machina!$A22:$FB22,MATCH(AQ$19&amp;$C$17,machina[#Headers],))=""," ",INDEX(machina!$A22:$FB22,MATCH(AQ$19&amp;$C$17,machina[#Headers],)))</f>
        <v xml:space="preserve"> </v>
      </c>
      <c r="AR39" s="287" t="str">
        <f>IF(INDEX(machina!$A22:$FB22,MATCH(AR$19&amp;$C$17,machina[#Headers],))=""," ",INDEX(machina!$A22:$FB22,MATCH(AR$19&amp;$C$17,machina[#Headers],)))</f>
        <v xml:space="preserve"> </v>
      </c>
      <c r="AS39" s="287" t="str">
        <f>IF(INDEX(machina!$A22:$FB22,MATCH(AS$19&amp;$C$17,machina[#Headers],))=""," ",INDEX(machina!$A22:$FB22,MATCH(AS$19&amp;$C$17,machina[#Headers],)))</f>
        <v xml:space="preserve"> </v>
      </c>
      <c r="AT39" s="287" t="str">
        <f>IF(INDEX(machina!$A22:$FB22,MATCH(AT$19&amp;$C$17,machina[#Headers],))=""," ",INDEX(machina!$A22:$FB22,MATCH(AT$19&amp;$C$17,machina[#Headers],)))</f>
        <v xml:space="preserve"> </v>
      </c>
      <c r="AU39" s="287" t="str">
        <f>IF(INDEX(machina!$A22:$FB22,MATCH(AU$19&amp;$C$17,machina[#Headers],))=""," ",INDEX(machina!$A22:$FB22,MATCH(AU$19&amp;$C$17,machina[#Headers],)))</f>
        <v xml:space="preserve"> </v>
      </c>
      <c r="AV39" s="287" t="str">
        <f>IF(INDEX(machina!$A22:$FB22,MATCH(AV$19&amp;$C$17,machina[#Headers],))=""," ",INDEX(machina!$A22:$FB22,MATCH(AV$19&amp;$C$17,machina[#Headers],)))</f>
        <v xml:space="preserve"> </v>
      </c>
      <c r="AW39" s="287" t="str">
        <f>IF(INDEX(machina!$A22:$FB22,MATCH(AW$19&amp;$C$17,machina[#Headers],))=""," ",INDEX(machina!$A22:$FB22,MATCH(AW$19&amp;$C$17,machina[#Headers],)))</f>
        <v xml:space="preserve"> </v>
      </c>
      <c r="AX39" s="287" t="str">
        <f>IF(INDEX(machina!$A22:$FB22,MATCH(AX$19&amp;$C$17,machina[#Headers],))=""," ",INDEX(machina!$A22:$FB22,MATCH(AX$19&amp;$C$17,machina[#Headers],)))</f>
        <v xml:space="preserve"> </v>
      </c>
      <c r="AY39" s="287" t="str">
        <f>IF(INDEX(machina!$A22:$FB22,MATCH(AY$19&amp;$C$17,machina[#Headers],))=""," ",INDEX(machina!$A22:$FB22,MATCH(AY$19&amp;$C$17,machina[#Headers],)))</f>
        <v xml:space="preserve"> </v>
      </c>
      <c r="AZ39" s="287" t="str">
        <f>IF(INDEX(machina!$A22:$FB22,MATCH(AZ$19&amp;$C$17,machina[#Headers],))=""," ",INDEX(machina!$A22:$FB22,MATCH(AZ$19&amp;$C$17,machina[#Headers],)))</f>
        <v xml:space="preserve"> </v>
      </c>
      <c r="BA39" s="287" t="str">
        <f>IF(INDEX(machina!$A22:$FB22,MATCH(BA$19&amp;$C$17,machina[#Headers],))=""," ",INDEX(machina!$A22:$FB22,MATCH(BA$19&amp;$C$17,machina[#Headers],)))</f>
        <v xml:space="preserve"> </v>
      </c>
      <c r="BB39" s="287" t="str">
        <f>IF(INDEX(machina!$A22:$FB22,MATCH(BB$19&amp;$C$17,machina[#Headers],))=""," ",INDEX(machina!$A22:$FB22,MATCH(BB$19&amp;$C$17,machina[#Headers],)))</f>
        <v xml:space="preserve"> </v>
      </c>
      <c r="BC39" s="287" t="str">
        <f>IF(INDEX(machina!$A22:$FB22,MATCH(BC$19&amp;$C$17,machina[#Headers],))=""," ",INDEX(machina!$A22:$FB22,MATCH(BC$19&amp;$C$17,machina[#Headers],)))</f>
        <v xml:space="preserve"> </v>
      </c>
      <c r="BD39" s="287" t="str">
        <f>IF(INDEX(machina!$A22:$FB22,MATCH(BD$19&amp;$C$17,machina[#Headers],))=""," ",INDEX(machina!$A22:$FB22,MATCH(BD$19&amp;$C$17,machina[#Headers],)))</f>
        <v xml:space="preserve"> </v>
      </c>
      <c r="BE39" s="287" t="str">
        <f>IF(INDEX(machina!$A22:$FB22,MATCH(BE$19&amp;$C$17,machina[#Headers],))=""," ",INDEX(machina!$A22:$FB22,MATCH(BE$19&amp;$C$17,machina[#Headers],)))</f>
        <v xml:space="preserve"> </v>
      </c>
      <c r="BF39" s="287" t="str">
        <f>IF(INDEX(machina!$A22:$FB22,MATCH(BF$19&amp;$C$17,machina[#Headers],))=""," ",INDEX(machina!$A22:$FB22,MATCH(BF$19&amp;$C$17,machina[#Headers],)))</f>
        <v xml:space="preserve"> </v>
      </c>
      <c r="BG39" s="287" t="str">
        <f>IF(INDEX(machina!$A22:$FB22,MATCH(BG$19&amp;$C$17,machina[#Headers],))=""," ",INDEX(machina!$A22:$FB22,MATCH(BG$19&amp;$C$17,machina[#Headers],)))</f>
        <v xml:space="preserve"> </v>
      </c>
      <c r="BH39" s="287" t="str">
        <f>IF(INDEX(machina!$A22:$FB22,MATCH(BH$19&amp;$C$17,machina[#Headers],))=""," ",INDEX(machina!$A22:$FB22,MATCH(BH$19&amp;$C$17,machina[#Headers],)))</f>
        <v xml:space="preserve"> </v>
      </c>
      <c r="BI39" s="287" t="str">
        <f>IF(INDEX(machina!$A22:$FB22,MATCH(BI$19&amp;$C$17,machina[#Headers],))=""," ",INDEX(machina!$A22:$FB22,MATCH(BI$19&amp;$C$17,machina[#Headers],)))</f>
        <v xml:space="preserve"> </v>
      </c>
      <c r="BJ39" s="287" t="str">
        <f>IF(INDEX(machina!$A22:$FB22,MATCH(BJ$19&amp;$C$17,machina[#Headers],))=""," ",INDEX(machina!$A22:$FB22,MATCH(BJ$19&amp;$C$17,machina[#Headers],)))</f>
        <v xml:space="preserve"> </v>
      </c>
      <c r="BK39" s="287" t="str">
        <f>IF(INDEX(machina!$A22:$FB22,MATCH(BK$19&amp;$C$17,machina[#Headers],))=""," ",INDEX(machina!$A22:$FB22,MATCH(BK$19&amp;$C$17,machina[#Headers],)))</f>
        <v xml:space="preserve"> </v>
      </c>
      <c r="BL39" s="287" t="str">
        <f>IF(INDEX(machina!$A22:$FB22,MATCH(BL$19&amp;$C$17,machina[#Headers],))=""," ",INDEX(machina!$A22:$FB22,MATCH(BL$19&amp;$C$17,machina[#Headers],)))</f>
        <v xml:space="preserve"> </v>
      </c>
      <c r="BM39" s="287" t="str">
        <f>IF(INDEX(machina!$A22:$FB22,MATCH(BM$19&amp;$C$17,machina[#Headers],))=""," ",INDEX(machina!$A22:$FB22,MATCH(BM$19&amp;$C$17,machina[#Headers],)))</f>
        <v xml:space="preserve"> </v>
      </c>
      <c r="BN39" s="287" t="str">
        <f>IF(INDEX(machina!$A22:$FB22,MATCH(BN$19&amp;$C$17,machina[#Headers],))=""," ",INDEX(machina!$A22:$FB22,MATCH(BN$19&amp;$C$17,machina[#Headers],)))</f>
        <v xml:space="preserve"> </v>
      </c>
      <c r="BO39" s="287" t="str">
        <f>IF(INDEX(machina!$A22:$FB22,MATCH(BO$19&amp;$C$17,machina[#Headers],))=""," ",INDEX(machina!$A22:$FB22,MATCH(BO$19&amp;$C$17,machina[#Headers],)))</f>
        <v xml:space="preserve"> </v>
      </c>
      <c r="BP39" s="287" t="str">
        <f>IF(INDEX(machina!$A22:$FB22,MATCH(BP$19&amp;$C$17,machina[#Headers],))=""," ",INDEX(machina!$A22:$FB22,MATCH(BP$19&amp;$C$17,machina[#Headers],)))</f>
        <v xml:space="preserve"> </v>
      </c>
      <c r="BQ39" s="287" t="str">
        <f>IF(INDEX(machina!$A22:$FB22,MATCH(BQ$19&amp;$C$17,machina[#Headers],))=""," ",INDEX(machina!$A22:$FB22,MATCH(BQ$19&amp;$C$17,machina[#Headers],)))</f>
        <v xml:space="preserve"> </v>
      </c>
      <c r="BR39" s="287" t="str">
        <f>IF(INDEX(machina!$A22:$FB22,MATCH(BR$19&amp;$C$17,machina[#Headers],))=""," ",INDEX(machina!$A22:$FB22,MATCH(BR$19&amp;$C$17,machina[#Headers],)))</f>
        <v xml:space="preserve"> </v>
      </c>
      <c r="BS39" s="287" t="str">
        <f>IF(INDEX(machina!$A22:$FB22,MATCH(BS$19&amp;$C$17,machina[#Headers],))=""," ",INDEX(machina!$A22:$FB22,MATCH(BS$19&amp;$C$17,machina[#Headers],)))</f>
        <v xml:space="preserve"> </v>
      </c>
      <c r="BT39" s="287" t="str">
        <f>IF(INDEX(machina!$A22:$FB22,MATCH(BT$19&amp;$C$17,machina[#Headers],))=""," ",INDEX(machina!$A22:$FB22,MATCH(BT$19&amp;$C$17,machina[#Headers],)))</f>
        <v xml:space="preserve"> </v>
      </c>
      <c r="BU39" s="287" t="str">
        <f>IF(INDEX(machina!$A22:$FB22,MATCH(BU$19&amp;$C$17,machina[#Headers],))=""," ",INDEX(machina!$A22:$FB22,MATCH(BU$19&amp;$C$17,machina[#Headers],)))</f>
        <v xml:space="preserve"> </v>
      </c>
      <c r="BV39" s="287" t="str">
        <f>IF(INDEX(machina!$A22:$FB22,MATCH(BV$19&amp;$C$17,machina[#Headers],))=""," ",INDEX(machina!$A22:$FB22,MATCH(BV$19&amp;$C$17,machina[#Headers],)))</f>
        <v xml:space="preserve"> </v>
      </c>
      <c r="BW39" s="287" t="str">
        <f>IF(INDEX(machina!$A22:$FB22,MATCH(BW$19&amp;$C$17,machina[#Headers],))=""," ",INDEX(machina!$A22:$FB22,MATCH(BW$19&amp;$C$17,machina[#Headers],)))</f>
        <v xml:space="preserve"> </v>
      </c>
      <c r="BX39" s="287" t="str">
        <f>IF(INDEX(machina!$A22:$FB22,MATCH(BX$19&amp;$C$17,machina[#Headers],))=""," ",INDEX(machina!$A22:$FB22,MATCH(BX$19&amp;$C$17,machina[#Headers],)))</f>
        <v xml:space="preserve"> </v>
      </c>
      <c r="BY39" s="287" t="str">
        <f>IF(INDEX(machina!$A22:$FB22,MATCH(BY$19&amp;$C$17,machina[#Headers],))=""," ",INDEX(machina!$A22:$FB22,MATCH(BY$19&amp;$C$17,machina[#Headers],)))</f>
        <v xml:space="preserve"> </v>
      </c>
      <c r="BZ39" s="287" t="str">
        <f>IF(INDEX(machina!$A22:$FB22,MATCH(BZ$19&amp;$C$17,machina[#Headers],))=""," ",INDEX(machina!$A22:$FB22,MATCH(BZ$19&amp;$C$17,machina[#Headers],)))</f>
        <v xml:space="preserve"> </v>
      </c>
      <c r="CA39" s="287" t="str">
        <f>IF(INDEX(machina!$A22:$FB22,MATCH(CA$19&amp;$C$17,machina[#Headers],))=""," ",INDEX(machina!$A22:$FB22,MATCH(CA$19&amp;$C$17,machina[#Headers],)))</f>
        <v xml:space="preserve"> </v>
      </c>
      <c r="CB39" s="288" t="str">
        <f>IF(INDEX('Raw Data'!$A22:$EA22,MATCH(CB$19,RawData[#Headers],))=""," ",INDEX('Raw Data'!$A22:$EA22,MATCH(CB$19,RawData[#Headers],)))</f>
        <v xml:space="preserve"> </v>
      </c>
      <c r="CD39" s="299" t="str">
        <f t="shared" si="61"/>
        <v xml:space="preserve"> </v>
      </c>
      <c r="CE39" s="299" t="str">
        <f t="shared" si="42"/>
        <v/>
      </c>
      <c r="CF39" s="299" t="str">
        <f t="shared" si="43"/>
        <v xml:space="preserve"> </v>
      </c>
      <c r="CG39" s="299" t="str">
        <f>IF(CE39=""," ",INDEX($CU$9:$CU$12,MATCH(CF39,analysis[CLUSTER],0)))</f>
        <v xml:space="preserve"> </v>
      </c>
      <c r="CH39" s="299" t="str">
        <f t="shared" si="44"/>
        <v xml:space="preserve"> </v>
      </c>
      <c r="CI39" s="298" t="str">
        <f t="shared" si="45"/>
        <v xml:space="preserve"> </v>
      </c>
      <c r="CJ39" s="274"/>
      <c r="CK39" s="298"/>
      <c r="CL39" s="298" t="str">
        <f t="shared" si="46"/>
        <v/>
      </c>
      <c r="CM39" s="326"/>
      <c r="CN39" s="326"/>
      <c r="CO39" s="326"/>
      <c r="CP39" s="326"/>
      <c r="CQ39" s="315" t="str">
        <f t="shared" si="38"/>
        <v/>
      </c>
      <c r="CR39" s="333" t="str">
        <f t="shared" si="47"/>
        <v xml:space="preserve"> </v>
      </c>
      <c r="CS39" s="333" t="str">
        <f t="shared" si="48"/>
        <v xml:space="preserve"> </v>
      </c>
      <c r="CT39" s="333" t="str">
        <f t="shared" si="49"/>
        <v xml:space="preserve"> </v>
      </c>
      <c r="CU39" s="333" t="str">
        <f t="shared" si="50"/>
        <v xml:space="preserve"> </v>
      </c>
      <c r="CV39" s="326"/>
      <c r="CW39" s="315" t="str">
        <f t="shared" si="51"/>
        <v/>
      </c>
      <c r="CX39" s="333" t="str">
        <f t="shared" si="52"/>
        <v xml:space="preserve"> </v>
      </c>
      <c r="CY39" s="333" t="str">
        <f t="shared" si="62"/>
        <v xml:space="preserve"> </v>
      </c>
      <c r="CZ39" s="333" t="str">
        <f t="shared" si="62"/>
        <v xml:space="preserve"> </v>
      </c>
      <c r="DA39" s="333" t="str">
        <f t="shared" si="62"/>
        <v xml:space="preserve"> </v>
      </c>
      <c r="DB39" s="326">
        <v>20</v>
      </c>
      <c r="DC39" s="337" t="str">
        <f t="shared" si="54"/>
        <v xml:space="preserve"> </v>
      </c>
      <c r="DD39" s="337" t="str">
        <f t="shared" si="55"/>
        <v xml:space="preserve"> </v>
      </c>
      <c r="DE39" s="337" t="str">
        <f t="shared" si="56"/>
        <v xml:space="preserve"> </v>
      </c>
      <c r="DF39" s="337" t="str">
        <f t="shared" si="57"/>
        <v xml:space="preserve"> </v>
      </c>
      <c r="DG39" s="344" t="str">
        <f t="shared" si="58"/>
        <v xml:space="preserve"> </v>
      </c>
      <c r="DH39" s="337" t="str">
        <f t="shared" si="59"/>
        <v xml:space="preserve"> </v>
      </c>
      <c r="DI39" s="337" t="str">
        <f t="shared" si="59"/>
        <v xml:space="preserve"> </v>
      </c>
      <c r="DJ39" s="337" t="str">
        <f t="shared" si="59"/>
        <v xml:space="preserve"> </v>
      </c>
      <c r="DK39" s="337" t="str">
        <f t="shared" si="59"/>
        <v xml:space="preserve"> </v>
      </c>
      <c r="DL39" s="344" t="str">
        <f t="shared" si="60"/>
        <v xml:space="preserve"> </v>
      </c>
      <c r="DN39" s="292" t="str">
        <f>IFERROR(VLOOKUP($A39,'Raw Data'!$A$3:$EV$32,152,FALSE)," ")</f>
        <v xml:space="preserve"> </v>
      </c>
    </row>
    <row r="40" spans="1:118" x14ac:dyDescent="0.3">
      <c r="A40" s="255">
        <f>'Raw Data'!A23</f>
        <v>0</v>
      </c>
      <c r="B40" s="287" t="str">
        <f>IF(INDEX(machina!$A23:$FB23,MATCH(B$19&amp;$C$17,machina[#Headers],))=""," ",INDEX(machina!$A23:$FB23,MATCH(B$19&amp;$C$17,machina[#Headers],)))</f>
        <v xml:space="preserve"> </v>
      </c>
      <c r="C40" s="287" t="str">
        <f>IF(INDEX(machina!$A23:$FB23,MATCH(C$19&amp;$C$17,machina[#Headers],))=""," ",INDEX(machina!$A23:$FB23,MATCH(C$19&amp;$C$17,machina[#Headers],)))</f>
        <v xml:space="preserve"> </v>
      </c>
      <c r="D40" s="287" t="str">
        <f>IF(INDEX(machina!$A23:$FB23,MATCH(D$19&amp;$C$17,machina[#Headers],))=""," ",INDEX(machina!$A23:$FB23,MATCH(D$19&amp;$C$17,machina[#Headers],)))</f>
        <v xml:space="preserve"> </v>
      </c>
      <c r="E40" s="287" t="str">
        <f>IF(INDEX(machina!$A23:$FB23,MATCH(E$19&amp;$C$17,machina[#Headers],))=""," ",INDEX(machina!$A23:$FB23,MATCH(E$19&amp;$C$17,machina[#Headers],)))</f>
        <v xml:space="preserve"> </v>
      </c>
      <c r="F40" s="287" t="str">
        <f>IF(INDEX(machina!$A23:$FB23,MATCH(F$19&amp;$C$17,machina[#Headers],))=""," ",INDEX(machina!$A23:$FB23,MATCH(F$19&amp;$C$17,machina[#Headers],)))</f>
        <v xml:space="preserve"> </v>
      </c>
      <c r="G40" s="287" t="str">
        <f>IF(INDEX(machina!$A23:$FB23,MATCH(G$19&amp;$C$17,machina[#Headers],))=""," ",INDEX(machina!$A23:$FB23,MATCH(G$19&amp;$C$17,machina[#Headers],)))</f>
        <v xml:space="preserve"> </v>
      </c>
      <c r="H40" s="287" t="str">
        <f>IF(INDEX(machina!$A23:$FB23,MATCH(H$19&amp;$C$17,machina[#Headers],))=""," ",INDEX(machina!$A23:$FB23,MATCH(H$19&amp;$C$17,machina[#Headers],)))</f>
        <v xml:space="preserve"> </v>
      </c>
      <c r="I40" s="287" t="str">
        <f>IF(INDEX(machina!$A23:$FB23,MATCH(I$19&amp;$C$17,machina[#Headers],))=""," ",INDEX(machina!$A23:$FB23,MATCH(I$19&amp;$C$17,machina[#Headers],)))</f>
        <v xml:space="preserve"> </v>
      </c>
      <c r="J40" s="287" t="str">
        <f>IF(INDEX(machina!$A23:$FB23,MATCH(J$19&amp;$C$17,machina[#Headers],))=""," ",INDEX(machina!$A23:$FB23,MATCH(J$19&amp;$C$17,machina[#Headers],)))</f>
        <v xml:space="preserve"> </v>
      </c>
      <c r="K40" s="287" t="str">
        <f>IF(INDEX(machina!$A23:$FB23,MATCH(K$19&amp;$C$17,machina[#Headers],))=""," ",INDEX(machina!$A23:$FB23,MATCH(K$19&amp;$C$17,machina[#Headers],)))</f>
        <v xml:space="preserve"> </v>
      </c>
      <c r="L40" s="287" t="str">
        <f>IF(INDEX(machina!$A23:$FB23,MATCH(L$19&amp;$C$17,machina[#Headers],))=""," ",INDEX(machina!$A23:$FB23,MATCH(L$19&amp;$C$17,machina[#Headers],)))</f>
        <v xml:space="preserve"> </v>
      </c>
      <c r="M40" s="287" t="str">
        <f>IF(INDEX(machina!$A23:$FB23,MATCH(M$19&amp;$C$17,machina[#Headers],))=""," ",INDEX(machina!$A23:$FB23,MATCH(M$19&amp;$C$17,machina[#Headers],)))</f>
        <v xml:space="preserve"> </v>
      </c>
      <c r="N40" s="287" t="str">
        <f>IF(INDEX(machina!$A23:$FB23,MATCH(N$19&amp;$C$17,machina[#Headers],))=""," ",INDEX(machina!$A23:$FB23,MATCH(N$19&amp;$C$17,machina[#Headers],)))</f>
        <v xml:space="preserve"> </v>
      </c>
      <c r="O40" s="287" t="str">
        <f>IF(INDEX(machina!$A23:$FB23,MATCH(O$19&amp;$C$17,machina[#Headers],))=""," ",INDEX(machina!$A23:$FB23,MATCH(O$19&amp;$C$17,machina[#Headers],)))</f>
        <v xml:space="preserve"> </v>
      </c>
      <c r="P40" s="287" t="str">
        <f>IF(INDEX(machina!$A23:$FB23,MATCH(P$19&amp;$C$17,machina[#Headers],))=""," ",INDEX(machina!$A23:$FB23,MATCH(P$19&amp;$C$17,machina[#Headers],)))</f>
        <v xml:space="preserve"> </v>
      </c>
      <c r="Q40" s="287" t="str">
        <f>IF(INDEX(machina!$A23:$FB23,MATCH(Q$19&amp;$C$17,machina[#Headers],))=""," ",INDEX(machina!$A23:$FB23,MATCH(Q$19&amp;$C$17,machina[#Headers],)))</f>
        <v xml:space="preserve"> </v>
      </c>
      <c r="R40" s="287" t="str">
        <f>IF(INDEX(machina!$A23:$FB23,MATCH(R$19&amp;$C$17,machina[#Headers],))=""," ",INDEX(machina!$A23:$FB23,MATCH(R$19&amp;$C$17,machina[#Headers],)))</f>
        <v xml:space="preserve"> </v>
      </c>
      <c r="S40" s="287" t="str">
        <f>IF(INDEX(machina!$A23:$FB23,MATCH(S$19&amp;$C$17,machina[#Headers],))=""," ",INDEX(machina!$A23:$FB23,MATCH(S$19&amp;$C$17,machina[#Headers],)))</f>
        <v xml:space="preserve"> </v>
      </c>
      <c r="T40" s="287" t="str">
        <f>IF(INDEX(machina!$A23:$FB23,MATCH(T$19&amp;$C$17,machina[#Headers],))=""," ",INDEX(machina!$A23:$FB23,MATCH(T$19&amp;$C$17,machina[#Headers],)))</f>
        <v xml:space="preserve"> </v>
      </c>
      <c r="U40" s="287" t="str">
        <f>IF(INDEX(machina!$A23:$FB23,MATCH(U$19&amp;$C$17,machina[#Headers],))=""," ",INDEX(machina!$A23:$FB23,MATCH(U$19&amp;$C$17,machina[#Headers],)))</f>
        <v xml:space="preserve"> </v>
      </c>
      <c r="V40" s="287" t="str">
        <f>IF(INDEX(machina!$A23:$FB23,MATCH(V$19&amp;$C$17,machina[#Headers],))=""," ",INDEX(machina!$A23:$FB23,MATCH(V$19&amp;$C$17,machina[#Headers],)))</f>
        <v xml:space="preserve"> </v>
      </c>
      <c r="W40" s="287" t="str">
        <f>IF(INDEX(machina!$A23:$FB23,MATCH(W$19&amp;$C$17,machina[#Headers],))=""," ",INDEX(machina!$A23:$FB23,MATCH(W$19&amp;$C$17,machina[#Headers],)))</f>
        <v xml:space="preserve"> </v>
      </c>
      <c r="X40" s="287" t="str">
        <f>IF(INDEX(machina!$A23:$FB23,MATCH(X$19&amp;$C$17,machina[#Headers],))=""," ",INDEX(machina!$A23:$FB23,MATCH(X$19&amp;$C$17,machina[#Headers],)))</f>
        <v xml:space="preserve"> </v>
      </c>
      <c r="Y40" s="287" t="str">
        <f>IF(INDEX(machina!$A23:$FB23,MATCH(Y$19&amp;$C$17,machina[#Headers],))=""," ",INDEX(machina!$A23:$FB23,MATCH(Y$19&amp;$C$17,machina[#Headers],)))</f>
        <v xml:space="preserve"> </v>
      </c>
      <c r="Z40" s="287" t="str">
        <f>IF(INDEX(machina!$A23:$FB23,MATCH(Z$19&amp;$C$17,machina[#Headers],))=""," ",INDEX(machina!$A23:$FB23,MATCH(Z$19&amp;$C$17,machina[#Headers],)))</f>
        <v xml:space="preserve"> </v>
      </c>
      <c r="AA40" s="287" t="str">
        <f>IF(INDEX(machina!$A23:$FB23,MATCH(AA$19&amp;$C$17,machina[#Headers],))=""," ",INDEX(machina!$A23:$FB23,MATCH(AA$19&amp;$C$17,machina[#Headers],)))</f>
        <v xml:space="preserve"> </v>
      </c>
      <c r="AB40" s="287" t="str">
        <f>IF(INDEX(machina!$A23:$FB23,MATCH(AB$19&amp;$C$17,machina[#Headers],))=""," ",INDEX(machina!$A23:$FB23,MATCH(AB$19&amp;$C$17,machina[#Headers],)))</f>
        <v xml:space="preserve"> </v>
      </c>
      <c r="AC40" s="287" t="str">
        <f>IF(INDEX(machina!$A23:$FB23,MATCH(AC$19&amp;$C$17,machina[#Headers],))=""," ",INDEX(machina!$A23:$FB23,MATCH(AC$19&amp;$C$17,machina[#Headers],)))</f>
        <v xml:space="preserve"> </v>
      </c>
      <c r="AD40" s="287" t="str">
        <f>IF(INDEX(machina!$A23:$FB23,MATCH(AD$19&amp;$C$17,machina[#Headers],))=""," ",INDEX(machina!$A23:$FB23,MATCH(AD$19&amp;$C$17,machina[#Headers],)))</f>
        <v xml:space="preserve"> </v>
      </c>
      <c r="AE40" s="287" t="str">
        <f>IF(INDEX(machina!$A23:$FB23,MATCH(AE$19&amp;$C$17,machina[#Headers],))=""," ",INDEX(machina!$A23:$FB23,MATCH(AE$19&amp;$C$17,machina[#Headers],)))</f>
        <v xml:space="preserve"> </v>
      </c>
      <c r="AF40" s="287" t="str">
        <f>IF(INDEX(machina!$A23:$FB23,MATCH(AF$19&amp;$C$17,machina[#Headers],))=""," ",INDEX(machina!$A23:$FB23,MATCH(AF$19&amp;$C$17,machina[#Headers],)))</f>
        <v xml:space="preserve"> </v>
      </c>
      <c r="AG40" s="287" t="str">
        <f>IF(INDEX(machina!$A23:$FB23,MATCH(AG$19&amp;$C$17,machina[#Headers],))=""," ",INDEX(machina!$A23:$FB23,MATCH(AG$19&amp;$C$17,machina[#Headers],)))</f>
        <v xml:space="preserve"> </v>
      </c>
      <c r="AH40" s="287" t="str">
        <f>IF(INDEX(machina!$A23:$FB23,MATCH(AH$19&amp;$C$17,machina[#Headers],))=""," ",INDEX(machina!$A23:$FB23,MATCH(AH$19&amp;$C$17,machina[#Headers],)))</f>
        <v xml:space="preserve"> </v>
      </c>
      <c r="AI40" s="287" t="str">
        <f>IF(INDEX(machina!$A23:$FB23,MATCH(AI$19&amp;$C$17,machina[#Headers],))=""," ",INDEX(machina!$A23:$FB23,MATCH(AI$19&amp;$C$17,machina[#Headers],)))</f>
        <v xml:space="preserve"> </v>
      </c>
      <c r="AJ40" s="287" t="str">
        <f>IF(INDEX(machina!$A23:$FB23,MATCH(AJ$19&amp;$C$17,machina[#Headers],))=""," ",INDEX(machina!$A23:$FB23,MATCH(AJ$19&amp;$C$17,machina[#Headers],)))</f>
        <v xml:space="preserve"> </v>
      </c>
      <c r="AK40" s="287" t="str">
        <f>IF(INDEX(machina!$A23:$FB23,MATCH(AK$19&amp;$C$17,machina[#Headers],))=""," ",INDEX(machina!$A23:$FB23,MATCH(AK$19&amp;$C$17,machina[#Headers],)))</f>
        <v xml:space="preserve"> </v>
      </c>
      <c r="AL40" s="287" t="str">
        <f>IF(INDEX(machina!$A23:$FB23,MATCH(AL$19&amp;$C$17,machina[#Headers],))=""," ",INDEX(machina!$A23:$FB23,MATCH(AL$19&amp;$C$17,machina[#Headers],)))</f>
        <v xml:space="preserve"> </v>
      </c>
      <c r="AM40" s="287" t="str">
        <f>IF(INDEX(machina!$A23:$FB23,MATCH(AM$19&amp;$C$17,machina[#Headers],))=""," ",INDEX(machina!$A23:$FB23,MATCH(AM$19&amp;$C$17,machina[#Headers],)))</f>
        <v xml:space="preserve"> </v>
      </c>
      <c r="AN40" s="287" t="str">
        <f>IF(INDEX(machina!$A23:$FB23,MATCH(AN$19&amp;$C$17,machina[#Headers],))=""," ",INDEX(machina!$A23:$FB23,MATCH(AN$19&amp;$C$17,machina[#Headers],)))</f>
        <v xml:space="preserve"> </v>
      </c>
      <c r="AO40" s="287" t="str">
        <f>IF(INDEX(machina!$A23:$FB23,MATCH(AO$19&amp;$C$17,machina[#Headers],))=""," ",INDEX(machina!$A23:$FB23,MATCH(AO$19&amp;$C$17,machina[#Headers],)))</f>
        <v xml:space="preserve"> </v>
      </c>
      <c r="AP40" s="287" t="str">
        <f>IF(INDEX(machina!$A23:$FB23,MATCH(AP$19&amp;$C$17,machina[#Headers],))=""," ",INDEX(machina!$A23:$FB23,MATCH(AP$19&amp;$C$17,machina[#Headers],)))</f>
        <v xml:space="preserve"> </v>
      </c>
      <c r="AQ40" s="287" t="str">
        <f>IF(INDEX(machina!$A23:$FB23,MATCH(AQ$19&amp;$C$17,machina[#Headers],))=""," ",INDEX(machina!$A23:$FB23,MATCH(AQ$19&amp;$C$17,machina[#Headers],)))</f>
        <v xml:space="preserve"> </v>
      </c>
      <c r="AR40" s="287" t="str">
        <f>IF(INDEX(machina!$A23:$FB23,MATCH(AR$19&amp;$C$17,machina[#Headers],))=""," ",INDEX(machina!$A23:$FB23,MATCH(AR$19&amp;$C$17,machina[#Headers],)))</f>
        <v xml:space="preserve"> </v>
      </c>
      <c r="AS40" s="287" t="str">
        <f>IF(INDEX(machina!$A23:$FB23,MATCH(AS$19&amp;$C$17,machina[#Headers],))=""," ",INDEX(machina!$A23:$FB23,MATCH(AS$19&amp;$C$17,machina[#Headers],)))</f>
        <v xml:space="preserve"> </v>
      </c>
      <c r="AT40" s="287" t="str">
        <f>IF(INDEX(machina!$A23:$FB23,MATCH(AT$19&amp;$C$17,machina[#Headers],))=""," ",INDEX(machina!$A23:$FB23,MATCH(AT$19&amp;$C$17,machina[#Headers],)))</f>
        <v xml:space="preserve"> </v>
      </c>
      <c r="AU40" s="287" t="str">
        <f>IF(INDEX(machina!$A23:$FB23,MATCH(AU$19&amp;$C$17,machina[#Headers],))=""," ",INDEX(machina!$A23:$FB23,MATCH(AU$19&amp;$C$17,machina[#Headers],)))</f>
        <v xml:space="preserve"> </v>
      </c>
      <c r="AV40" s="287" t="str">
        <f>IF(INDEX(machina!$A23:$FB23,MATCH(AV$19&amp;$C$17,machina[#Headers],))=""," ",INDEX(machina!$A23:$FB23,MATCH(AV$19&amp;$C$17,machina[#Headers],)))</f>
        <v xml:space="preserve"> </v>
      </c>
      <c r="AW40" s="287" t="str">
        <f>IF(INDEX(machina!$A23:$FB23,MATCH(AW$19&amp;$C$17,machina[#Headers],))=""," ",INDEX(machina!$A23:$FB23,MATCH(AW$19&amp;$C$17,machina[#Headers],)))</f>
        <v xml:space="preserve"> </v>
      </c>
      <c r="AX40" s="287" t="str">
        <f>IF(INDEX(machina!$A23:$FB23,MATCH(AX$19&amp;$C$17,machina[#Headers],))=""," ",INDEX(machina!$A23:$FB23,MATCH(AX$19&amp;$C$17,machina[#Headers],)))</f>
        <v xml:space="preserve"> </v>
      </c>
      <c r="AY40" s="287" t="str">
        <f>IF(INDEX(machina!$A23:$FB23,MATCH(AY$19&amp;$C$17,machina[#Headers],))=""," ",INDEX(machina!$A23:$FB23,MATCH(AY$19&amp;$C$17,machina[#Headers],)))</f>
        <v xml:space="preserve"> </v>
      </c>
      <c r="AZ40" s="287" t="str">
        <f>IF(INDEX(machina!$A23:$FB23,MATCH(AZ$19&amp;$C$17,machina[#Headers],))=""," ",INDEX(machina!$A23:$FB23,MATCH(AZ$19&amp;$C$17,machina[#Headers],)))</f>
        <v xml:space="preserve"> </v>
      </c>
      <c r="BA40" s="287" t="str">
        <f>IF(INDEX(machina!$A23:$FB23,MATCH(BA$19&amp;$C$17,machina[#Headers],))=""," ",INDEX(machina!$A23:$FB23,MATCH(BA$19&amp;$C$17,machina[#Headers],)))</f>
        <v xml:space="preserve"> </v>
      </c>
      <c r="BB40" s="287" t="str">
        <f>IF(INDEX(machina!$A23:$FB23,MATCH(BB$19&amp;$C$17,machina[#Headers],))=""," ",INDEX(machina!$A23:$FB23,MATCH(BB$19&amp;$C$17,machina[#Headers],)))</f>
        <v xml:space="preserve"> </v>
      </c>
      <c r="BC40" s="287" t="str">
        <f>IF(INDEX(machina!$A23:$FB23,MATCH(BC$19&amp;$C$17,machina[#Headers],))=""," ",INDEX(machina!$A23:$FB23,MATCH(BC$19&amp;$C$17,machina[#Headers],)))</f>
        <v xml:space="preserve"> </v>
      </c>
      <c r="BD40" s="287" t="str">
        <f>IF(INDEX(machina!$A23:$FB23,MATCH(BD$19&amp;$C$17,machina[#Headers],))=""," ",INDEX(machina!$A23:$FB23,MATCH(BD$19&amp;$C$17,machina[#Headers],)))</f>
        <v xml:space="preserve"> </v>
      </c>
      <c r="BE40" s="287" t="str">
        <f>IF(INDEX(machina!$A23:$FB23,MATCH(BE$19&amp;$C$17,machina[#Headers],))=""," ",INDEX(machina!$A23:$FB23,MATCH(BE$19&amp;$C$17,machina[#Headers],)))</f>
        <v xml:space="preserve"> </v>
      </c>
      <c r="BF40" s="287" t="str">
        <f>IF(INDEX(machina!$A23:$FB23,MATCH(BF$19&amp;$C$17,machina[#Headers],))=""," ",INDEX(machina!$A23:$FB23,MATCH(BF$19&amp;$C$17,machina[#Headers],)))</f>
        <v xml:space="preserve"> </v>
      </c>
      <c r="BG40" s="287" t="str">
        <f>IF(INDEX(machina!$A23:$FB23,MATCH(BG$19&amp;$C$17,machina[#Headers],))=""," ",INDEX(machina!$A23:$FB23,MATCH(BG$19&amp;$C$17,machina[#Headers],)))</f>
        <v xml:space="preserve"> </v>
      </c>
      <c r="BH40" s="287" t="str">
        <f>IF(INDEX(machina!$A23:$FB23,MATCH(BH$19&amp;$C$17,machina[#Headers],))=""," ",INDEX(machina!$A23:$FB23,MATCH(BH$19&amp;$C$17,machina[#Headers],)))</f>
        <v xml:space="preserve"> </v>
      </c>
      <c r="BI40" s="287" t="str">
        <f>IF(INDEX(machina!$A23:$FB23,MATCH(BI$19&amp;$C$17,machina[#Headers],))=""," ",INDEX(machina!$A23:$FB23,MATCH(BI$19&amp;$C$17,machina[#Headers],)))</f>
        <v xml:space="preserve"> </v>
      </c>
      <c r="BJ40" s="287" t="str">
        <f>IF(INDEX(machina!$A23:$FB23,MATCH(BJ$19&amp;$C$17,machina[#Headers],))=""," ",INDEX(machina!$A23:$FB23,MATCH(BJ$19&amp;$C$17,machina[#Headers],)))</f>
        <v xml:space="preserve"> </v>
      </c>
      <c r="BK40" s="287" t="str">
        <f>IF(INDEX(machina!$A23:$FB23,MATCH(BK$19&amp;$C$17,machina[#Headers],))=""," ",INDEX(machina!$A23:$FB23,MATCH(BK$19&amp;$C$17,machina[#Headers],)))</f>
        <v xml:space="preserve"> </v>
      </c>
      <c r="BL40" s="287" t="str">
        <f>IF(INDEX(machina!$A23:$FB23,MATCH(BL$19&amp;$C$17,machina[#Headers],))=""," ",INDEX(machina!$A23:$FB23,MATCH(BL$19&amp;$C$17,machina[#Headers],)))</f>
        <v xml:space="preserve"> </v>
      </c>
      <c r="BM40" s="287" t="str">
        <f>IF(INDEX(machina!$A23:$FB23,MATCH(BM$19&amp;$C$17,machina[#Headers],))=""," ",INDEX(machina!$A23:$FB23,MATCH(BM$19&amp;$C$17,machina[#Headers],)))</f>
        <v xml:space="preserve"> </v>
      </c>
      <c r="BN40" s="287" t="str">
        <f>IF(INDEX(machina!$A23:$FB23,MATCH(BN$19&amp;$C$17,machina[#Headers],))=""," ",INDEX(machina!$A23:$FB23,MATCH(BN$19&amp;$C$17,machina[#Headers],)))</f>
        <v xml:space="preserve"> </v>
      </c>
      <c r="BO40" s="287" t="str">
        <f>IF(INDEX(machina!$A23:$FB23,MATCH(BO$19&amp;$C$17,machina[#Headers],))=""," ",INDEX(machina!$A23:$FB23,MATCH(BO$19&amp;$C$17,machina[#Headers],)))</f>
        <v xml:space="preserve"> </v>
      </c>
      <c r="BP40" s="287" t="str">
        <f>IF(INDEX(machina!$A23:$FB23,MATCH(BP$19&amp;$C$17,machina[#Headers],))=""," ",INDEX(machina!$A23:$FB23,MATCH(BP$19&amp;$C$17,machina[#Headers],)))</f>
        <v xml:space="preserve"> </v>
      </c>
      <c r="BQ40" s="287" t="str">
        <f>IF(INDEX(machina!$A23:$FB23,MATCH(BQ$19&amp;$C$17,machina[#Headers],))=""," ",INDEX(machina!$A23:$FB23,MATCH(BQ$19&amp;$C$17,machina[#Headers],)))</f>
        <v xml:space="preserve"> </v>
      </c>
      <c r="BR40" s="287" t="str">
        <f>IF(INDEX(machina!$A23:$FB23,MATCH(BR$19&amp;$C$17,machina[#Headers],))=""," ",INDEX(machina!$A23:$FB23,MATCH(BR$19&amp;$C$17,machina[#Headers],)))</f>
        <v xml:space="preserve"> </v>
      </c>
      <c r="BS40" s="287" t="str">
        <f>IF(INDEX(machina!$A23:$FB23,MATCH(BS$19&amp;$C$17,machina[#Headers],))=""," ",INDEX(machina!$A23:$FB23,MATCH(BS$19&amp;$C$17,machina[#Headers],)))</f>
        <v xml:space="preserve"> </v>
      </c>
      <c r="BT40" s="287" t="str">
        <f>IF(INDEX(machina!$A23:$FB23,MATCH(BT$19&amp;$C$17,machina[#Headers],))=""," ",INDEX(machina!$A23:$FB23,MATCH(BT$19&amp;$C$17,machina[#Headers],)))</f>
        <v xml:space="preserve"> </v>
      </c>
      <c r="BU40" s="287" t="str">
        <f>IF(INDEX(machina!$A23:$FB23,MATCH(BU$19&amp;$C$17,machina[#Headers],))=""," ",INDEX(machina!$A23:$FB23,MATCH(BU$19&amp;$C$17,machina[#Headers],)))</f>
        <v xml:space="preserve"> </v>
      </c>
      <c r="BV40" s="287" t="str">
        <f>IF(INDEX(machina!$A23:$FB23,MATCH(BV$19&amp;$C$17,machina[#Headers],))=""," ",INDEX(machina!$A23:$FB23,MATCH(BV$19&amp;$C$17,machina[#Headers],)))</f>
        <v xml:space="preserve"> </v>
      </c>
      <c r="BW40" s="287" t="str">
        <f>IF(INDEX(machina!$A23:$FB23,MATCH(BW$19&amp;$C$17,machina[#Headers],))=""," ",INDEX(machina!$A23:$FB23,MATCH(BW$19&amp;$C$17,machina[#Headers],)))</f>
        <v xml:space="preserve"> </v>
      </c>
      <c r="BX40" s="287" t="str">
        <f>IF(INDEX(machina!$A23:$FB23,MATCH(BX$19&amp;$C$17,machina[#Headers],))=""," ",INDEX(machina!$A23:$FB23,MATCH(BX$19&amp;$C$17,machina[#Headers],)))</f>
        <v xml:space="preserve"> </v>
      </c>
      <c r="BY40" s="287" t="str">
        <f>IF(INDEX(machina!$A23:$FB23,MATCH(BY$19&amp;$C$17,machina[#Headers],))=""," ",INDEX(machina!$A23:$FB23,MATCH(BY$19&amp;$C$17,machina[#Headers],)))</f>
        <v xml:space="preserve"> </v>
      </c>
      <c r="BZ40" s="287" t="str">
        <f>IF(INDEX(machina!$A23:$FB23,MATCH(BZ$19&amp;$C$17,machina[#Headers],))=""," ",INDEX(machina!$A23:$FB23,MATCH(BZ$19&amp;$C$17,machina[#Headers],)))</f>
        <v xml:space="preserve"> </v>
      </c>
      <c r="CA40" s="287" t="str">
        <f>IF(INDEX(machina!$A23:$FB23,MATCH(CA$19&amp;$C$17,machina[#Headers],))=""," ",INDEX(machina!$A23:$FB23,MATCH(CA$19&amp;$C$17,machina[#Headers],)))</f>
        <v xml:space="preserve"> </v>
      </c>
      <c r="CB40" s="288" t="str">
        <f>IF(INDEX('Raw Data'!$A23:$EA23,MATCH(CB$19,RawData[#Headers],))=""," ",INDEX('Raw Data'!$A23:$EA23,MATCH(CB$19,RawData[#Headers],)))</f>
        <v xml:space="preserve"> </v>
      </c>
      <c r="CD40" s="298" t="str">
        <f t="shared" si="61"/>
        <v xml:space="preserve"> </v>
      </c>
      <c r="CE40" s="298" t="str">
        <f t="shared" si="42"/>
        <v/>
      </c>
      <c r="CF40" s="298" t="str">
        <f t="shared" si="43"/>
        <v xml:space="preserve"> </v>
      </c>
      <c r="CG40" s="298" t="str">
        <f>IF(CE40=""," ",INDEX($CU$9:$CU$12,MATCH(CF40,analysis[CLUSTER],0)))</f>
        <v xml:space="preserve"> </v>
      </c>
      <c r="CH40" s="298" t="str">
        <f t="shared" si="44"/>
        <v xml:space="preserve"> </v>
      </c>
      <c r="CI40" s="298" t="str">
        <f t="shared" si="45"/>
        <v xml:space="preserve"> </v>
      </c>
      <c r="CJ40" s="274"/>
      <c r="CK40" s="298"/>
      <c r="CL40" s="298" t="str">
        <f t="shared" si="46"/>
        <v/>
      </c>
      <c r="CM40" s="326"/>
      <c r="CN40" s="326"/>
      <c r="CO40" s="326"/>
      <c r="CP40" s="326"/>
      <c r="CQ40" s="315" t="str">
        <f t="shared" si="38"/>
        <v/>
      </c>
      <c r="CR40" s="333" t="str">
        <f t="shared" si="47"/>
        <v xml:space="preserve"> </v>
      </c>
      <c r="CS40" s="333" t="str">
        <f t="shared" si="48"/>
        <v xml:space="preserve"> </v>
      </c>
      <c r="CT40" s="333" t="str">
        <f t="shared" si="49"/>
        <v xml:space="preserve"> </v>
      </c>
      <c r="CU40" s="333" t="str">
        <f t="shared" si="50"/>
        <v xml:space="preserve"> </v>
      </c>
      <c r="CV40" s="326"/>
      <c r="CW40" s="315" t="str">
        <f t="shared" si="51"/>
        <v/>
      </c>
      <c r="CX40" s="333" t="str">
        <f t="shared" si="52"/>
        <v xml:space="preserve"> </v>
      </c>
      <c r="CY40" s="333" t="str">
        <f t="shared" si="62"/>
        <v xml:space="preserve"> </v>
      </c>
      <c r="CZ40" s="333" t="str">
        <f t="shared" si="62"/>
        <v xml:space="preserve"> </v>
      </c>
      <c r="DA40" s="333" t="str">
        <f t="shared" si="62"/>
        <v xml:space="preserve"> </v>
      </c>
      <c r="DB40" s="326">
        <v>21</v>
      </c>
      <c r="DC40" s="337" t="str">
        <f t="shared" si="54"/>
        <v xml:space="preserve"> </v>
      </c>
      <c r="DD40" s="337" t="str">
        <f t="shared" si="55"/>
        <v xml:space="preserve"> </v>
      </c>
      <c r="DE40" s="337" t="str">
        <f t="shared" si="56"/>
        <v xml:space="preserve"> </v>
      </c>
      <c r="DF40" s="337" t="str">
        <f t="shared" si="57"/>
        <v xml:space="preserve"> </v>
      </c>
      <c r="DG40" s="344" t="str">
        <f t="shared" si="58"/>
        <v xml:space="preserve"> </v>
      </c>
      <c r="DH40" s="337" t="str">
        <f t="shared" si="59"/>
        <v xml:space="preserve"> </v>
      </c>
      <c r="DI40" s="337" t="str">
        <f t="shared" si="59"/>
        <v xml:space="preserve"> </v>
      </c>
      <c r="DJ40" s="337" t="str">
        <f t="shared" si="59"/>
        <v xml:space="preserve"> </v>
      </c>
      <c r="DK40" s="337" t="str">
        <f t="shared" si="59"/>
        <v xml:space="preserve"> </v>
      </c>
      <c r="DL40" s="344" t="str">
        <f t="shared" si="60"/>
        <v xml:space="preserve"> </v>
      </c>
      <c r="DN40" s="292" t="str">
        <f>IFERROR(VLOOKUP($A40,'Raw Data'!$A$3:$EV$32,152,FALSE)," ")</f>
        <v xml:space="preserve"> </v>
      </c>
    </row>
    <row r="41" spans="1:118" x14ac:dyDescent="0.3">
      <c r="A41" s="255">
        <f>'Raw Data'!A24</f>
        <v>0</v>
      </c>
      <c r="B41" s="287" t="str">
        <f>IF(INDEX(machina!$A24:$FB24,MATCH(B$19&amp;$C$17,machina[#Headers],))=""," ",INDEX(machina!$A24:$FB24,MATCH(B$19&amp;$C$17,machina[#Headers],)))</f>
        <v xml:space="preserve"> </v>
      </c>
      <c r="C41" s="287" t="str">
        <f>IF(INDEX(machina!$A24:$FB24,MATCH(C$19&amp;$C$17,machina[#Headers],))=""," ",INDEX(machina!$A24:$FB24,MATCH(C$19&amp;$C$17,machina[#Headers],)))</f>
        <v xml:space="preserve"> </v>
      </c>
      <c r="D41" s="287" t="str">
        <f>IF(INDEX(machina!$A24:$FB24,MATCH(D$19&amp;$C$17,machina[#Headers],))=""," ",INDEX(machina!$A24:$FB24,MATCH(D$19&amp;$C$17,machina[#Headers],)))</f>
        <v xml:space="preserve"> </v>
      </c>
      <c r="E41" s="287" t="str">
        <f>IF(INDEX(machina!$A24:$FB24,MATCH(E$19&amp;$C$17,machina[#Headers],))=""," ",INDEX(machina!$A24:$FB24,MATCH(E$19&amp;$C$17,machina[#Headers],)))</f>
        <v xml:space="preserve"> </v>
      </c>
      <c r="F41" s="287" t="str">
        <f>IF(INDEX(machina!$A24:$FB24,MATCH(F$19&amp;$C$17,machina[#Headers],))=""," ",INDEX(machina!$A24:$FB24,MATCH(F$19&amp;$C$17,machina[#Headers],)))</f>
        <v xml:space="preserve"> </v>
      </c>
      <c r="G41" s="287" t="str">
        <f>IF(INDEX(machina!$A24:$FB24,MATCH(G$19&amp;$C$17,machina[#Headers],))=""," ",INDEX(machina!$A24:$FB24,MATCH(G$19&amp;$C$17,machina[#Headers],)))</f>
        <v xml:space="preserve"> </v>
      </c>
      <c r="H41" s="287" t="str">
        <f>IF(INDEX(machina!$A24:$FB24,MATCH(H$19&amp;$C$17,machina[#Headers],))=""," ",INDEX(machina!$A24:$FB24,MATCH(H$19&amp;$C$17,machina[#Headers],)))</f>
        <v xml:space="preserve"> </v>
      </c>
      <c r="I41" s="287" t="str">
        <f>IF(INDEX(machina!$A24:$FB24,MATCH(I$19&amp;$C$17,machina[#Headers],))=""," ",INDEX(machina!$A24:$FB24,MATCH(I$19&amp;$C$17,machina[#Headers],)))</f>
        <v xml:space="preserve"> </v>
      </c>
      <c r="J41" s="287" t="str">
        <f>IF(INDEX(machina!$A24:$FB24,MATCH(J$19&amp;$C$17,machina[#Headers],))=""," ",INDEX(machina!$A24:$FB24,MATCH(J$19&amp;$C$17,machina[#Headers],)))</f>
        <v xml:space="preserve"> </v>
      </c>
      <c r="K41" s="287" t="str">
        <f>IF(INDEX(machina!$A24:$FB24,MATCH(K$19&amp;$C$17,machina[#Headers],))=""," ",INDEX(machina!$A24:$FB24,MATCH(K$19&amp;$C$17,machina[#Headers],)))</f>
        <v xml:space="preserve"> </v>
      </c>
      <c r="L41" s="287" t="str">
        <f>IF(INDEX(machina!$A24:$FB24,MATCH(L$19&amp;$C$17,machina[#Headers],))=""," ",INDEX(machina!$A24:$FB24,MATCH(L$19&amp;$C$17,machina[#Headers],)))</f>
        <v xml:space="preserve"> </v>
      </c>
      <c r="M41" s="287" t="str">
        <f>IF(INDEX(machina!$A24:$FB24,MATCH(M$19&amp;$C$17,machina[#Headers],))=""," ",INDEX(machina!$A24:$FB24,MATCH(M$19&amp;$C$17,machina[#Headers],)))</f>
        <v xml:space="preserve"> </v>
      </c>
      <c r="N41" s="287" t="str">
        <f>IF(INDEX(machina!$A24:$FB24,MATCH(N$19&amp;$C$17,machina[#Headers],))=""," ",INDEX(machina!$A24:$FB24,MATCH(N$19&amp;$C$17,machina[#Headers],)))</f>
        <v xml:space="preserve"> </v>
      </c>
      <c r="O41" s="287" t="str">
        <f>IF(INDEX(machina!$A24:$FB24,MATCH(O$19&amp;$C$17,machina[#Headers],))=""," ",INDEX(machina!$A24:$FB24,MATCH(O$19&amp;$C$17,machina[#Headers],)))</f>
        <v xml:space="preserve"> </v>
      </c>
      <c r="P41" s="287" t="str">
        <f>IF(INDEX(machina!$A24:$FB24,MATCH(P$19&amp;$C$17,machina[#Headers],))=""," ",INDEX(machina!$A24:$FB24,MATCH(P$19&amp;$C$17,machina[#Headers],)))</f>
        <v xml:space="preserve"> </v>
      </c>
      <c r="Q41" s="287" t="str">
        <f>IF(INDEX(machina!$A24:$FB24,MATCH(Q$19&amp;$C$17,machina[#Headers],))=""," ",INDEX(machina!$A24:$FB24,MATCH(Q$19&amp;$C$17,machina[#Headers],)))</f>
        <v xml:space="preserve"> </v>
      </c>
      <c r="R41" s="287" t="str">
        <f>IF(INDEX(machina!$A24:$FB24,MATCH(R$19&amp;$C$17,machina[#Headers],))=""," ",INDEX(machina!$A24:$FB24,MATCH(R$19&amp;$C$17,machina[#Headers],)))</f>
        <v xml:space="preserve"> </v>
      </c>
      <c r="S41" s="287" t="str">
        <f>IF(INDEX(machina!$A24:$FB24,MATCH(S$19&amp;$C$17,machina[#Headers],))=""," ",INDEX(machina!$A24:$FB24,MATCH(S$19&amp;$C$17,machina[#Headers],)))</f>
        <v xml:space="preserve"> </v>
      </c>
      <c r="T41" s="287" t="str">
        <f>IF(INDEX(machina!$A24:$FB24,MATCH(T$19&amp;$C$17,machina[#Headers],))=""," ",INDEX(machina!$A24:$FB24,MATCH(T$19&amp;$C$17,machina[#Headers],)))</f>
        <v xml:space="preserve"> </v>
      </c>
      <c r="U41" s="287" t="str">
        <f>IF(INDEX(machina!$A24:$FB24,MATCH(U$19&amp;$C$17,machina[#Headers],))=""," ",INDEX(machina!$A24:$FB24,MATCH(U$19&amp;$C$17,machina[#Headers],)))</f>
        <v xml:space="preserve"> </v>
      </c>
      <c r="V41" s="287" t="str">
        <f>IF(INDEX(machina!$A24:$FB24,MATCH(V$19&amp;$C$17,machina[#Headers],))=""," ",INDEX(machina!$A24:$FB24,MATCH(V$19&amp;$C$17,machina[#Headers],)))</f>
        <v xml:space="preserve"> </v>
      </c>
      <c r="W41" s="287" t="str">
        <f>IF(INDEX(machina!$A24:$FB24,MATCH(W$19&amp;$C$17,machina[#Headers],))=""," ",INDEX(machina!$A24:$FB24,MATCH(W$19&amp;$C$17,machina[#Headers],)))</f>
        <v xml:space="preserve"> </v>
      </c>
      <c r="X41" s="287" t="str">
        <f>IF(INDEX(machina!$A24:$FB24,MATCH(X$19&amp;$C$17,machina[#Headers],))=""," ",INDEX(machina!$A24:$FB24,MATCH(X$19&amp;$C$17,machina[#Headers],)))</f>
        <v xml:space="preserve"> </v>
      </c>
      <c r="Y41" s="287" t="str">
        <f>IF(INDEX(machina!$A24:$FB24,MATCH(Y$19&amp;$C$17,machina[#Headers],))=""," ",INDEX(machina!$A24:$FB24,MATCH(Y$19&amp;$C$17,machina[#Headers],)))</f>
        <v xml:space="preserve"> </v>
      </c>
      <c r="Z41" s="287" t="str">
        <f>IF(INDEX(machina!$A24:$FB24,MATCH(Z$19&amp;$C$17,machina[#Headers],))=""," ",INDEX(machina!$A24:$FB24,MATCH(Z$19&amp;$C$17,machina[#Headers],)))</f>
        <v xml:space="preserve"> </v>
      </c>
      <c r="AA41" s="287" t="str">
        <f>IF(INDEX(machina!$A24:$FB24,MATCH(AA$19&amp;$C$17,machina[#Headers],))=""," ",INDEX(machina!$A24:$FB24,MATCH(AA$19&amp;$C$17,machina[#Headers],)))</f>
        <v xml:space="preserve"> </v>
      </c>
      <c r="AB41" s="287" t="str">
        <f>IF(INDEX(machina!$A24:$FB24,MATCH(AB$19&amp;$C$17,machina[#Headers],))=""," ",INDEX(machina!$A24:$FB24,MATCH(AB$19&amp;$C$17,machina[#Headers],)))</f>
        <v xml:space="preserve"> </v>
      </c>
      <c r="AC41" s="287" t="str">
        <f>IF(INDEX(machina!$A24:$FB24,MATCH(AC$19&amp;$C$17,machina[#Headers],))=""," ",INDEX(machina!$A24:$FB24,MATCH(AC$19&amp;$C$17,machina[#Headers],)))</f>
        <v xml:space="preserve"> </v>
      </c>
      <c r="AD41" s="287" t="str">
        <f>IF(INDEX(machina!$A24:$FB24,MATCH(AD$19&amp;$C$17,machina[#Headers],))=""," ",INDEX(machina!$A24:$FB24,MATCH(AD$19&amp;$C$17,machina[#Headers],)))</f>
        <v xml:space="preserve"> </v>
      </c>
      <c r="AE41" s="287" t="str">
        <f>IF(INDEX(machina!$A24:$FB24,MATCH(AE$19&amp;$C$17,machina[#Headers],))=""," ",INDEX(machina!$A24:$FB24,MATCH(AE$19&amp;$C$17,machina[#Headers],)))</f>
        <v xml:space="preserve"> </v>
      </c>
      <c r="AF41" s="287" t="str">
        <f>IF(INDEX(machina!$A24:$FB24,MATCH(AF$19&amp;$C$17,machina[#Headers],))=""," ",INDEX(machina!$A24:$FB24,MATCH(AF$19&amp;$C$17,machina[#Headers],)))</f>
        <v xml:space="preserve"> </v>
      </c>
      <c r="AG41" s="287" t="str">
        <f>IF(INDEX(machina!$A24:$FB24,MATCH(AG$19&amp;$C$17,machina[#Headers],))=""," ",INDEX(machina!$A24:$FB24,MATCH(AG$19&amp;$C$17,machina[#Headers],)))</f>
        <v xml:space="preserve"> </v>
      </c>
      <c r="AH41" s="287" t="str">
        <f>IF(INDEX(machina!$A24:$FB24,MATCH(AH$19&amp;$C$17,machina[#Headers],))=""," ",INDEX(machina!$A24:$FB24,MATCH(AH$19&amp;$C$17,machina[#Headers],)))</f>
        <v xml:space="preserve"> </v>
      </c>
      <c r="AI41" s="287" t="str">
        <f>IF(INDEX(machina!$A24:$FB24,MATCH(AI$19&amp;$C$17,machina[#Headers],))=""," ",INDEX(machina!$A24:$FB24,MATCH(AI$19&amp;$C$17,machina[#Headers],)))</f>
        <v xml:space="preserve"> </v>
      </c>
      <c r="AJ41" s="287" t="str">
        <f>IF(INDEX(machina!$A24:$FB24,MATCH(AJ$19&amp;$C$17,machina[#Headers],))=""," ",INDEX(machina!$A24:$FB24,MATCH(AJ$19&amp;$C$17,machina[#Headers],)))</f>
        <v xml:space="preserve"> </v>
      </c>
      <c r="AK41" s="287" t="str">
        <f>IF(INDEX(machina!$A24:$FB24,MATCH(AK$19&amp;$C$17,machina[#Headers],))=""," ",INDEX(machina!$A24:$FB24,MATCH(AK$19&amp;$C$17,machina[#Headers],)))</f>
        <v xml:space="preserve"> </v>
      </c>
      <c r="AL41" s="287" t="str">
        <f>IF(INDEX(machina!$A24:$FB24,MATCH(AL$19&amp;$C$17,machina[#Headers],))=""," ",INDEX(machina!$A24:$FB24,MATCH(AL$19&amp;$C$17,machina[#Headers],)))</f>
        <v xml:space="preserve"> </v>
      </c>
      <c r="AM41" s="287" t="str">
        <f>IF(INDEX(machina!$A24:$FB24,MATCH(AM$19&amp;$C$17,machina[#Headers],))=""," ",INDEX(machina!$A24:$FB24,MATCH(AM$19&amp;$C$17,machina[#Headers],)))</f>
        <v xml:space="preserve"> </v>
      </c>
      <c r="AN41" s="287" t="str">
        <f>IF(INDEX(machina!$A24:$FB24,MATCH(AN$19&amp;$C$17,machina[#Headers],))=""," ",INDEX(machina!$A24:$FB24,MATCH(AN$19&amp;$C$17,machina[#Headers],)))</f>
        <v xml:space="preserve"> </v>
      </c>
      <c r="AO41" s="287" t="str">
        <f>IF(INDEX(machina!$A24:$FB24,MATCH(AO$19&amp;$C$17,machina[#Headers],))=""," ",INDEX(machina!$A24:$FB24,MATCH(AO$19&amp;$C$17,machina[#Headers],)))</f>
        <v xml:space="preserve"> </v>
      </c>
      <c r="AP41" s="287" t="str">
        <f>IF(INDEX(machina!$A24:$FB24,MATCH(AP$19&amp;$C$17,machina[#Headers],))=""," ",INDEX(machina!$A24:$FB24,MATCH(AP$19&amp;$C$17,machina[#Headers],)))</f>
        <v xml:space="preserve"> </v>
      </c>
      <c r="AQ41" s="287" t="str">
        <f>IF(INDEX(machina!$A24:$FB24,MATCH(AQ$19&amp;$C$17,machina[#Headers],))=""," ",INDEX(machina!$A24:$FB24,MATCH(AQ$19&amp;$C$17,machina[#Headers],)))</f>
        <v xml:space="preserve"> </v>
      </c>
      <c r="AR41" s="287" t="str">
        <f>IF(INDEX(machina!$A24:$FB24,MATCH(AR$19&amp;$C$17,machina[#Headers],))=""," ",INDEX(machina!$A24:$FB24,MATCH(AR$19&amp;$C$17,machina[#Headers],)))</f>
        <v xml:space="preserve"> </v>
      </c>
      <c r="AS41" s="287" t="str">
        <f>IF(INDEX(machina!$A24:$FB24,MATCH(AS$19&amp;$C$17,machina[#Headers],))=""," ",INDEX(machina!$A24:$FB24,MATCH(AS$19&amp;$C$17,machina[#Headers],)))</f>
        <v xml:space="preserve"> </v>
      </c>
      <c r="AT41" s="287" t="str">
        <f>IF(INDEX(machina!$A24:$FB24,MATCH(AT$19&amp;$C$17,machina[#Headers],))=""," ",INDEX(machina!$A24:$FB24,MATCH(AT$19&amp;$C$17,machina[#Headers],)))</f>
        <v xml:space="preserve"> </v>
      </c>
      <c r="AU41" s="287" t="str">
        <f>IF(INDEX(machina!$A24:$FB24,MATCH(AU$19&amp;$C$17,machina[#Headers],))=""," ",INDEX(machina!$A24:$FB24,MATCH(AU$19&amp;$C$17,machina[#Headers],)))</f>
        <v xml:space="preserve"> </v>
      </c>
      <c r="AV41" s="287" t="str">
        <f>IF(INDEX(machina!$A24:$FB24,MATCH(AV$19&amp;$C$17,machina[#Headers],))=""," ",INDEX(machina!$A24:$FB24,MATCH(AV$19&amp;$C$17,machina[#Headers],)))</f>
        <v xml:space="preserve"> </v>
      </c>
      <c r="AW41" s="287" t="str">
        <f>IF(INDEX(machina!$A24:$FB24,MATCH(AW$19&amp;$C$17,machina[#Headers],))=""," ",INDEX(machina!$A24:$FB24,MATCH(AW$19&amp;$C$17,machina[#Headers],)))</f>
        <v xml:space="preserve"> </v>
      </c>
      <c r="AX41" s="287" t="str">
        <f>IF(INDEX(machina!$A24:$FB24,MATCH(AX$19&amp;$C$17,machina[#Headers],))=""," ",INDEX(machina!$A24:$FB24,MATCH(AX$19&amp;$C$17,machina[#Headers],)))</f>
        <v xml:space="preserve"> </v>
      </c>
      <c r="AY41" s="287" t="str">
        <f>IF(INDEX(machina!$A24:$FB24,MATCH(AY$19&amp;$C$17,machina[#Headers],))=""," ",INDEX(machina!$A24:$FB24,MATCH(AY$19&amp;$C$17,machina[#Headers],)))</f>
        <v xml:space="preserve"> </v>
      </c>
      <c r="AZ41" s="287" t="str">
        <f>IF(INDEX(machina!$A24:$FB24,MATCH(AZ$19&amp;$C$17,machina[#Headers],))=""," ",INDEX(machina!$A24:$FB24,MATCH(AZ$19&amp;$C$17,machina[#Headers],)))</f>
        <v xml:space="preserve"> </v>
      </c>
      <c r="BA41" s="287" t="str">
        <f>IF(INDEX(machina!$A24:$FB24,MATCH(BA$19&amp;$C$17,machina[#Headers],))=""," ",INDEX(machina!$A24:$FB24,MATCH(BA$19&amp;$C$17,machina[#Headers],)))</f>
        <v xml:space="preserve"> </v>
      </c>
      <c r="BB41" s="287" t="str">
        <f>IF(INDEX(machina!$A24:$FB24,MATCH(BB$19&amp;$C$17,machina[#Headers],))=""," ",INDEX(machina!$A24:$FB24,MATCH(BB$19&amp;$C$17,machina[#Headers],)))</f>
        <v xml:space="preserve"> </v>
      </c>
      <c r="BC41" s="287" t="str">
        <f>IF(INDEX(machina!$A24:$FB24,MATCH(BC$19&amp;$C$17,machina[#Headers],))=""," ",INDEX(machina!$A24:$FB24,MATCH(BC$19&amp;$C$17,machina[#Headers],)))</f>
        <v xml:space="preserve"> </v>
      </c>
      <c r="BD41" s="287" t="str">
        <f>IF(INDEX(machina!$A24:$FB24,MATCH(BD$19&amp;$C$17,machina[#Headers],))=""," ",INDEX(machina!$A24:$FB24,MATCH(BD$19&amp;$C$17,machina[#Headers],)))</f>
        <v xml:space="preserve"> </v>
      </c>
      <c r="BE41" s="287" t="str">
        <f>IF(INDEX(machina!$A24:$FB24,MATCH(BE$19&amp;$C$17,machina[#Headers],))=""," ",INDEX(machina!$A24:$FB24,MATCH(BE$19&amp;$C$17,machina[#Headers],)))</f>
        <v xml:space="preserve"> </v>
      </c>
      <c r="BF41" s="287" t="str">
        <f>IF(INDEX(machina!$A24:$FB24,MATCH(BF$19&amp;$C$17,machina[#Headers],))=""," ",INDEX(machina!$A24:$FB24,MATCH(BF$19&amp;$C$17,machina[#Headers],)))</f>
        <v xml:space="preserve"> </v>
      </c>
      <c r="BG41" s="287" t="str">
        <f>IF(INDEX(machina!$A24:$FB24,MATCH(BG$19&amp;$C$17,machina[#Headers],))=""," ",INDEX(machina!$A24:$FB24,MATCH(BG$19&amp;$C$17,machina[#Headers],)))</f>
        <v xml:space="preserve"> </v>
      </c>
      <c r="BH41" s="287" t="str">
        <f>IF(INDEX(machina!$A24:$FB24,MATCH(BH$19&amp;$C$17,machina[#Headers],))=""," ",INDEX(machina!$A24:$FB24,MATCH(BH$19&amp;$C$17,machina[#Headers],)))</f>
        <v xml:space="preserve"> </v>
      </c>
      <c r="BI41" s="287" t="str">
        <f>IF(INDEX(machina!$A24:$FB24,MATCH(BI$19&amp;$C$17,machina[#Headers],))=""," ",INDEX(machina!$A24:$FB24,MATCH(BI$19&amp;$C$17,machina[#Headers],)))</f>
        <v xml:space="preserve"> </v>
      </c>
      <c r="BJ41" s="287" t="str">
        <f>IF(INDEX(machina!$A24:$FB24,MATCH(BJ$19&amp;$C$17,machina[#Headers],))=""," ",INDEX(machina!$A24:$FB24,MATCH(BJ$19&amp;$C$17,machina[#Headers],)))</f>
        <v xml:space="preserve"> </v>
      </c>
      <c r="BK41" s="287" t="str">
        <f>IF(INDEX(machina!$A24:$FB24,MATCH(BK$19&amp;$C$17,machina[#Headers],))=""," ",INDEX(machina!$A24:$FB24,MATCH(BK$19&amp;$C$17,machina[#Headers],)))</f>
        <v xml:space="preserve"> </v>
      </c>
      <c r="BL41" s="287" t="str">
        <f>IF(INDEX(machina!$A24:$FB24,MATCH(BL$19&amp;$C$17,machina[#Headers],))=""," ",INDEX(machina!$A24:$FB24,MATCH(BL$19&amp;$C$17,machina[#Headers],)))</f>
        <v xml:space="preserve"> </v>
      </c>
      <c r="BM41" s="287" t="str">
        <f>IF(INDEX(machina!$A24:$FB24,MATCH(BM$19&amp;$C$17,machina[#Headers],))=""," ",INDEX(machina!$A24:$FB24,MATCH(BM$19&amp;$C$17,machina[#Headers],)))</f>
        <v xml:space="preserve"> </v>
      </c>
      <c r="BN41" s="287" t="str">
        <f>IF(INDEX(machina!$A24:$FB24,MATCH(BN$19&amp;$C$17,machina[#Headers],))=""," ",INDEX(machina!$A24:$FB24,MATCH(BN$19&amp;$C$17,machina[#Headers],)))</f>
        <v xml:space="preserve"> </v>
      </c>
      <c r="BO41" s="287" t="str">
        <f>IF(INDEX(machina!$A24:$FB24,MATCH(BO$19&amp;$C$17,machina[#Headers],))=""," ",INDEX(machina!$A24:$FB24,MATCH(BO$19&amp;$C$17,machina[#Headers],)))</f>
        <v xml:space="preserve"> </v>
      </c>
      <c r="BP41" s="287" t="str">
        <f>IF(INDEX(machina!$A24:$FB24,MATCH(BP$19&amp;$C$17,machina[#Headers],))=""," ",INDEX(machina!$A24:$FB24,MATCH(BP$19&amp;$C$17,machina[#Headers],)))</f>
        <v xml:space="preserve"> </v>
      </c>
      <c r="BQ41" s="287" t="str">
        <f>IF(INDEX(machina!$A24:$FB24,MATCH(BQ$19&amp;$C$17,machina[#Headers],))=""," ",INDEX(machina!$A24:$FB24,MATCH(BQ$19&amp;$C$17,machina[#Headers],)))</f>
        <v xml:space="preserve"> </v>
      </c>
      <c r="BR41" s="287" t="str">
        <f>IF(INDEX(machina!$A24:$FB24,MATCH(BR$19&amp;$C$17,machina[#Headers],))=""," ",INDEX(machina!$A24:$FB24,MATCH(BR$19&amp;$C$17,machina[#Headers],)))</f>
        <v xml:space="preserve"> </v>
      </c>
      <c r="BS41" s="287" t="str">
        <f>IF(INDEX(machina!$A24:$FB24,MATCH(BS$19&amp;$C$17,machina[#Headers],))=""," ",INDEX(machina!$A24:$FB24,MATCH(BS$19&amp;$C$17,machina[#Headers],)))</f>
        <v xml:space="preserve"> </v>
      </c>
      <c r="BT41" s="287" t="str">
        <f>IF(INDEX(machina!$A24:$FB24,MATCH(BT$19&amp;$C$17,machina[#Headers],))=""," ",INDEX(machina!$A24:$FB24,MATCH(BT$19&amp;$C$17,machina[#Headers],)))</f>
        <v xml:space="preserve"> </v>
      </c>
      <c r="BU41" s="287" t="str">
        <f>IF(INDEX(machina!$A24:$FB24,MATCH(BU$19&amp;$C$17,machina[#Headers],))=""," ",INDEX(machina!$A24:$FB24,MATCH(BU$19&amp;$C$17,machina[#Headers],)))</f>
        <v xml:space="preserve"> </v>
      </c>
      <c r="BV41" s="287" t="str">
        <f>IF(INDEX(machina!$A24:$FB24,MATCH(BV$19&amp;$C$17,machina[#Headers],))=""," ",INDEX(machina!$A24:$FB24,MATCH(BV$19&amp;$C$17,machina[#Headers],)))</f>
        <v xml:space="preserve"> </v>
      </c>
      <c r="BW41" s="287" t="str">
        <f>IF(INDEX(machina!$A24:$FB24,MATCH(BW$19&amp;$C$17,machina[#Headers],))=""," ",INDEX(machina!$A24:$FB24,MATCH(BW$19&amp;$C$17,machina[#Headers],)))</f>
        <v xml:space="preserve"> </v>
      </c>
      <c r="BX41" s="287" t="str">
        <f>IF(INDEX(machina!$A24:$FB24,MATCH(BX$19&amp;$C$17,machina[#Headers],))=""," ",INDEX(machina!$A24:$FB24,MATCH(BX$19&amp;$C$17,machina[#Headers],)))</f>
        <v xml:space="preserve"> </v>
      </c>
      <c r="BY41" s="287" t="str">
        <f>IF(INDEX(machina!$A24:$FB24,MATCH(BY$19&amp;$C$17,machina[#Headers],))=""," ",INDEX(machina!$A24:$FB24,MATCH(BY$19&amp;$C$17,machina[#Headers],)))</f>
        <v xml:space="preserve"> </v>
      </c>
      <c r="BZ41" s="287" t="str">
        <f>IF(INDEX(machina!$A24:$FB24,MATCH(BZ$19&amp;$C$17,machina[#Headers],))=""," ",INDEX(machina!$A24:$FB24,MATCH(BZ$19&amp;$C$17,machina[#Headers],)))</f>
        <v xml:space="preserve"> </v>
      </c>
      <c r="CA41" s="287" t="str">
        <f>IF(INDEX(machina!$A24:$FB24,MATCH(CA$19&amp;$C$17,machina[#Headers],))=""," ",INDEX(machina!$A24:$FB24,MATCH(CA$19&amp;$C$17,machina[#Headers],)))</f>
        <v xml:space="preserve"> </v>
      </c>
      <c r="CB41" s="288" t="str">
        <f>IF(INDEX('Raw Data'!$A24:$EA24,MATCH(CB$19,RawData[#Headers],))=""," ",INDEX('Raw Data'!$A24:$EA24,MATCH(CB$19,RawData[#Headers],)))</f>
        <v xml:space="preserve"> </v>
      </c>
      <c r="CD41" s="299" t="str">
        <f t="shared" si="61"/>
        <v xml:space="preserve"> </v>
      </c>
      <c r="CE41" s="299" t="str">
        <f t="shared" si="42"/>
        <v/>
      </c>
      <c r="CF41" s="299" t="str">
        <f t="shared" si="43"/>
        <v xml:space="preserve"> </v>
      </c>
      <c r="CG41" s="299" t="str">
        <f>IF(CE41=""," ",INDEX($CU$9:$CU$12,MATCH(CF41,analysis[CLUSTER],0)))</f>
        <v xml:space="preserve"> </v>
      </c>
      <c r="CH41" s="299" t="str">
        <f t="shared" si="44"/>
        <v xml:space="preserve"> </v>
      </c>
      <c r="CI41" s="298" t="str">
        <f t="shared" si="45"/>
        <v xml:space="preserve"> </v>
      </c>
      <c r="CJ41" s="274"/>
      <c r="CK41" s="299"/>
      <c r="CL41" s="298" t="str">
        <f t="shared" si="46"/>
        <v/>
      </c>
      <c r="CM41" s="326"/>
      <c r="CN41" s="326"/>
      <c r="CO41" s="326"/>
      <c r="CP41" s="326"/>
      <c r="CQ41" s="315" t="str">
        <f t="shared" si="38"/>
        <v/>
      </c>
      <c r="CR41" s="333" t="str">
        <f t="shared" si="47"/>
        <v xml:space="preserve"> </v>
      </c>
      <c r="CS41" s="333" t="str">
        <f t="shared" si="48"/>
        <v xml:space="preserve"> </v>
      </c>
      <c r="CT41" s="333" t="str">
        <f t="shared" si="49"/>
        <v xml:space="preserve"> </v>
      </c>
      <c r="CU41" s="333" t="str">
        <f t="shared" si="50"/>
        <v xml:space="preserve"> </v>
      </c>
      <c r="CV41" s="326"/>
      <c r="CW41" s="315" t="str">
        <f t="shared" si="51"/>
        <v/>
      </c>
      <c r="CX41" s="333" t="str">
        <f t="shared" si="52"/>
        <v xml:space="preserve"> </v>
      </c>
      <c r="CY41" s="333" t="str">
        <f t="shared" si="62"/>
        <v xml:space="preserve"> </v>
      </c>
      <c r="CZ41" s="333" t="str">
        <f t="shared" si="62"/>
        <v xml:space="preserve"> </v>
      </c>
      <c r="DA41" s="333" t="str">
        <f t="shared" si="62"/>
        <v xml:space="preserve"> </v>
      </c>
      <c r="DB41" s="326">
        <v>22</v>
      </c>
      <c r="DC41" s="337" t="str">
        <f t="shared" si="54"/>
        <v xml:space="preserve"> </v>
      </c>
      <c r="DD41" s="337" t="str">
        <f t="shared" si="55"/>
        <v xml:space="preserve"> </v>
      </c>
      <c r="DE41" s="337" t="str">
        <f t="shared" si="56"/>
        <v xml:space="preserve"> </v>
      </c>
      <c r="DF41" s="337" t="str">
        <f t="shared" si="57"/>
        <v xml:space="preserve"> </v>
      </c>
      <c r="DG41" s="344" t="str">
        <f t="shared" si="58"/>
        <v xml:space="preserve"> </v>
      </c>
      <c r="DH41" s="337" t="str">
        <f t="shared" si="59"/>
        <v xml:space="preserve"> </v>
      </c>
      <c r="DI41" s="337" t="str">
        <f t="shared" si="59"/>
        <v xml:space="preserve"> </v>
      </c>
      <c r="DJ41" s="337" t="str">
        <f t="shared" si="59"/>
        <v xml:space="preserve"> </v>
      </c>
      <c r="DK41" s="337" t="str">
        <f t="shared" si="59"/>
        <v xml:space="preserve"> </v>
      </c>
      <c r="DL41" s="344" t="str">
        <f t="shared" si="60"/>
        <v xml:space="preserve"> </v>
      </c>
      <c r="DN41" s="292" t="str">
        <f>IFERROR(VLOOKUP($A41,'Raw Data'!$A$3:$EV$32,152,FALSE)," ")</f>
        <v xml:space="preserve"> </v>
      </c>
    </row>
    <row r="42" spans="1:118" x14ac:dyDescent="0.3">
      <c r="A42" s="255">
        <f>'Raw Data'!A25</f>
        <v>0</v>
      </c>
      <c r="B42" s="287" t="str">
        <f>IF(INDEX(machina!$A25:$FB25,MATCH(B$19&amp;$C$17,machina[#Headers],))=""," ",INDEX(machina!$A25:$FB25,MATCH(B$19&amp;$C$17,machina[#Headers],)))</f>
        <v xml:space="preserve"> </v>
      </c>
      <c r="C42" s="287" t="str">
        <f>IF(INDEX(machina!$A25:$FB25,MATCH(C$19&amp;$C$17,machina[#Headers],))=""," ",INDEX(machina!$A25:$FB25,MATCH(C$19&amp;$C$17,machina[#Headers],)))</f>
        <v xml:space="preserve"> </v>
      </c>
      <c r="D42" s="287" t="str">
        <f>IF(INDEX(machina!$A25:$FB25,MATCH(D$19&amp;$C$17,machina[#Headers],))=""," ",INDEX(machina!$A25:$FB25,MATCH(D$19&amp;$C$17,machina[#Headers],)))</f>
        <v xml:space="preserve"> </v>
      </c>
      <c r="E42" s="287" t="str">
        <f>IF(INDEX(machina!$A25:$FB25,MATCH(E$19&amp;$C$17,machina[#Headers],))=""," ",INDEX(machina!$A25:$FB25,MATCH(E$19&amp;$C$17,machina[#Headers],)))</f>
        <v xml:space="preserve"> </v>
      </c>
      <c r="F42" s="287" t="str">
        <f>IF(INDEX(machina!$A25:$FB25,MATCH(F$19&amp;$C$17,machina[#Headers],))=""," ",INDEX(machina!$A25:$FB25,MATCH(F$19&amp;$C$17,machina[#Headers],)))</f>
        <v xml:space="preserve"> </v>
      </c>
      <c r="G42" s="287" t="str">
        <f>IF(INDEX(machina!$A25:$FB25,MATCH(G$19&amp;$C$17,machina[#Headers],))=""," ",INDEX(machina!$A25:$FB25,MATCH(G$19&amp;$C$17,machina[#Headers],)))</f>
        <v xml:space="preserve"> </v>
      </c>
      <c r="H42" s="287" t="str">
        <f>IF(INDEX(machina!$A25:$FB25,MATCH(H$19&amp;$C$17,machina[#Headers],))=""," ",INDEX(machina!$A25:$FB25,MATCH(H$19&amp;$C$17,machina[#Headers],)))</f>
        <v xml:space="preserve"> </v>
      </c>
      <c r="I42" s="287" t="str">
        <f>IF(INDEX(machina!$A25:$FB25,MATCH(I$19&amp;$C$17,machina[#Headers],))=""," ",INDEX(machina!$A25:$FB25,MATCH(I$19&amp;$C$17,machina[#Headers],)))</f>
        <v xml:space="preserve"> </v>
      </c>
      <c r="J42" s="287" t="str">
        <f>IF(INDEX(machina!$A25:$FB25,MATCH(J$19&amp;$C$17,machina[#Headers],))=""," ",INDEX(machina!$A25:$FB25,MATCH(J$19&amp;$C$17,machina[#Headers],)))</f>
        <v xml:space="preserve"> </v>
      </c>
      <c r="K42" s="287" t="str">
        <f>IF(INDEX(machina!$A25:$FB25,MATCH(K$19&amp;$C$17,machina[#Headers],))=""," ",INDEX(machina!$A25:$FB25,MATCH(K$19&amp;$C$17,machina[#Headers],)))</f>
        <v xml:space="preserve"> </v>
      </c>
      <c r="L42" s="287" t="str">
        <f>IF(INDEX(machina!$A25:$FB25,MATCH(L$19&amp;$C$17,machina[#Headers],))=""," ",INDEX(machina!$A25:$FB25,MATCH(L$19&amp;$C$17,machina[#Headers],)))</f>
        <v xml:space="preserve"> </v>
      </c>
      <c r="M42" s="287" t="str">
        <f>IF(INDEX(machina!$A25:$FB25,MATCH(M$19&amp;$C$17,machina[#Headers],))=""," ",INDEX(machina!$A25:$FB25,MATCH(M$19&amp;$C$17,machina[#Headers],)))</f>
        <v xml:space="preserve"> </v>
      </c>
      <c r="N42" s="287" t="str">
        <f>IF(INDEX(machina!$A25:$FB25,MATCH(N$19&amp;$C$17,machina[#Headers],))=""," ",INDEX(machina!$A25:$FB25,MATCH(N$19&amp;$C$17,machina[#Headers],)))</f>
        <v xml:space="preserve"> </v>
      </c>
      <c r="O42" s="287" t="str">
        <f>IF(INDEX(machina!$A25:$FB25,MATCH(O$19&amp;$C$17,machina[#Headers],))=""," ",INDEX(machina!$A25:$FB25,MATCH(O$19&amp;$C$17,machina[#Headers],)))</f>
        <v xml:space="preserve"> </v>
      </c>
      <c r="P42" s="287" t="str">
        <f>IF(INDEX(machina!$A25:$FB25,MATCH(P$19&amp;$C$17,machina[#Headers],))=""," ",INDEX(machina!$A25:$FB25,MATCH(P$19&amp;$C$17,machina[#Headers],)))</f>
        <v xml:space="preserve"> </v>
      </c>
      <c r="Q42" s="287" t="str">
        <f>IF(INDEX(machina!$A25:$FB25,MATCH(Q$19&amp;$C$17,machina[#Headers],))=""," ",INDEX(machina!$A25:$FB25,MATCH(Q$19&amp;$C$17,machina[#Headers],)))</f>
        <v xml:space="preserve"> </v>
      </c>
      <c r="R42" s="287" t="str">
        <f>IF(INDEX(machina!$A25:$FB25,MATCH(R$19&amp;$C$17,machina[#Headers],))=""," ",INDEX(machina!$A25:$FB25,MATCH(R$19&amp;$C$17,machina[#Headers],)))</f>
        <v xml:space="preserve"> </v>
      </c>
      <c r="S42" s="287" t="str">
        <f>IF(INDEX(machina!$A25:$FB25,MATCH(S$19&amp;$C$17,machina[#Headers],))=""," ",INDEX(machina!$A25:$FB25,MATCH(S$19&amp;$C$17,machina[#Headers],)))</f>
        <v xml:space="preserve"> </v>
      </c>
      <c r="T42" s="287" t="str">
        <f>IF(INDEX(machina!$A25:$FB25,MATCH(T$19&amp;$C$17,machina[#Headers],))=""," ",INDEX(machina!$A25:$FB25,MATCH(T$19&amp;$C$17,machina[#Headers],)))</f>
        <v xml:space="preserve"> </v>
      </c>
      <c r="U42" s="287" t="str">
        <f>IF(INDEX(machina!$A25:$FB25,MATCH(U$19&amp;$C$17,machina[#Headers],))=""," ",INDEX(machina!$A25:$FB25,MATCH(U$19&amp;$C$17,machina[#Headers],)))</f>
        <v xml:space="preserve"> </v>
      </c>
      <c r="V42" s="287" t="str">
        <f>IF(INDEX(machina!$A25:$FB25,MATCH(V$19&amp;$C$17,machina[#Headers],))=""," ",INDEX(machina!$A25:$FB25,MATCH(V$19&amp;$C$17,machina[#Headers],)))</f>
        <v xml:space="preserve"> </v>
      </c>
      <c r="W42" s="287" t="str">
        <f>IF(INDEX(machina!$A25:$FB25,MATCH(W$19&amp;$C$17,machina[#Headers],))=""," ",INDEX(machina!$A25:$FB25,MATCH(W$19&amp;$C$17,machina[#Headers],)))</f>
        <v xml:space="preserve"> </v>
      </c>
      <c r="X42" s="287" t="str">
        <f>IF(INDEX(machina!$A25:$FB25,MATCH(X$19&amp;$C$17,machina[#Headers],))=""," ",INDEX(machina!$A25:$FB25,MATCH(X$19&amp;$C$17,machina[#Headers],)))</f>
        <v xml:space="preserve"> </v>
      </c>
      <c r="Y42" s="287" t="str">
        <f>IF(INDEX(machina!$A25:$FB25,MATCH(Y$19&amp;$C$17,machina[#Headers],))=""," ",INDEX(machina!$A25:$FB25,MATCH(Y$19&amp;$C$17,machina[#Headers],)))</f>
        <v xml:space="preserve"> </v>
      </c>
      <c r="Z42" s="287" t="str">
        <f>IF(INDEX(machina!$A25:$FB25,MATCH(Z$19&amp;$C$17,machina[#Headers],))=""," ",INDEX(machina!$A25:$FB25,MATCH(Z$19&amp;$C$17,machina[#Headers],)))</f>
        <v xml:space="preserve"> </v>
      </c>
      <c r="AA42" s="287" t="str">
        <f>IF(INDEX(machina!$A25:$FB25,MATCH(AA$19&amp;$C$17,machina[#Headers],))=""," ",INDEX(machina!$A25:$FB25,MATCH(AA$19&amp;$C$17,machina[#Headers],)))</f>
        <v xml:space="preserve"> </v>
      </c>
      <c r="AB42" s="287" t="str">
        <f>IF(INDEX(machina!$A25:$FB25,MATCH(AB$19&amp;$C$17,machina[#Headers],))=""," ",INDEX(machina!$A25:$FB25,MATCH(AB$19&amp;$C$17,machina[#Headers],)))</f>
        <v xml:space="preserve"> </v>
      </c>
      <c r="AC42" s="287" t="str">
        <f>IF(INDEX(machina!$A25:$FB25,MATCH(AC$19&amp;$C$17,machina[#Headers],))=""," ",INDEX(machina!$A25:$FB25,MATCH(AC$19&amp;$C$17,machina[#Headers],)))</f>
        <v xml:space="preserve"> </v>
      </c>
      <c r="AD42" s="287" t="str">
        <f>IF(INDEX(machina!$A25:$FB25,MATCH(AD$19&amp;$C$17,machina[#Headers],))=""," ",INDEX(machina!$A25:$FB25,MATCH(AD$19&amp;$C$17,machina[#Headers],)))</f>
        <v xml:space="preserve"> </v>
      </c>
      <c r="AE42" s="287" t="str">
        <f>IF(INDEX(machina!$A25:$FB25,MATCH(AE$19&amp;$C$17,machina[#Headers],))=""," ",INDEX(machina!$A25:$FB25,MATCH(AE$19&amp;$C$17,machina[#Headers],)))</f>
        <v xml:space="preserve"> </v>
      </c>
      <c r="AF42" s="287" t="str">
        <f>IF(INDEX(machina!$A25:$FB25,MATCH(AF$19&amp;$C$17,machina[#Headers],))=""," ",INDEX(machina!$A25:$FB25,MATCH(AF$19&amp;$C$17,machina[#Headers],)))</f>
        <v xml:space="preserve"> </v>
      </c>
      <c r="AG42" s="287" t="str">
        <f>IF(INDEX(machina!$A25:$FB25,MATCH(AG$19&amp;$C$17,machina[#Headers],))=""," ",INDEX(machina!$A25:$FB25,MATCH(AG$19&amp;$C$17,machina[#Headers],)))</f>
        <v xml:space="preserve"> </v>
      </c>
      <c r="AH42" s="287" t="str">
        <f>IF(INDEX(machina!$A25:$FB25,MATCH(AH$19&amp;$C$17,machina[#Headers],))=""," ",INDEX(machina!$A25:$FB25,MATCH(AH$19&amp;$C$17,machina[#Headers],)))</f>
        <v xml:space="preserve"> </v>
      </c>
      <c r="AI42" s="287" t="str">
        <f>IF(INDEX(machina!$A25:$FB25,MATCH(AI$19&amp;$C$17,machina[#Headers],))=""," ",INDEX(machina!$A25:$FB25,MATCH(AI$19&amp;$C$17,machina[#Headers],)))</f>
        <v xml:space="preserve"> </v>
      </c>
      <c r="AJ42" s="287" t="str">
        <f>IF(INDEX(machina!$A25:$FB25,MATCH(AJ$19&amp;$C$17,machina[#Headers],))=""," ",INDEX(machina!$A25:$FB25,MATCH(AJ$19&amp;$C$17,machina[#Headers],)))</f>
        <v xml:space="preserve"> </v>
      </c>
      <c r="AK42" s="287" t="str">
        <f>IF(INDEX(machina!$A25:$FB25,MATCH(AK$19&amp;$C$17,machina[#Headers],))=""," ",INDEX(machina!$A25:$FB25,MATCH(AK$19&amp;$C$17,machina[#Headers],)))</f>
        <v xml:space="preserve"> </v>
      </c>
      <c r="AL42" s="287" t="str">
        <f>IF(INDEX(machina!$A25:$FB25,MATCH(AL$19&amp;$C$17,machina[#Headers],))=""," ",INDEX(machina!$A25:$FB25,MATCH(AL$19&amp;$C$17,machina[#Headers],)))</f>
        <v xml:space="preserve"> </v>
      </c>
      <c r="AM42" s="287" t="str">
        <f>IF(INDEX(machina!$A25:$FB25,MATCH(AM$19&amp;$C$17,machina[#Headers],))=""," ",INDEX(machina!$A25:$FB25,MATCH(AM$19&amp;$C$17,machina[#Headers],)))</f>
        <v xml:space="preserve"> </v>
      </c>
      <c r="AN42" s="287" t="str">
        <f>IF(INDEX(machina!$A25:$FB25,MATCH(AN$19&amp;$C$17,machina[#Headers],))=""," ",INDEX(machina!$A25:$FB25,MATCH(AN$19&amp;$C$17,machina[#Headers],)))</f>
        <v xml:space="preserve"> </v>
      </c>
      <c r="AO42" s="287" t="str">
        <f>IF(INDEX(machina!$A25:$FB25,MATCH(AO$19&amp;$C$17,machina[#Headers],))=""," ",INDEX(machina!$A25:$FB25,MATCH(AO$19&amp;$C$17,machina[#Headers],)))</f>
        <v xml:space="preserve"> </v>
      </c>
      <c r="AP42" s="287" t="str">
        <f>IF(INDEX(machina!$A25:$FB25,MATCH(AP$19&amp;$C$17,machina[#Headers],))=""," ",INDEX(machina!$A25:$FB25,MATCH(AP$19&amp;$C$17,machina[#Headers],)))</f>
        <v xml:space="preserve"> </v>
      </c>
      <c r="AQ42" s="287" t="str">
        <f>IF(INDEX(machina!$A25:$FB25,MATCH(AQ$19&amp;$C$17,machina[#Headers],))=""," ",INDEX(machina!$A25:$FB25,MATCH(AQ$19&amp;$C$17,machina[#Headers],)))</f>
        <v xml:space="preserve"> </v>
      </c>
      <c r="AR42" s="287" t="str">
        <f>IF(INDEX(machina!$A25:$FB25,MATCH(AR$19&amp;$C$17,machina[#Headers],))=""," ",INDEX(machina!$A25:$FB25,MATCH(AR$19&amp;$C$17,machina[#Headers],)))</f>
        <v xml:space="preserve"> </v>
      </c>
      <c r="AS42" s="287" t="str">
        <f>IF(INDEX(machina!$A25:$FB25,MATCH(AS$19&amp;$C$17,machina[#Headers],))=""," ",INDEX(machina!$A25:$FB25,MATCH(AS$19&amp;$C$17,machina[#Headers],)))</f>
        <v xml:space="preserve"> </v>
      </c>
      <c r="AT42" s="287" t="str">
        <f>IF(INDEX(machina!$A25:$FB25,MATCH(AT$19&amp;$C$17,machina[#Headers],))=""," ",INDEX(machina!$A25:$FB25,MATCH(AT$19&amp;$C$17,machina[#Headers],)))</f>
        <v xml:space="preserve"> </v>
      </c>
      <c r="AU42" s="287" t="str">
        <f>IF(INDEX(machina!$A25:$FB25,MATCH(AU$19&amp;$C$17,machina[#Headers],))=""," ",INDEX(machina!$A25:$FB25,MATCH(AU$19&amp;$C$17,machina[#Headers],)))</f>
        <v xml:space="preserve"> </v>
      </c>
      <c r="AV42" s="287" t="str">
        <f>IF(INDEX(machina!$A25:$FB25,MATCH(AV$19&amp;$C$17,machina[#Headers],))=""," ",INDEX(machina!$A25:$FB25,MATCH(AV$19&amp;$C$17,machina[#Headers],)))</f>
        <v xml:space="preserve"> </v>
      </c>
      <c r="AW42" s="287" t="str">
        <f>IF(INDEX(machina!$A25:$FB25,MATCH(AW$19&amp;$C$17,machina[#Headers],))=""," ",INDEX(machina!$A25:$FB25,MATCH(AW$19&amp;$C$17,machina[#Headers],)))</f>
        <v xml:space="preserve"> </v>
      </c>
      <c r="AX42" s="287" t="str">
        <f>IF(INDEX(machina!$A25:$FB25,MATCH(AX$19&amp;$C$17,machina[#Headers],))=""," ",INDEX(machina!$A25:$FB25,MATCH(AX$19&amp;$C$17,machina[#Headers],)))</f>
        <v xml:space="preserve"> </v>
      </c>
      <c r="AY42" s="287" t="str">
        <f>IF(INDEX(machina!$A25:$FB25,MATCH(AY$19&amp;$C$17,machina[#Headers],))=""," ",INDEX(machina!$A25:$FB25,MATCH(AY$19&amp;$C$17,machina[#Headers],)))</f>
        <v xml:space="preserve"> </v>
      </c>
      <c r="AZ42" s="287" t="str">
        <f>IF(INDEX(machina!$A25:$FB25,MATCH(AZ$19&amp;$C$17,machina[#Headers],))=""," ",INDEX(machina!$A25:$FB25,MATCH(AZ$19&amp;$C$17,machina[#Headers],)))</f>
        <v xml:space="preserve"> </v>
      </c>
      <c r="BA42" s="287" t="str">
        <f>IF(INDEX(machina!$A25:$FB25,MATCH(BA$19&amp;$C$17,machina[#Headers],))=""," ",INDEX(machina!$A25:$FB25,MATCH(BA$19&amp;$C$17,machina[#Headers],)))</f>
        <v xml:space="preserve"> </v>
      </c>
      <c r="BB42" s="287" t="str">
        <f>IF(INDEX(machina!$A25:$FB25,MATCH(BB$19&amp;$C$17,machina[#Headers],))=""," ",INDEX(machina!$A25:$FB25,MATCH(BB$19&amp;$C$17,machina[#Headers],)))</f>
        <v xml:space="preserve"> </v>
      </c>
      <c r="BC42" s="287" t="str">
        <f>IF(INDEX(machina!$A25:$FB25,MATCH(BC$19&amp;$C$17,machina[#Headers],))=""," ",INDEX(machina!$A25:$FB25,MATCH(BC$19&amp;$C$17,machina[#Headers],)))</f>
        <v xml:space="preserve"> </v>
      </c>
      <c r="BD42" s="287" t="str">
        <f>IF(INDEX(machina!$A25:$FB25,MATCH(BD$19&amp;$C$17,machina[#Headers],))=""," ",INDEX(machina!$A25:$FB25,MATCH(BD$19&amp;$C$17,machina[#Headers],)))</f>
        <v xml:space="preserve"> </v>
      </c>
      <c r="BE42" s="287" t="str">
        <f>IF(INDEX(machina!$A25:$FB25,MATCH(BE$19&amp;$C$17,machina[#Headers],))=""," ",INDEX(machina!$A25:$FB25,MATCH(BE$19&amp;$C$17,machina[#Headers],)))</f>
        <v xml:space="preserve"> </v>
      </c>
      <c r="BF42" s="287" t="str">
        <f>IF(INDEX(machina!$A25:$FB25,MATCH(BF$19&amp;$C$17,machina[#Headers],))=""," ",INDEX(machina!$A25:$FB25,MATCH(BF$19&amp;$C$17,machina[#Headers],)))</f>
        <v xml:space="preserve"> </v>
      </c>
      <c r="BG42" s="287" t="str">
        <f>IF(INDEX(machina!$A25:$FB25,MATCH(BG$19&amp;$C$17,machina[#Headers],))=""," ",INDEX(machina!$A25:$FB25,MATCH(BG$19&amp;$C$17,machina[#Headers],)))</f>
        <v xml:space="preserve"> </v>
      </c>
      <c r="BH42" s="287" t="str">
        <f>IF(INDEX(machina!$A25:$FB25,MATCH(BH$19&amp;$C$17,machina[#Headers],))=""," ",INDEX(machina!$A25:$FB25,MATCH(BH$19&amp;$C$17,machina[#Headers],)))</f>
        <v xml:space="preserve"> </v>
      </c>
      <c r="BI42" s="287" t="str">
        <f>IF(INDEX(machina!$A25:$FB25,MATCH(BI$19&amp;$C$17,machina[#Headers],))=""," ",INDEX(machina!$A25:$FB25,MATCH(BI$19&amp;$C$17,machina[#Headers],)))</f>
        <v xml:space="preserve"> </v>
      </c>
      <c r="BJ42" s="287" t="str">
        <f>IF(INDEX(machina!$A25:$FB25,MATCH(BJ$19&amp;$C$17,machina[#Headers],))=""," ",INDEX(machina!$A25:$FB25,MATCH(BJ$19&amp;$C$17,machina[#Headers],)))</f>
        <v xml:space="preserve"> </v>
      </c>
      <c r="BK42" s="287" t="str">
        <f>IF(INDEX(machina!$A25:$FB25,MATCH(BK$19&amp;$C$17,machina[#Headers],))=""," ",INDEX(machina!$A25:$FB25,MATCH(BK$19&amp;$C$17,machina[#Headers],)))</f>
        <v xml:space="preserve"> </v>
      </c>
      <c r="BL42" s="287" t="str">
        <f>IF(INDEX(machina!$A25:$FB25,MATCH(BL$19&amp;$C$17,machina[#Headers],))=""," ",INDEX(machina!$A25:$FB25,MATCH(BL$19&amp;$C$17,machina[#Headers],)))</f>
        <v xml:space="preserve"> </v>
      </c>
      <c r="BM42" s="287" t="str">
        <f>IF(INDEX(machina!$A25:$FB25,MATCH(BM$19&amp;$C$17,machina[#Headers],))=""," ",INDEX(machina!$A25:$FB25,MATCH(BM$19&amp;$C$17,machina[#Headers],)))</f>
        <v xml:space="preserve"> </v>
      </c>
      <c r="BN42" s="287" t="str">
        <f>IF(INDEX(machina!$A25:$FB25,MATCH(BN$19&amp;$C$17,machina[#Headers],))=""," ",INDEX(machina!$A25:$FB25,MATCH(BN$19&amp;$C$17,machina[#Headers],)))</f>
        <v xml:space="preserve"> </v>
      </c>
      <c r="BO42" s="287" t="str">
        <f>IF(INDEX(machina!$A25:$FB25,MATCH(BO$19&amp;$C$17,machina[#Headers],))=""," ",INDEX(machina!$A25:$FB25,MATCH(BO$19&amp;$C$17,machina[#Headers],)))</f>
        <v xml:space="preserve"> </v>
      </c>
      <c r="BP42" s="287" t="str">
        <f>IF(INDEX(machina!$A25:$FB25,MATCH(BP$19&amp;$C$17,machina[#Headers],))=""," ",INDEX(machina!$A25:$FB25,MATCH(BP$19&amp;$C$17,machina[#Headers],)))</f>
        <v xml:space="preserve"> </v>
      </c>
      <c r="BQ42" s="287" t="str">
        <f>IF(INDEX(machina!$A25:$FB25,MATCH(BQ$19&amp;$C$17,machina[#Headers],))=""," ",INDEX(machina!$A25:$FB25,MATCH(BQ$19&amp;$C$17,machina[#Headers],)))</f>
        <v xml:space="preserve"> </v>
      </c>
      <c r="BR42" s="287" t="str">
        <f>IF(INDEX(machina!$A25:$FB25,MATCH(BR$19&amp;$C$17,machina[#Headers],))=""," ",INDEX(machina!$A25:$FB25,MATCH(BR$19&amp;$C$17,machina[#Headers],)))</f>
        <v xml:space="preserve"> </v>
      </c>
      <c r="BS42" s="287" t="str">
        <f>IF(INDEX(machina!$A25:$FB25,MATCH(BS$19&amp;$C$17,machina[#Headers],))=""," ",INDEX(machina!$A25:$FB25,MATCH(BS$19&amp;$C$17,machina[#Headers],)))</f>
        <v xml:space="preserve"> </v>
      </c>
      <c r="BT42" s="287" t="str">
        <f>IF(INDEX(machina!$A25:$FB25,MATCH(BT$19&amp;$C$17,machina[#Headers],))=""," ",INDEX(machina!$A25:$FB25,MATCH(BT$19&amp;$C$17,machina[#Headers],)))</f>
        <v xml:space="preserve"> </v>
      </c>
      <c r="BU42" s="287" t="str">
        <f>IF(INDEX(machina!$A25:$FB25,MATCH(BU$19&amp;$C$17,machina[#Headers],))=""," ",INDEX(machina!$A25:$FB25,MATCH(BU$19&amp;$C$17,machina[#Headers],)))</f>
        <v xml:space="preserve"> </v>
      </c>
      <c r="BV42" s="287" t="str">
        <f>IF(INDEX(machina!$A25:$FB25,MATCH(BV$19&amp;$C$17,machina[#Headers],))=""," ",INDEX(machina!$A25:$FB25,MATCH(BV$19&amp;$C$17,machina[#Headers],)))</f>
        <v xml:space="preserve"> </v>
      </c>
      <c r="BW42" s="287" t="str">
        <f>IF(INDEX(machina!$A25:$FB25,MATCH(BW$19&amp;$C$17,machina[#Headers],))=""," ",INDEX(machina!$A25:$FB25,MATCH(BW$19&amp;$C$17,machina[#Headers],)))</f>
        <v xml:space="preserve"> </v>
      </c>
      <c r="BX42" s="287" t="str">
        <f>IF(INDEX(machina!$A25:$FB25,MATCH(BX$19&amp;$C$17,machina[#Headers],))=""," ",INDEX(machina!$A25:$FB25,MATCH(BX$19&amp;$C$17,machina[#Headers],)))</f>
        <v xml:space="preserve"> </v>
      </c>
      <c r="BY42" s="287" t="str">
        <f>IF(INDEX(machina!$A25:$FB25,MATCH(BY$19&amp;$C$17,machina[#Headers],))=""," ",INDEX(machina!$A25:$FB25,MATCH(BY$19&amp;$C$17,machina[#Headers],)))</f>
        <v xml:space="preserve"> </v>
      </c>
      <c r="BZ42" s="287" t="str">
        <f>IF(INDEX(machina!$A25:$FB25,MATCH(BZ$19&amp;$C$17,machina[#Headers],))=""," ",INDEX(machina!$A25:$FB25,MATCH(BZ$19&amp;$C$17,machina[#Headers],)))</f>
        <v xml:space="preserve"> </v>
      </c>
      <c r="CA42" s="287" t="str">
        <f>IF(INDEX(machina!$A25:$FB25,MATCH(CA$19&amp;$C$17,machina[#Headers],))=""," ",INDEX(machina!$A25:$FB25,MATCH(CA$19&amp;$C$17,machina[#Headers],)))</f>
        <v xml:space="preserve"> </v>
      </c>
      <c r="CB42" s="288" t="str">
        <f>IF(INDEX('Raw Data'!$A25:$EA25,MATCH(CB$19,RawData[#Headers],))=""," ",INDEX('Raw Data'!$A25:$EA25,MATCH(CB$19,RawData[#Headers],)))</f>
        <v xml:space="preserve"> </v>
      </c>
      <c r="CD42" s="298" t="str">
        <f t="shared" si="61"/>
        <v xml:space="preserve"> </v>
      </c>
      <c r="CE42" s="298" t="str">
        <f t="shared" si="42"/>
        <v/>
      </c>
      <c r="CF42" s="298" t="str">
        <f t="shared" si="43"/>
        <v xml:space="preserve"> </v>
      </c>
      <c r="CG42" s="298" t="str">
        <f>IF(CE42=""," ",INDEX($CU$9:$CU$12,MATCH(CF42,analysis[CLUSTER],0)))</f>
        <v xml:space="preserve"> </v>
      </c>
      <c r="CH42" s="298" t="str">
        <f t="shared" si="44"/>
        <v xml:space="preserve"> </v>
      </c>
      <c r="CI42" s="298" t="str">
        <f t="shared" si="45"/>
        <v xml:space="preserve"> </v>
      </c>
      <c r="CJ42" s="274"/>
      <c r="CK42" s="298"/>
      <c r="CL42" s="298" t="str">
        <f t="shared" si="46"/>
        <v/>
      </c>
      <c r="CM42" s="326"/>
      <c r="CN42" s="326"/>
      <c r="CO42" s="326"/>
      <c r="CP42" s="326"/>
      <c r="CQ42" s="315" t="str">
        <f t="shared" si="38"/>
        <v/>
      </c>
      <c r="CR42" s="333" t="str">
        <f t="shared" si="47"/>
        <v xml:space="preserve"> </v>
      </c>
      <c r="CS42" s="333" t="str">
        <f t="shared" si="48"/>
        <v xml:space="preserve"> </v>
      </c>
      <c r="CT42" s="333" t="str">
        <f t="shared" si="49"/>
        <v xml:space="preserve"> </v>
      </c>
      <c r="CU42" s="333" t="str">
        <f t="shared" si="50"/>
        <v xml:space="preserve"> </v>
      </c>
      <c r="CV42" s="326"/>
      <c r="CW42" s="315" t="str">
        <f t="shared" si="51"/>
        <v/>
      </c>
      <c r="CX42" s="333" t="str">
        <f t="shared" si="52"/>
        <v xml:space="preserve"> </v>
      </c>
      <c r="CY42" s="333" t="str">
        <f t="shared" si="62"/>
        <v xml:space="preserve"> </v>
      </c>
      <c r="CZ42" s="333" t="str">
        <f t="shared" si="62"/>
        <v xml:space="preserve"> </v>
      </c>
      <c r="DA42" s="333" t="str">
        <f t="shared" si="62"/>
        <v xml:space="preserve"> </v>
      </c>
      <c r="DB42" s="326">
        <v>23</v>
      </c>
      <c r="DC42" s="337" t="str">
        <f t="shared" si="54"/>
        <v xml:space="preserve"> </v>
      </c>
      <c r="DD42" s="337" t="str">
        <f t="shared" si="55"/>
        <v xml:space="preserve"> </v>
      </c>
      <c r="DE42" s="337" t="str">
        <f t="shared" si="56"/>
        <v xml:space="preserve"> </v>
      </c>
      <c r="DF42" s="337" t="str">
        <f t="shared" si="57"/>
        <v xml:space="preserve"> </v>
      </c>
      <c r="DG42" s="344" t="str">
        <f t="shared" si="58"/>
        <v xml:space="preserve"> </v>
      </c>
      <c r="DH42" s="337" t="str">
        <f t="shared" si="59"/>
        <v xml:space="preserve"> </v>
      </c>
      <c r="DI42" s="337" t="str">
        <f t="shared" si="59"/>
        <v xml:space="preserve"> </v>
      </c>
      <c r="DJ42" s="337" t="str">
        <f t="shared" si="59"/>
        <v xml:space="preserve"> </v>
      </c>
      <c r="DK42" s="337" t="str">
        <f t="shared" si="59"/>
        <v xml:space="preserve"> </v>
      </c>
      <c r="DL42" s="344" t="str">
        <f t="shared" si="60"/>
        <v xml:space="preserve"> </v>
      </c>
      <c r="DN42" s="292" t="str">
        <f>IFERROR(VLOOKUP($A42,'Raw Data'!$A$3:$EV$32,152,FALSE)," ")</f>
        <v xml:space="preserve"> </v>
      </c>
    </row>
    <row r="43" spans="1:118" x14ac:dyDescent="0.3">
      <c r="A43" s="255">
        <f>'Raw Data'!A26</f>
        <v>0</v>
      </c>
      <c r="B43" s="287" t="str">
        <f>IF(INDEX(machina!$A26:$FB26,MATCH(B$19&amp;$C$17,machina[#Headers],))=""," ",INDEX(machina!$A26:$FB26,MATCH(B$19&amp;$C$17,machina[#Headers],)))</f>
        <v xml:space="preserve"> </v>
      </c>
      <c r="C43" s="287" t="str">
        <f>IF(INDEX(machina!$A26:$FB26,MATCH(C$19&amp;$C$17,machina[#Headers],))=""," ",INDEX(machina!$A26:$FB26,MATCH(C$19&amp;$C$17,machina[#Headers],)))</f>
        <v xml:space="preserve"> </v>
      </c>
      <c r="D43" s="287" t="str">
        <f>IF(INDEX(machina!$A26:$FB26,MATCH(D$19&amp;$C$17,machina[#Headers],))=""," ",INDEX(machina!$A26:$FB26,MATCH(D$19&amp;$C$17,machina[#Headers],)))</f>
        <v xml:space="preserve"> </v>
      </c>
      <c r="E43" s="287" t="str">
        <f>IF(INDEX(machina!$A26:$FB26,MATCH(E$19&amp;$C$17,machina[#Headers],))=""," ",INDEX(machina!$A26:$FB26,MATCH(E$19&amp;$C$17,machina[#Headers],)))</f>
        <v xml:space="preserve"> </v>
      </c>
      <c r="F43" s="287" t="str">
        <f>IF(INDEX(machina!$A26:$FB26,MATCH(F$19&amp;$C$17,machina[#Headers],))=""," ",INDEX(machina!$A26:$FB26,MATCH(F$19&amp;$C$17,machina[#Headers],)))</f>
        <v xml:space="preserve"> </v>
      </c>
      <c r="G43" s="287" t="str">
        <f>IF(INDEX(machina!$A26:$FB26,MATCH(G$19&amp;$C$17,machina[#Headers],))=""," ",INDEX(machina!$A26:$FB26,MATCH(G$19&amp;$C$17,machina[#Headers],)))</f>
        <v xml:space="preserve"> </v>
      </c>
      <c r="H43" s="287" t="str">
        <f>IF(INDEX(machina!$A26:$FB26,MATCH(H$19&amp;$C$17,machina[#Headers],))=""," ",INDEX(machina!$A26:$FB26,MATCH(H$19&amp;$C$17,machina[#Headers],)))</f>
        <v xml:space="preserve"> </v>
      </c>
      <c r="I43" s="287" t="str">
        <f>IF(INDEX(machina!$A26:$FB26,MATCH(I$19&amp;$C$17,machina[#Headers],))=""," ",INDEX(machina!$A26:$FB26,MATCH(I$19&amp;$C$17,machina[#Headers],)))</f>
        <v xml:space="preserve"> </v>
      </c>
      <c r="J43" s="287" t="str">
        <f>IF(INDEX(machina!$A26:$FB26,MATCH(J$19&amp;$C$17,machina[#Headers],))=""," ",INDEX(machina!$A26:$FB26,MATCH(J$19&amp;$C$17,machina[#Headers],)))</f>
        <v xml:space="preserve"> </v>
      </c>
      <c r="K43" s="287" t="str">
        <f>IF(INDEX(machina!$A26:$FB26,MATCH(K$19&amp;$C$17,machina[#Headers],))=""," ",INDEX(machina!$A26:$FB26,MATCH(K$19&amp;$C$17,machina[#Headers],)))</f>
        <v xml:space="preserve"> </v>
      </c>
      <c r="L43" s="287" t="str">
        <f>IF(INDEX(machina!$A26:$FB26,MATCH(L$19&amp;$C$17,machina[#Headers],))=""," ",INDEX(machina!$A26:$FB26,MATCH(L$19&amp;$C$17,machina[#Headers],)))</f>
        <v xml:space="preserve"> </v>
      </c>
      <c r="M43" s="287" t="str">
        <f>IF(INDEX(machina!$A26:$FB26,MATCH(M$19&amp;$C$17,machina[#Headers],))=""," ",INDEX(machina!$A26:$FB26,MATCH(M$19&amp;$C$17,machina[#Headers],)))</f>
        <v xml:space="preserve"> </v>
      </c>
      <c r="N43" s="287" t="str">
        <f>IF(INDEX(machina!$A26:$FB26,MATCH(N$19&amp;$C$17,machina[#Headers],))=""," ",INDEX(machina!$A26:$FB26,MATCH(N$19&amp;$C$17,machina[#Headers],)))</f>
        <v xml:space="preserve"> </v>
      </c>
      <c r="O43" s="287" t="str">
        <f>IF(INDEX(machina!$A26:$FB26,MATCH(O$19&amp;$C$17,machina[#Headers],))=""," ",INDEX(machina!$A26:$FB26,MATCH(O$19&amp;$C$17,machina[#Headers],)))</f>
        <v xml:space="preserve"> </v>
      </c>
      <c r="P43" s="287" t="str">
        <f>IF(INDEX(machina!$A26:$FB26,MATCH(P$19&amp;$C$17,machina[#Headers],))=""," ",INDEX(machina!$A26:$FB26,MATCH(P$19&amp;$C$17,machina[#Headers],)))</f>
        <v xml:space="preserve"> </v>
      </c>
      <c r="Q43" s="287" t="str">
        <f>IF(INDEX(machina!$A26:$FB26,MATCH(Q$19&amp;$C$17,machina[#Headers],))=""," ",INDEX(machina!$A26:$FB26,MATCH(Q$19&amp;$C$17,machina[#Headers],)))</f>
        <v xml:space="preserve"> </v>
      </c>
      <c r="R43" s="287" t="str">
        <f>IF(INDEX(machina!$A26:$FB26,MATCH(R$19&amp;$C$17,machina[#Headers],))=""," ",INDEX(machina!$A26:$FB26,MATCH(R$19&amp;$C$17,machina[#Headers],)))</f>
        <v xml:space="preserve"> </v>
      </c>
      <c r="S43" s="287" t="str">
        <f>IF(INDEX(machina!$A26:$FB26,MATCH(S$19&amp;$C$17,machina[#Headers],))=""," ",INDEX(machina!$A26:$FB26,MATCH(S$19&amp;$C$17,machina[#Headers],)))</f>
        <v xml:space="preserve"> </v>
      </c>
      <c r="T43" s="287" t="str">
        <f>IF(INDEX(machina!$A26:$FB26,MATCH(T$19&amp;$C$17,machina[#Headers],))=""," ",INDEX(machina!$A26:$FB26,MATCH(T$19&amp;$C$17,machina[#Headers],)))</f>
        <v xml:space="preserve"> </v>
      </c>
      <c r="U43" s="287" t="str">
        <f>IF(INDEX(machina!$A26:$FB26,MATCH(U$19&amp;$C$17,machina[#Headers],))=""," ",INDEX(machina!$A26:$FB26,MATCH(U$19&amp;$C$17,machina[#Headers],)))</f>
        <v xml:space="preserve"> </v>
      </c>
      <c r="V43" s="287" t="str">
        <f>IF(INDEX(machina!$A26:$FB26,MATCH(V$19&amp;$C$17,machina[#Headers],))=""," ",INDEX(machina!$A26:$FB26,MATCH(V$19&amp;$C$17,machina[#Headers],)))</f>
        <v xml:space="preserve"> </v>
      </c>
      <c r="W43" s="287" t="str">
        <f>IF(INDEX(machina!$A26:$FB26,MATCH(W$19&amp;$C$17,machina[#Headers],))=""," ",INDEX(machina!$A26:$FB26,MATCH(W$19&amp;$C$17,machina[#Headers],)))</f>
        <v xml:space="preserve"> </v>
      </c>
      <c r="X43" s="287" t="str">
        <f>IF(INDEX(machina!$A26:$FB26,MATCH(X$19&amp;$C$17,machina[#Headers],))=""," ",INDEX(machina!$A26:$FB26,MATCH(X$19&amp;$C$17,machina[#Headers],)))</f>
        <v xml:space="preserve"> </v>
      </c>
      <c r="Y43" s="287" t="str">
        <f>IF(INDEX(machina!$A26:$FB26,MATCH(Y$19&amp;$C$17,machina[#Headers],))=""," ",INDEX(machina!$A26:$FB26,MATCH(Y$19&amp;$C$17,machina[#Headers],)))</f>
        <v xml:space="preserve"> </v>
      </c>
      <c r="Z43" s="287" t="str">
        <f>IF(INDEX(machina!$A26:$FB26,MATCH(Z$19&amp;$C$17,machina[#Headers],))=""," ",INDEX(machina!$A26:$FB26,MATCH(Z$19&amp;$C$17,machina[#Headers],)))</f>
        <v xml:space="preserve"> </v>
      </c>
      <c r="AA43" s="287" t="str">
        <f>IF(INDEX(machina!$A26:$FB26,MATCH(AA$19&amp;$C$17,machina[#Headers],))=""," ",INDEX(machina!$A26:$FB26,MATCH(AA$19&amp;$C$17,machina[#Headers],)))</f>
        <v xml:space="preserve"> </v>
      </c>
      <c r="AB43" s="287" t="str">
        <f>IF(INDEX(machina!$A26:$FB26,MATCH(AB$19&amp;$C$17,machina[#Headers],))=""," ",INDEX(machina!$A26:$FB26,MATCH(AB$19&amp;$C$17,machina[#Headers],)))</f>
        <v xml:space="preserve"> </v>
      </c>
      <c r="AC43" s="287" t="str">
        <f>IF(INDEX(machina!$A26:$FB26,MATCH(AC$19&amp;$C$17,machina[#Headers],))=""," ",INDEX(machina!$A26:$FB26,MATCH(AC$19&amp;$C$17,machina[#Headers],)))</f>
        <v xml:space="preserve"> </v>
      </c>
      <c r="AD43" s="287" t="str">
        <f>IF(INDEX(machina!$A26:$FB26,MATCH(AD$19&amp;$C$17,machina[#Headers],))=""," ",INDEX(machina!$A26:$FB26,MATCH(AD$19&amp;$C$17,machina[#Headers],)))</f>
        <v xml:space="preserve"> </v>
      </c>
      <c r="AE43" s="287" t="str">
        <f>IF(INDEX(machina!$A26:$FB26,MATCH(AE$19&amp;$C$17,machina[#Headers],))=""," ",INDEX(machina!$A26:$FB26,MATCH(AE$19&amp;$C$17,machina[#Headers],)))</f>
        <v xml:space="preserve"> </v>
      </c>
      <c r="AF43" s="287" t="str">
        <f>IF(INDEX(machina!$A26:$FB26,MATCH(AF$19&amp;$C$17,machina[#Headers],))=""," ",INDEX(machina!$A26:$FB26,MATCH(AF$19&amp;$C$17,machina[#Headers],)))</f>
        <v xml:space="preserve"> </v>
      </c>
      <c r="AG43" s="287" t="str">
        <f>IF(INDEX(machina!$A26:$FB26,MATCH(AG$19&amp;$C$17,machina[#Headers],))=""," ",INDEX(machina!$A26:$FB26,MATCH(AG$19&amp;$C$17,machina[#Headers],)))</f>
        <v xml:space="preserve"> </v>
      </c>
      <c r="AH43" s="287" t="str">
        <f>IF(INDEX(machina!$A26:$FB26,MATCH(AH$19&amp;$C$17,machina[#Headers],))=""," ",INDEX(machina!$A26:$FB26,MATCH(AH$19&amp;$C$17,machina[#Headers],)))</f>
        <v xml:space="preserve"> </v>
      </c>
      <c r="AI43" s="287" t="str">
        <f>IF(INDEX(machina!$A26:$FB26,MATCH(AI$19&amp;$C$17,machina[#Headers],))=""," ",INDEX(machina!$A26:$FB26,MATCH(AI$19&amp;$C$17,machina[#Headers],)))</f>
        <v xml:space="preserve"> </v>
      </c>
      <c r="AJ43" s="287" t="str">
        <f>IF(INDEX(machina!$A26:$FB26,MATCH(AJ$19&amp;$C$17,machina[#Headers],))=""," ",INDEX(machina!$A26:$FB26,MATCH(AJ$19&amp;$C$17,machina[#Headers],)))</f>
        <v xml:space="preserve"> </v>
      </c>
      <c r="AK43" s="287" t="str">
        <f>IF(INDEX(machina!$A26:$FB26,MATCH(AK$19&amp;$C$17,machina[#Headers],))=""," ",INDEX(machina!$A26:$FB26,MATCH(AK$19&amp;$C$17,machina[#Headers],)))</f>
        <v xml:space="preserve"> </v>
      </c>
      <c r="AL43" s="287" t="str">
        <f>IF(INDEX(machina!$A26:$FB26,MATCH(AL$19&amp;$C$17,machina[#Headers],))=""," ",INDEX(machina!$A26:$FB26,MATCH(AL$19&amp;$C$17,machina[#Headers],)))</f>
        <v xml:space="preserve"> </v>
      </c>
      <c r="AM43" s="287" t="str">
        <f>IF(INDEX(machina!$A26:$FB26,MATCH(AM$19&amp;$C$17,machina[#Headers],))=""," ",INDEX(machina!$A26:$FB26,MATCH(AM$19&amp;$C$17,machina[#Headers],)))</f>
        <v xml:space="preserve"> </v>
      </c>
      <c r="AN43" s="287" t="str">
        <f>IF(INDEX(machina!$A26:$FB26,MATCH(AN$19&amp;$C$17,machina[#Headers],))=""," ",INDEX(machina!$A26:$FB26,MATCH(AN$19&amp;$C$17,machina[#Headers],)))</f>
        <v xml:space="preserve"> </v>
      </c>
      <c r="AO43" s="287" t="str">
        <f>IF(INDEX(machina!$A26:$FB26,MATCH(AO$19&amp;$C$17,machina[#Headers],))=""," ",INDEX(machina!$A26:$FB26,MATCH(AO$19&amp;$C$17,machina[#Headers],)))</f>
        <v xml:space="preserve"> </v>
      </c>
      <c r="AP43" s="287" t="str">
        <f>IF(INDEX(machina!$A26:$FB26,MATCH(AP$19&amp;$C$17,machina[#Headers],))=""," ",INDEX(machina!$A26:$FB26,MATCH(AP$19&amp;$C$17,machina[#Headers],)))</f>
        <v xml:space="preserve"> </v>
      </c>
      <c r="AQ43" s="287" t="str">
        <f>IF(INDEX(machina!$A26:$FB26,MATCH(AQ$19&amp;$C$17,machina[#Headers],))=""," ",INDEX(machina!$A26:$FB26,MATCH(AQ$19&amp;$C$17,machina[#Headers],)))</f>
        <v xml:space="preserve"> </v>
      </c>
      <c r="AR43" s="287" t="str">
        <f>IF(INDEX(machina!$A26:$FB26,MATCH(AR$19&amp;$C$17,machina[#Headers],))=""," ",INDEX(machina!$A26:$FB26,MATCH(AR$19&amp;$C$17,machina[#Headers],)))</f>
        <v xml:space="preserve"> </v>
      </c>
      <c r="AS43" s="287" t="str">
        <f>IF(INDEX(machina!$A26:$FB26,MATCH(AS$19&amp;$C$17,machina[#Headers],))=""," ",INDEX(machina!$A26:$FB26,MATCH(AS$19&amp;$C$17,machina[#Headers],)))</f>
        <v xml:space="preserve"> </v>
      </c>
      <c r="AT43" s="287" t="str">
        <f>IF(INDEX(machina!$A26:$FB26,MATCH(AT$19&amp;$C$17,machina[#Headers],))=""," ",INDEX(machina!$A26:$FB26,MATCH(AT$19&amp;$C$17,machina[#Headers],)))</f>
        <v xml:space="preserve"> </v>
      </c>
      <c r="AU43" s="287" t="str">
        <f>IF(INDEX(machina!$A26:$FB26,MATCH(AU$19&amp;$C$17,machina[#Headers],))=""," ",INDEX(machina!$A26:$FB26,MATCH(AU$19&amp;$C$17,machina[#Headers],)))</f>
        <v xml:space="preserve"> </v>
      </c>
      <c r="AV43" s="287" t="str">
        <f>IF(INDEX(machina!$A26:$FB26,MATCH(AV$19&amp;$C$17,machina[#Headers],))=""," ",INDEX(machina!$A26:$FB26,MATCH(AV$19&amp;$C$17,machina[#Headers],)))</f>
        <v xml:space="preserve"> </v>
      </c>
      <c r="AW43" s="287" t="str">
        <f>IF(INDEX(machina!$A26:$FB26,MATCH(AW$19&amp;$C$17,machina[#Headers],))=""," ",INDEX(machina!$A26:$FB26,MATCH(AW$19&amp;$C$17,machina[#Headers],)))</f>
        <v xml:space="preserve"> </v>
      </c>
      <c r="AX43" s="287" t="str">
        <f>IF(INDEX(machina!$A26:$FB26,MATCH(AX$19&amp;$C$17,machina[#Headers],))=""," ",INDEX(machina!$A26:$FB26,MATCH(AX$19&amp;$C$17,machina[#Headers],)))</f>
        <v xml:space="preserve"> </v>
      </c>
      <c r="AY43" s="287" t="str">
        <f>IF(INDEX(machina!$A26:$FB26,MATCH(AY$19&amp;$C$17,machina[#Headers],))=""," ",INDEX(machina!$A26:$FB26,MATCH(AY$19&amp;$C$17,machina[#Headers],)))</f>
        <v xml:space="preserve"> </v>
      </c>
      <c r="AZ43" s="287" t="str">
        <f>IF(INDEX(machina!$A26:$FB26,MATCH(AZ$19&amp;$C$17,machina[#Headers],))=""," ",INDEX(machina!$A26:$FB26,MATCH(AZ$19&amp;$C$17,machina[#Headers],)))</f>
        <v xml:space="preserve"> </v>
      </c>
      <c r="BA43" s="287" t="str">
        <f>IF(INDEX(machina!$A26:$FB26,MATCH(BA$19&amp;$C$17,machina[#Headers],))=""," ",INDEX(machina!$A26:$FB26,MATCH(BA$19&amp;$C$17,machina[#Headers],)))</f>
        <v xml:space="preserve"> </v>
      </c>
      <c r="BB43" s="287" t="str">
        <f>IF(INDEX(machina!$A26:$FB26,MATCH(BB$19&amp;$C$17,machina[#Headers],))=""," ",INDEX(machina!$A26:$FB26,MATCH(BB$19&amp;$C$17,machina[#Headers],)))</f>
        <v xml:space="preserve"> </v>
      </c>
      <c r="BC43" s="287" t="str">
        <f>IF(INDEX(machina!$A26:$FB26,MATCH(BC$19&amp;$C$17,machina[#Headers],))=""," ",INDEX(machina!$A26:$FB26,MATCH(BC$19&amp;$C$17,machina[#Headers],)))</f>
        <v xml:space="preserve"> </v>
      </c>
      <c r="BD43" s="287" t="str">
        <f>IF(INDEX(machina!$A26:$FB26,MATCH(BD$19&amp;$C$17,machina[#Headers],))=""," ",INDEX(machina!$A26:$FB26,MATCH(BD$19&amp;$C$17,machina[#Headers],)))</f>
        <v xml:space="preserve"> </v>
      </c>
      <c r="BE43" s="287" t="str">
        <f>IF(INDEX(machina!$A26:$FB26,MATCH(BE$19&amp;$C$17,machina[#Headers],))=""," ",INDEX(machina!$A26:$FB26,MATCH(BE$19&amp;$C$17,machina[#Headers],)))</f>
        <v xml:space="preserve"> </v>
      </c>
      <c r="BF43" s="287" t="str">
        <f>IF(INDEX(machina!$A26:$FB26,MATCH(BF$19&amp;$C$17,machina[#Headers],))=""," ",INDEX(machina!$A26:$FB26,MATCH(BF$19&amp;$C$17,machina[#Headers],)))</f>
        <v xml:space="preserve"> </v>
      </c>
      <c r="BG43" s="287" t="str">
        <f>IF(INDEX(machina!$A26:$FB26,MATCH(BG$19&amp;$C$17,machina[#Headers],))=""," ",INDEX(machina!$A26:$FB26,MATCH(BG$19&amp;$C$17,machina[#Headers],)))</f>
        <v xml:space="preserve"> </v>
      </c>
      <c r="BH43" s="287" t="str">
        <f>IF(INDEX(machina!$A26:$FB26,MATCH(BH$19&amp;$C$17,machina[#Headers],))=""," ",INDEX(machina!$A26:$FB26,MATCH(BH$19&amp;$C$17,machina[#Headers],)))</f>
        <v xml:space="preserve"> </v>
      </c>
      <c r="BI43" s="287" t="str">
        <f>IF(INDEX(machina!$A26:$FB26,MATCH(BI$19&amp;$C$17,machina[#Headers],))=""," ",INDEX(machina!$A26:$FB26,MATCH(BI$19&amp;$C$17,machina[#Headers],)))</f>
        <v xml:space="preserve"> </v>
      </c>
      <c r="BJ43" s="287" t="str">
        <f>IF(INDEX(machina!$A26:$FB26,MATCH(BJ$19&amp;$C$17,machina[#Headers],))=""," ",INDEX(machina!$A26:$FB26,MATCH(BJ$19&amp;$C$17,machina[#Headers],)))</f>
        <v xml:space="preserve"> </v>
      </c>
      <c r="BK43" s="287" t="str">
        <f>IF(INDEX(machina!$A26:$FB26,MATCH(BK$19&amp;$C$17,machina[#Headers],))=""," ",INDEX(machina!$A26:$FB26,MATCH(BK$19&amp;$C$17,machina[#Headers],)))</f>
        <v xml:space="preserve"> </v>
      </c>
      <c r="BL43" s="287" t="str">
        <f>IF(INDEX(machina!$A26:$FB26,MATCH(BL$19&amp;$C$17,machina[#Headers],))=""," ",INDEX(machina!$A26:$FB26,MATCH(BL$19&amp;$C$17,machina[#Headers],)))</f>
        <v xml:space="preserve"> </v>
      </c>
      <c r="BM43" s="287" t="str">
        <f>IF(INDEX(machina!$A26:$FB26,MATCH(BM$19&amp;$C$17,machina[#Headers],))=""," ",INDEX(machina!$A26:$FB26,MATCH(BM$19&amp;$C$17,machina[#Headers],)))</f>
        <v xml:space="preserve"> </v>
      </c>
      <c r="BN43" s="287" t="str">
        <f>IF(INDEX(machina!$A26:$FB26,MATCH(BN$19&amp;$C$17,machina[#Headers],))=""," ",INDEX(machina!$A26:$FB26,MATCH(BN$19&amp;$C$17,machina[#Headers],)))</f>
        <v xml:space="preserve"> </v>
      </c>
      <c r="BO43" s="287" t="str">
        <f>IF(INDEX(machina!$A26:$FB26,MATCH(BO$19&amp;$C$17,machina[#Headers],))=""," ",INDEX(machina!$A26:$FB26,MATCH(BO$19&amp;$C$17,machina[#Headers],)))</f>
        <v xml:space="preserve"> </v>
      </c>
      <c r="BP43" s="287" t="str">
        <f>IF(INDEX(machina!$A26:$FB26,MATCH(BP$19&amp;$C$17,machina[#Headers],))=""," ",INDEX(machina!$A26:$FB26,MATCH(BP$19&amp;$C$17,machina[#Headers],)))</f>
        <v xml:space="preserve"> </v>
      </c>
      <c r="BQ43" s="287" t="str">
        <f>IF(INDEX(machina!$A26:$FB26,MATCH(BQ$19&amp;$C$17,machina[#Headers],))=""," ",INDEX(machina!$A26:$FB26,MATCH(BQ$19&amp;$C$17,machina[#Headers],)))</f>
        <v xml:space="preserve"> </v>
      </c>
      <c r="BR43" s="287" t="str">
        <f>IF(INDEX(machina!$A26:$FB26,MATCH(BR$19&amp;$C$17,machina[#Headers],))=""," ",INDEX(machina!$A26:$FB26,MATCH(BR$19&amp;$C$17,machina[#Headers],)))</f>
        <v xml:space="preserve"> </v>
      </c>
      <c r="BS43" s="287" t="str">
        <f>IF(INDEX(machina!$A26:$FB26,MATCH(BS$19&amp;$C$17,machina[#Headers],))=""," ",INDEX(machina!$A26:$FB26,MATCH(BS$19&amp;$C$17,machina[#Headers],)))</f>
        <v xml:space="preserve"> </v>
      </c>
      <c r="BT43" s="287" t="str">
        <f>IF(INDEX(machina!$A26:$FB26,MATCH(BT$19&amp;$C$17,machina[#Headers],))=""," ",INDEX(machina!$A26:$FB26,MATCH(BT$19&amp;$C$17,machina[#Headers],)))</f>
        <v xml:space="preserve"> </v>
      </c>
      <c r="BU43" s="287" t="str">
        <f>IF(INDEX(machina!$A26:$FB26,MATCH(BU$19&amp;$C$17,machina[#Headers],))=""," ",INDEX(machina!$A26:$FB26,MATCH(BU$19&amp;$C$17,machina[#Headers],)))</f>
        <v xml:space="preserve"> </v>
      </c>
      <c r="BV43" s="287" t="str">
        <f>IF(INDEX(machina!$A26:$FB26,MATCH(BV$19&amp;$C$17,machina[#Headers],))=""," ",INDEX(machina!$A26:$FB26,MATCH(BV$19&amp;$C$17,machina[#Headers],)))</f>
        <v xml:space="preserve"> </v>
      </c>
      <c r="BW43" s="287" t="str">
        <f>IF(INDEX(machina!$A26:$FB26,MATCH(BW$19&amp;$C$17,machina[#Headers],))=""," ",INDEX(machina!$A26:$FB26,MATCH(BW$19&amp;$C$17,machina[#Headers],)))</f>
        <v xml:space="preserve"> </v>
      </c>
      <c r="BX43" s="287" t="str">
        <f>IF(INDEX(machina!$A26:$FB26,MATCH(BX$19&amp;$C$17,machina[#Headers],))=""," ",INDEX(machina!$A26:$FB26,MATCH(BX$19&amp;$C$17,machina[#Headers],)))</f>
        <v xml:space="preserve"> </v>
      </c>
      <c r="BY43" s="287" t="str">
        <f>IF(INDEX(machina!$A26:$FB26,MATCH(BY$19&amp;$C$17,machina[#Headers],))=""," ",INDEX(machina!$A26:$FB26,MATCH(BY$19&amp;$C$17,machina[#Headers],)))</f>
        <v xml:space="preserve"> </v>
      </c>
      <c r="BZ43" s="287" t="str">
        <f>IF(INDEX(machina!$A26:$FB26,MATCH(BZ$19&amp;$C$17,machina[#Headers],))=""," ",INDEX(machina!$A26:$FB26,MATCH(BZ$19&amp;$C$17,machina[#Headers],)))</f>
        <v xml:space="preserve"> </v>
      </c>
      <c r="CA43" s="287" t="str">
        <f>IF(INDEX(machina!$A26:$FB26,MATCH(CA$19&amp;$C$17,machina[#Headers],))=""," ",INDEX(machina!$A26:$FB26,MATCH(CA$19&amp;$C$17,machina[#Headers],)))</f>
        <v xml:space="preserve"> </v>
      </c>
      <c r="CB43" s="288" t="str">
        <f>IF(INDEX('Raw Data'!$A26:$EA26,MATCH(CB$19,RawData[#Headers],))=""," ",INDEX('Raw Data'!$A26:$EA26,MATCH(CB$19,RawData[#Headers],)))</f>
        <v xml:space="preserve"> </v>
      </c>
      <c r="CD43" s="299" t="str">
        <f t="shared" si="61"/>
        <v xml:space="preserve"> </v>
      </c>
      <c r="CE43" s="299" t="str">
        <f t="shared" si="42"/>
        <v/>
      </c>
      <c r="CF43" s="299" t="str">
        <f t="shared" si="43"/>
        <v xml:space="preserve"> </v>
      </c>
      <c r="CG43" s="299" t="str">
        <f>IF(CE43=""," ",INDEX($CU$9:$CU$12,MATCH(CF43,analysis[CLUSTER],0)))</f>
        <v xml:space="preserve"> </v>
      </c>
      <c r="CH43" s="299" t="str">
        <f t="shared" si="44"/>
        <v xml:space="preserve"> </v>
      </c>
      <c r="CI43" s="298" t="str">
        <f t="shared" si="45"/>
        <v xml:space="preserve"> </v>
      </c>
      <c r="CJ43" s="274"/>
      <c r="CK43" s="336"/>
      <c r="CL43" s="298" t="str">
        <f t="shared" si="46"/>
        <v/>
      </c>
      <c r="CM43" s="326"/>
      <c r="CN43" s="326"/>
      <c r="CO43" s="326"/>
      <c r="CP43" s="326"/>
      <c r="CQ43" s="315" t="str">
        <f t="shared" si="38"/>
        <v/>
      </c>
      <c r="CR43" s="333" t="str">
        <f t="shared" si="47"/>
        <v xml:space="preserve"> </v>
      </c>
      <c r="CS43" s="333" t="str">
        <f t="shared" si="48"/>
        <v xml:space="preserve"> </v>
      </c>
      <c r="CT43" s="333" t="str">
        <f t="shared" si="49"/>
        <v xml:space="preserve"> </v>
      </c>
      <c r="CU43" s="333" t="str">
        <f t="shared" si="50"/>
        <v xml:space="preserve"> </v>
      </c>
      <c r="CV43" s="326"/>
      <c r="CW43" s="315" t="str">
        <f t="shared" si="51"/>
        <v/>
      </c>
      <c r="CX43" s="333" t="str">
        <f t="shared" si="52"/>
        <v xml:space="preserve"> </v>
      </c>
      <c r="CY43" s="333" t="str">
        <f t="shared" si="62"/>
        <v xml:space="preserve"> </v>
      </c>
      <c r="CZ43" s="333" t="str">
        <f t="shared" si="62"/>
        <v xml:space="preserve"> </v>
      </c>
      <c r="DA43" s="333" t="str">
        <f t="shared" si="62"/>
        <v xml:space="preserve"> </v>
      </c>
      <c r="DB43" s="326">
        <v>24</v>
      </c>
      <c r="DC43" s="337" t="str">
        <f t="shared" si="54"/>
        <v xml:space="preserve"> </v>
      </c>
      <c r="DD43" s="337" t="str">
        <f t="shared" si="55"/>
        <v xml:space="preserve"> </v>
      </c>
      <c r="DE43" s="337" t="str">
        <f t="shared" si="56"/>
        <v xml:space="preserve"> </v>
      </c>
      <c r="DF43" s="337" t="str">
        <f t="shared" si="57"/>
        <v xml:space="preserve"> </v>
      </c>
      <c r="DG43" s="344" t="str">
        <f t="shared" si="58"/>
        <v xml:space="preserve"> </v>
      </c>
      <c r="DH43" s="337" t="str">
        <f t="shared" si="59"/>
        <v xml:space="preserve"> </v>
      </c>
      <c r="DI43" s="337" t="str">
        <f t="shared" si="59"/>
        <v xml:space="preserve"> </v>
      </c>
      <c r="DJ43" s="337" t="str">
        <f t="shared" si="59"/>
        <v xml:space="preserve"> </v>
      </c>
      <c r="DK43" s="337" t="str">
        <f t="shared" si="59"/>
        <v xml:space="preserve"> </v>
      </c>
      <c r="DL43" s="344" t="str">
        <f t="shared" si="60"/>
        <v xml:space="preserve"> </v>
      </c>
      <c r="DN43" s="292" t="str">
        <f>IFERROR(VLOOKUP($A43,'Raw Data'!$A$3:$EV$32,152,FALSE)," ")</f>
        <v xml:space="preserve"> </v>
      </c>
    </row>
    <row r="44" spans="1:118" x14ac:dyDescent="0.3">
      <c r="A44" s="255">
        <f>'Raw Data'!A27</f>
        <v>0</v>
      </c>
      <c r="B44" s="287" t="str">
        <f>IF(INDEX(machina!$A27:$FB27,MATCH(B$19&amp;$C$17,machina[#Headers],))=""," ",INDEX(machina!$A27:$FB27,MATCH(B$19&amp;$C$17,machina[#Headers],)))</f>
        <v xml:space="preserve"> </v>
      </c>
      <c r="C44" s="287" t="str">
        <f>IF(INDEX(machina!$A27:$FB27,MATCH(C$19&amp;$C$17,machina[#Headers],))=""," ",INDEX(machina!$A27:$FB27,MATCH(C$19&amp;$C$17,machina[#Headers],)))</f>
        <v xml:space="preserve"> </v>
      </c>
      <c r="D44" s="287" t="str">
        <f>IF(INDEX(machina!$A27:$FB27,MATCH(D$19&amp;$C$17,machina[#Headers],))=""," ",INDEX(machina!$A27:$FB27,MATCH(D$19&amp;$C$17,machina[#Headers],)))</f>
        <v xml:space="preserve"> </v>
      </c>
      <c r="E44" s="287" t="str">
        <f>IF(INDEX(machina!$A27:$FB27,MATCH(E$19&amp;$C$17,machina[#Headers],))=""," ",INDEX(machina!$A27:$FB27,MATCH(E$19&amp;$C$17,machina[#Headers],)))</f>
        <v xml:space="preserve"> </v>
      </c>
      <c r="F44" s="287" t="str">
        <f>IF(INDEX(machina!$A27:$FB27,MATCH(F$19&amp;$C$17,machina[#Headers],))=""," ",INDEX(machina!$A27:$FB27,MATCH(F$19&amp;$C$17,machina[#Headers],)))</f>
        <v xml:space="preserve"> </v>
      </c>
      <c r="G44" s="287" t="str">
        <f>IF(INDEX(machina!$A27:$FB27,MATCH(G$19&amp;$C$17,machina[#Headers],))=""," ",INDEX(machina!$A27:$FB27,MATCH(G$19&amp;$C$17,machina[#Headers],)))</f>
        <v xml:space="preserve"> </v>
      </c>
      <c r="H44" s="287" t="str">
        <f>IF(INDEX(machina!$A27:$FB27,MATCH(H$19&amp;$C$17,machina[#Headers],))=""," ",INDEX(machina!$A27:$FB27,MATCH(H$19&amp;$C$17,machina[#Headers],)))</f>
        <v xml:space="preserve"> </v>
      </c>
      <c r="I44" s="287" t="str">
        <f>IF(INDEX(machina!$A27:$FB27,MATCH(I$19&amp;$C$17,machina[#Headers],))=""," ",INDEX(machina!$A27:$FB27,MATCH(I$19&amp;$C$17,machina[#Headers],)))</f>
        <v xml:space="preserve"> </v>
      </c>
      <c r="J44" s="287" t="str">
        <f>IF(INDEX(machina!$A27:$FB27,MATCH(J$19&amp;$C$17,machina[#Headers],))=""," ",INDEX(machina!$A27:$FB27,MATCH(J$19&amp;$C$17,machina[#Headers],)))</f>
        <v xml:space="preserve"> </v>
      </c>
      <c r="K44" s="287" t="str">
        <f>IF(INDEX(machina!$A27:$FB27,MATCH(K$19&amp;$C$17,machina[#Headers],))=""," ",INDEX(machina!$A27:$FB27,MATCH(K$19&amp;$C$17,machina[#Headers],)))</f>
        <v xml:space="preserve"> </v>
      </c>
      <c r="L44" s="287" t="str">
        <f>IF(INDEX(machina!$A27:$FB27,MATCH(L$19&amp;$C$17,machina[#Headers],))=""," ",INDEX(machina!$A27:$FB27,MATCH(L$19&amp;$C$17,machina[#Headers],)))</f>
        <v xml:space="preserve"> </v>
      </c>
      <c r="M44" s="287" t="str">
        <f>IF(INDEX(machina!$A27:$FB27,MATCH(M$19&amp;$C$17,machina[#Headers],))=""," ",INDEX(machina!$A27:$FB27,MATCH(M$19&amp;$C$17,machina[#Headers],)))</f>
        <v xml:space="preserve"> </v>
      </c>
      <c r="N44" s="287" t="str">
        <f>IF(INDEX(machina!$A27:$FB27,MATCH(N$19&amp;$C$17,machina[#Headers],))=""," ",INDEX(machina!$A27:$FB27,MATCH(N$19&amp;$C$17,machina[#Headers],)))</f>
        <v xml:space="preserve"> </v>
      </c>
      <c r="O44" s="287" t="str">
        <f>IF(INDEX(machina!$A27:$FB27,MATCH(O$19&amp;$C$17,machina[#Headers],))=""," ",INDEX(machina!$A27:$FB27,MATCH(O$19&amp;$C$17,machina[#Headers],)))</f>
        <v xml:space="preserve"> </v>
      </c>
      <c r="P44" s="287" t="str">
        <f>IF(INDEX(machina!$A27:$FB27,MATCH(P$19&amp;$C$17,machina[#Headers],))=""," ",INDEX(machina!$A27:$FB27,MATCH(P$19&amp;$C$17,machina[#Headers],)))</f>
        <v xml:space="preserve"> </v>
      </c>
      <c r="Q44" s="287" t="str">
        <f>IF(INDEX(machina!$A27:$FB27,MATCH(Q$19&amp;$C$17,machina[#Headers],))=""," ",INDEX(machina!$A27:$FB27,MATCH(Q$19&amp;$C$17,machina[#Headers],)))</f>
        <v xml:space="preserve"> </v>
      </c>
      <c r="R44" s="287" t="str">
        <f>IF(INDEX(machina!$A27:$FB27,MATCH(R$19&amp;$C$17,machina[#Headers],))=""," ",INDEX(machina!$A27:$FB27,MATCH(R$19&amp;$C$17,machina[#Headers],)))</f>
        <v xml:space="preserve"> </v>
      </c>
      <c r="S44" s="287" t="str">
        <f>IF(INDEX(machina!$A27:$FB27,MATCH(S$19&amp;$C$17,machina[#Headers],))=""," ",INDEX(machina!$A27:$FB27,MATCH(S$19&amp;$C$17,machina[#Headers],)))</f>
        <v xml:space="preserve"> </v>
      </c>
      <c r="T44" s="287" t="str">
        <f>IF(INDEX(machina!$A27:$FB27,MATCH(T$19&amp;$C$17,machina[#Headers],))=""," ",INDEX(machina!$A27:$FB27,MATCH(T$19&amp;$C$17,machina[#Headers],)))</f>
        <v xml:space="preserve"> </v>
      </c>
      <c r="U44" s="287" t="str">
        <f>IF(INDEX(machina!$A27:$FB27,MATCH(U$19&amp;$C$17,machina[#Headers],))=""," ",INDEX(machina!$A27:$FB27,MATCH(U$19&amp;$C$17,machina[#Headers],)))</f>
        <v xml:space="preserve"> </v>
      </c>
      <c r="V44" s="287" t="str">
        <f>IF(INDEX(machina!$A27:$FB27,MATCH(V$19&amp;$C$17,machina[#Headers],))=""," ",INDEX(machina!$A27:$FB27,MATCH(V$19&amp;$C$17,machina[#Headers],)))</f>
        <v xml:space="preserve"> </v>
      </c>
      <c r="W44" s="287" t="str">
        <f>IF(INDEX(machina!$A27:$FB27,MATCH(W$19&amp;$C$17,machina[#Headers],))=""," ",INDEX(machina!$A27:$FB27,MATCH(W$19&amp;$C$17,machina[#Headers],)))</f>
        <v xml:space="preserve"> </v>
      </c>
      <c r="X44" s="287" t="str">
        <f>IF(INDEX(machina!$A27:$FB27,MATCH(X$19&amp;$C$17,machina[#Headers],))=""," ",INDEX(machina!$A27:$FB27,MATCH(X$19&amp;$C$17,machina[#Headers],)))</f>
        <v xml:space="preserve"> </v>
      </c>
      <c r="Y44" s="287" t="str">
        <f>IF(INDEX(machina!$A27:$FB27,MATCH(Y$19&amp;$C$17,machina[#Headers],))=""," ",INDEX(machina!$A27:$FB27,MATCH(Y$19&amp;$C$17,machina[#Headers],)))</f>
        <v xml:space="preserve"> </v>
      </c>
      <c r="Z44" s="287" t="str">
        <f>IF(INDEX(machina!$A27:$FB27,MATCH(Z$19&amp;$C$17,machina[#Headers],))=""," ",INDEX(machina!$A27:$FB27,MATCH(Z$19&amp;$C$17,machina[#Headers],)))</f>
        <v xml:space="preserve"> </v>
      </c>
      <c r="AA44" s="287" t="str">
        <f>IF(INDEX(machina!$A27:$FB27,MATCH(AA$19&amp;$C$17,machina[#Headers],))=""," ",INDEX(machina!$A27:$FB27,MATCH(AA$19&amp;$C$17,machina[#Headers],)))</f>
        <v xml:space="preserve"> </v>
      </c>
      <c r="AB44" s="287" t="str">
        <f>IF(INDEX(machina!$A27:$FB27,MATCH(AB$19&amp;$C$17,machina[#Headers],))=""," ",INDEX(machina!$A27:$FB27,MATCH(AB$19&amp;$C$17,machina[#Headers],)))</f>
        <v xml:space="preserve"> </v>
      </c>
      <c r="AC44" s="287" t="str">
        <f>IF(INDEX(machina!$A27:$FB27,MATCH(AC$19&amp;$C$17,machina[#Headers],))=""," ",INDEX(machina!$A27:$FB27,MATCH(AC$19&amp;$C$17,machina[#Headers],)))</f>
        <v xml:space="preserve"> </v>
      </c>
      <c r="AD44" s="287" t="str">
        <f>IF(INDEX(machina!$A27:$FB27,MATCH(AD$19&amp;$C$17,machina[#Headers],))=""," ",INDEX(machina!$A27:$FB27,MATCH(AD$19&amp;$C$17,machina[#Headers],)))</f>
        <v xml:space="preserve"> </v>
      </c>
      <c r="AE44" s="287" t="str">
        <f>IF(INDEX(machina!$A27:$FB27,MATCH(AE$19&amp;$C$17,machina[#Headers],))=""," ",INDEX(machina!$A27:$FB27,MATCH(AE$19&amp;$C$17,machina[#Headers],)))</f>
        <v xml:space="preserve"> </v>
      </c>
      <c r="AF44" s="287" t="str">
        <f>IF(INDEX(machina!$A27:$FB27,MATCH(AF$19&amp;$C$17,machina[#Headers],))=""," ",INDEX(machina!$A27:$FB27,MATCH(AF$19&amp;$C$17,machina[#Headers],)))</f>
        <v xml:space="preserve"> </v>
      </c>
      <c r="AG44" s="287" t="str">
        <f>IF(INDEX(machina!$A27:$FB27,MATCH(AG$19&amp;$C$17,machina[#Headers],))=""," ",INDEX(machina!$A27:$FB27,MATCH(AG$19&amp;$C$17,machina[#Headers],)))</f>
        <v xml:space="preserve"> </v>
      </c>
      <c r="AH44" s="287" t="str">
        <f>IF(INDEX(machina!$A27:$FB27,MATCH(AH$19&amp;$C$17,machina[#Headers],))=""," ",INDEX(machina!$A27:$FB27,MATCH(AH$19&amp;$C$17,machina[#Headers],)))</f>
        <v xml:space="preserve"> </v>
      </c>
      <c r="AI44" s="287" t="str">
        <f>IF(INDEX(machina!$A27:$FB27,MATCH(AI$19&amp;$C$17,machina[#Headers],))=""," ",INDEX(machina!$A27:$FB27,MATCH(AI$19&amp;$C$17,machina[#Headers],)))</f>
        <v xml:space="preserve"> </v>
      </c>
      <c r="AJ44" s="287" t="str">
        <f>IF(INDEX(machina!$A27:$FB27,MATCH(AJ$19&amp;$C$17,machina[#Headers],))=""," ",INDEX(machina!$A27:$FB27,MATCH(AJ$19&amp;$C$17,machina[#Headers],)))</f>
        <v xml:space="preserve"> </v>
      </c>
      <c r="AK44" s="287" t="str">
        <f>IF(INDEX(machina!$A27:$FB27,MATCH(AK$19&amp;$C$17,machina[#Headers],))=""," ",INDEX(machina!$A27:$FB27,MATCH(AK$19&amp;$C$17,machina[#Headers],)))</f>
        <v xml:space="preserve"> </v>
      </c>
      <c r="AL44" s="287" t="str">
        <f>IF(INDEX(machina!$A27:$FB27,MATCH(AL$19&amp;$C$17,machina[#Headers],))=""," ",INDEX(machina!$A27:$FB27,MATCH(AL$19&amp;$C$17,machina[#Headers],)))</f>
        <v xml:space="preserve"> </v>
      </c>
      <c r="AM44" s="287" t="str">
        <f>IF(INDEX(machina!$A27:$FB27,MATCH(AM$19&amp;$C$17,machina[#Headers],))=""," ",INDEX(machina!$A27:$FB27,MATCH(AM$19&amp;$C$17,machina[#Headers],)))</f>
        <v xml:space="preserve"> </v>
      </c>
      <c r="AN44" s="287" t="str">
        <f>IF(INDEX(machina!$A27:$FB27,MATCH(AN$19&amp;$C$17,machina[#Headers],))=""," ",INDEX(machina!$A27:$FB27,MATCH(AN$19&amp;$C$17,machina[#Headers],)))</f>
        <v xml:space="preserve"> </v>
      </c>
      <c r="AO44" s="287" t="str">
        <f>IF(INDEX(machina!$A27:$FB27,MATCH(AO$19&amp;$C$17,machina[#Headers],))=""," ",INDEX(machina!$A27:$FB27,MATCH(AO$19&amp;$C$17,machina[#Headers],)))</f>
        <v xml:space="preserve"> </v>
      </c>
      <c r="AP44" s="287" t="str">
        <f>IF(INDEX(machina!$A27:$FB27,MATCH(AP$19&amp;$C$17,machina[#Headers],))=""," ",INDEX(machina!$A27:$FB27,MATCH(AP$19&amp;$C$17,machina[#Headers],)))</f>
        <v xml:space="preserve"> </v>
      </c>
      <c r="AQ44" s="287" t="str">
        <f>IF(INDEX(machina!$A27:$FB27,MATCH(AQ$19&amp;$C$17,machina[#Headers],))=""," ",INDEX(machina!$A27:$FB27,MATCH(AQ$19&amp;$C$17,machina[#Headers],)))</f>
        <v xml:space="preserve"> </v>
      </c>
      <c r="AR44" s="287" t="str">
        <f>IF(INDEX(machina!$A27:$FB27,MATCH(AR$19&amp;$C$17,machina[#Headers],))=""," ",INDEX(machina!$A27:$FB27,MATCH(AR$19&amp;$C$17,machina[#Headers],)))</f>
        <v xml:space="preserve"> </v>
      </c>
      <c r="AS44" s="287" t="str">
        <f>IF(INDEX(machina!$A27:$FB27,MATCH(AS$19&amp;$C$17,machina[#Headers],))=""," ",INDEX(machina!$A27:$FB27,MATCH(AS$19&amp;$C$17,machina[#Headers],)))</f>
        <v xml:space="preserve"> </v>
      </c>
      <c r="AT44" s="287" t="str">
        <f>IF(INDEX(machina!$A27:$FB27,MATCH(AT$19&amp;$C$17,machina[#Headers],))=""," ",INDEX(machina!$A27:$FB27,MATCH(AT$19&amp;$C$17,machina[#Headers],)))</f>
        <v xml:space="preserve"> </v>
      </c>
      <c r="AU44" s="287" t="str">
        <f>IF(INDEX(machina!$A27:$FB27,MATCH(AU$19&amp;$C$17,machina[#Headers],))=""," ",INDEX(machina!$A27:$FB27,MATCH(AU$19&amp;$C$17,machina[#Headers],)))</f>
        <v xml:space="preserve"> </v>
      </c>
      <c r="AV44" s="287" t="str">
        <f>IF(INDEX(machina!$A27:$FB27,MATCH(AV$19&amp;$C$17,machina[#Headers],))=""," ",INDEX(machina!$A27:$FB27,MATCH(AV$19&amp;$C$17,machina[#Headers],)))</f>
        <v xml:space="preserve"> </v>
      </c>
      <c r="AW44" s="287" t="str">
        <f>IF(INDEX(machina!$A27:$FB27,MATCH(AW$19&amp;$C$17,machina[#Headers],))=""," ",INDEX(machina!$A27:$FB27,MATCH(AW$19&amp;$C$17,machina[#Headers],)))</f>
        <v xml:space="preserve"> </v>
      </c>
      <c r="AX44" s="287" t="str">
        <f>IF(INDEX(machina!$A27:$FB27,MATCH(AX$19&amp;$C$17,machina[#Headers],))=""," ",INDEX(machina!$A27:$FB27,MATCH(AX$19&amp;$C$17,machina[#Headers],)))</f>
        <v xml:space="preserve"> </v>
      </c>
      <c r="AY44" s="287" t="str">
        <f>IF(INDEX(machina!$A27:$FB27,MATCH(AY$19&amp;$C$17,machina[#Headers],))=""," ",INDEX(machina!$A27:$FB27,MATCH(AY$19&amp;$C$17,machina[#Headers],)))</f>
        <v xml:space="preserve"> </v>
      </c>
      <c r="AZ44" s="287" t="str">
        <f>IF(INDEX(machina!$A27:$FB27,MATCH(AZ$19&amp;$C$17,machina[#Headers],))=""," ",INDEX(machina!$A27:$FB27,MATCH(AZ$19&amp;$C$17,machina[#Headers],)))</f>
        <v xml:space="preserve"> </v>
      </c>
      <c r="BA44" s="287" t="str">
        <f>IF(INDEX(machina!$A27:$FB27,MATCH(BA$19&amp;$C$17,machina[#Headers],))=""," ",INDEX(machina!$A27:$FB27,MATCH(BA$19&amp;$C$17,machina[#Headers],)))</f>
        <v xml:space="preserve"> </v>
      </c>
      <c r="BB44" s="287" t="str">
        <f>IF(INDEX(machina!$A27:$FB27,MATCH(BB$19&amp;$C$17,machina[#Headers],))=""," ",INDEX(machina!$A27:$FB27,MATCH(BB$19&amp;$C$17,machina[#Headers],)))</f>
        <v xml:space="preserve"> </v>
      </c>
      <c r="BC44" s="287" t="str">
        <f>IF(INDEX(machina!$A27:$FB27,MATCH(BC$19&amp;$C$17,machina[#Headers],))=""," ",INDEX(machina!$A27:$FB27,MATCH(BC$19&amp;$C$17,machina[#Headers],)))</f>
        <v xml:space="preserve"> </v>
      </c>
      <c r="BD44" s="287" t="str">
        <f>IF(INDEX(machina!$A27:$FB27,MATCH(BD$19&amp;$C$17,machina[#Headers],))=""," ",INDEX(machina!$A27:$FB27,MATCH(BD$19&amp;$C$17,machina[#Headers],)))</f>
        <v xml:space="preserve"> </v>
      </c>
      <c r="BE44" s="287" t="str">
        <f>IF(INDEX(machina!$A27:$FB27,MATCH(BE$19&amp;$C$17,machina[#Headers],))=""," ",INDEX(machina!$A27:$FB27,MATCH(BE$19&amp;$C$17,machina[#Headers],)))</f>
        <v xml:space="preserve"> </v>
      </c>
      <c r="BF44" s="287" t="str">
        <f>IF(INDEX(machina!$A27:$FB27,MATCH(BF$19&amp;$C$17,machina[#Headers],))=""," ",INDEX(machina!$A27:$FB27,MATCH(BF$19&amp;$C$17,machina[#Headers],)))</f>
        <v xml:space="preserve"> </v>
      </c>
      <c r="BG44" s="287" t="str">
        <f>IF(INDEX(machina!$A27:$FB27,MATCH(BG$19&amp;$C$17,machina[#Headers],))=""," ",INDEX(machina!$A27:$FB27,MATCH(BG$19&amp;$C$17,machina[#Headers],)))</f>
        <v xml:space="preserve"> </v>
      </c>
      <c r="BH44" s="287" t="str">
        <f>IF(INDEX(machina!$A27:$FB27,MATCH(BH$19&amp;$C$17,machina[#Headers],))=""," ",INDEX(machina!$A27:$FB27,MATCH(BH$19&amp;$C$17,machina[#Headers],)))</f>
        <v xml:space="preserve"> </v>
      </c>
      <c r="BI44" s="287" t="str">
        <f>IF(INDEX(machina!$A27:$FB27,MATCH(BI$19&amp;$C$17,machina[#Headers],))=""," ",INDEX(machina!$A27:$FB27,MATCH(BI$19&amp;$C$17,machina[#Headers],)))</f>
        <v xml:space="preserve"> </v>
      </c>
      <c r="BJ44" s="287" t="str">
        <f>IF(INDEX(machina!$A27:$FB27,MATCH(BJ$19&amp;$C$17,machina[#Headers],))=""," ",INDEX(machina!$A27:$FB27,MATCH(BJ$19&amp;$C$17,machina[#Headers],)))</f>
        <v xml:space="preserve"> </v>
      </c>
      <c r="BK44" s="287" t="str">
        <f>IF(INDEX(machina!$A27:$FB27,MATCH(BK$19&amp;$C$17,machina[#Headers],))=""," ",INDEX(machina!$A27:$FB27,MATCH(BK$19&amp;$C$17,machina[#Headers],)))</f>
        <v xml:space="preserve"> </v>
      </c>
      <c r="BL44" s="287" t="str">
        <f>IF(INDEX(machina!$A27:$FB27,MATCH(BL$19&amp;$C$17,machina[#Headers],))=""," ",INDEX(machina!$A27:$FB27,MATCH(BL$19&amp;$C$17,machina[#Headers],)))</f>
        <v xml:space="preserve"> </v>
      </c>
      <c r="BM44" s="287" t="str">
        <f>IF(INDEX(machina!$A27:$FB27,MATCH(BM$19&amp;$C$17,machina[#Headers],))=""," ",INDEX(machina!$A27:$FB27,MATCH(BM$19&amp;$C$17,machina[#Headers],)))</f>
        <v xml:space="preserve"> </v>
      </c>
      <c r="BN44" s="287" t="str">
        <f>IF(INDEX(machina!$A27:$FB27,MATCH(BN$19&amp;$C$17,machina[#Headers],))=""," ",INDEX(machina!$A27:$FB27,MATCH(BN$19&amp;$C$17,machina[#Headers],)))</f>
        <v xml:space="preserve"> </v>
      </c>
      <c r="BO44" s="287" t="str">
        <f>IF(INDEX(machina!$A27:$FB27,MATCH(BO$19&amp;$C$17,machina[#Headers],))=""," ",INDEX(machina!$A27:$FB27,MATCH(BO$19&amp;$C$17,machina[#Headers],)))</f>
        <v xml:space="preserve"> </v>
      </c>
      <c r="BP44" s="287" t="str">
        <f>IF(INDEX(machina!$A27:$FB27,MATCH(BP$19&amp;$C$17,machina[#Headers],))=""," ",INDEX(machina!$A27:$FB27,MATCH(BP$19&amp;$C$17,machina[#Headers],)))</f>
        <v xml:space="preserve"> </v>
      </c>
      <c r="BQ44" s="287" t="str">
        <f>IF(INDEX(machina!$A27:$FB27,MATCH(BQ$19&amp;$C$17,machina[#Headers],))=""," ",INDEX(machina!$A27:$FB27,MATCH(BQ$19&amp;$C$17,machina[#Headers],)))</f>
        <v xml:space="preserve"> </v>
      </c>
      <c r="BR44" s="287" t="str">
        <f>IF(INDEX(machina!$A27:$FB27,MATCH(BR$19&amp;$C$17,machina[#Headers],))=""," ",INDEX(machina!$A27:$FB27,MATCH(BR$19&amp;$C$17,machina[#Headers],)))</f>
        <v xml:space="preserve"> </v>
      </c>
      <c r="BS44" s="287" t="str">
        <f>IF(INDEX(machina!$A27:$FB27,MATCH(BS$19&amp;$C$17,machina[#Headers],))=""," ",INDEX(machina!$A27:$FB27,MATCH(BS$19&amp;$C$17,machina[#Headers],)))</f>
        <v xml:space="preserve"> </v>
      </c>
      <c r="BT44" s="287" t="str">
        <f>IF(INDEX(machina!$A27:$FB27,MATCH(BT$19&amp;$C$17,machina[#Headers],))=""," ",INDEX(machina!$A27:$FB27,MATCH(BT$19&amp;$C$17,machina[#Headers],)))</f>
        <v xml:space="preserve"> </v>
      </c>
      <c r="BU44" s="287" t="str">
        <f>IF(INDEX(machina!$A27:$FB27,MATCH(BU$19&amp;$C$17,machina[#Headers],))=""," ",INDEX(machina!$A27:$FB27,MATCH(BU$19&amp;$C$17,machina[#Headers],)))</f>
        <v xml:space="preserve"> </v>
      </c>
      <c r="BV44" s="287" t="str">
        <f>IF(INDEX(machina!$A27:$FB27,MATCH(BV$19&amp;$C$17,machina[#Headers],))=""," ",INDEX(machina!$A27:$FB27,MATCH(BV$19&amp;$C$17,machina[#Headers],)))</f>
        <v xml:space="preserve"> </v>
      </c>
      <c r="BW44" s="287" t="str">
        <f>IF(INDEX(machina!$A27:$FB27,MATCH(BW$19&amp;$C$17,machina[#Headers],))=""," ",INDEX(machina!$A27:$FB27,MATCH(BW$19&amp;$C$17,machina[#Headers],)))</f>
        <v xml:space="preserve"> </v>
      </c>
      <c r="BX44" s="287" t="str">
        <f>IF(INDEX(machina!$A27:$FB27,MATCH(BX$19&amp;$C$17,machina[#Headers],))=""," ",INDEX(machina!$A27:$FB27,MATCH(BX$19&amp;$C$17,machina[#Headers],)))</f>
        <v xml:space="preserve"> </v>
      </c>
      <c r="BY44" s="287" t="str">
        <f>IF(INDEX(machina!$A27:$FB27,MATCH(BY$19&amp;$C$17,machina[#Headers],))=""," ",INDEX(machina!$A27:$FB27,MATCH(BY$19&amp;$C$17,machina[#Headers],)))</f>
        <v xml:space="preserve"> </v>
      </c>
      <c r="BZ44" s="287" t="str">
        <f>IF(INDEX(machina!$A27:$FB27,MATCH(BZ$19&amp;$C$17,machina[#Headers],))=""," ",INDEX(machina!$A27:$FB27,MATCH(BZ$19&amp;$C$17,machina[#Headers],)))</f>
        <v xml:space="preserve"> </v>
      </c>
      <c r="CA44" s="287" t="str">
        <f>IF(INDEX(machina!$A27:$FB27,MATCH(CA$19&amp;$C$17,machina[#Headers],))=""," ",INDEX(machina!$A27:$FB27,MATCH(CA$19&amp;$C$17,machina[#Headers],)))</f>
        <v xml:space="preserve"> </v>
      </c>
      <c r="CB44" s="288" t="str">
        <f>IF(INDEX('Raw Data'!$A27:$EA27,MATCH(CB$19,RawData[#Headers],))=""," ",INDEX('Raw Data'!$A27:$EA27,MATCH(CB$19,RawData[#Headers],)))</f>
        <v xml:space="preserve"> </v>
      </c>
      <c r="CD44" s="298" t="str">
        <f t="shared" si="61"/>
        <v xml:space="preserve"> </v>
      </c>
      <c r="CE44" s="298" t="str">
        <f t="shared" si="42"/>
        <v/>
      </c>
      <c r="CF44" s="298" t="str">
        <f t="shared" si="43"/>
        <v xml:space="preserve"> </v>
      </c>
      <c r="CG44" s="298" t="str">
        <f>IF(CE44=""," ",INDEX($CU$9:$CU$12,MATCH(CF44,analysis[CLUSTER],0)))</f>
        <v xml:space="preserve"> </v>
      </c>
      <c r="CH44" s="298" t="str">
        <f t="shared" si="44"/>
        <v xml:space="preserve"> </v>
      </c>
      <c r="CI44" s="298" t="str">
        <f t="shared" si="45"/>
        <v xml:space="preserve"> </v>
      </c>
      <c r="CJ44" s="274"/>
      <c r="CK44" s="336"/>
      <c r="CL44" s="298"/>
      <c r="CM44" s="326"/>
      <c r="CN44" s="326"/>
      <c r="CO44" s="326"/>
      <c r="CP44" s="326"/>
      <c r="CQ44" s="315" t="str">
        <f t="shared" si="38"/>
        <v/>
      </c>
      <c r="CR44" s="333" t="str">
        <f t="shared" si="47"/>
        <v xml:space="preserve"> </v>
      </c>
      <c r="CS44" s="333" t="str">
        <f t="shared" si="48"/>
        <v xml:space="preserve"> </v>
      </c>
      <c r="CT44" s="333" t="str">
        <f t="shared" si="49"/>
        <v xml:space="preserve"> </v>
      </c>
      <c r="CU44" s="333" t="str">
        <f t="shared" si="50"/>
        <v xml:space="preserve"> </v>
      </c>
      <c r="CV44" s="326"/>
      <c r="CW44" s="315" t="str">
        <f t="shared" si="51"/>
        <v/>
      </c>
      <c r="CX44" s="333" t="str">
        <f t="shared" si="52"/>
        <v xml:space="preserve"> </v>
      </c>
      <c r="CY44" s="333" t="str">
        <f t="shared" si="62"/>
        <v xml:space="preserve"> </v>
      </c>
      <c r="CZ44" s="333" t="str">
        <f t="shared" si="62"/>
        <v xml:space="preserve"> </v>
      </c>
      <c r="DA44" s="333" t="str">
        <f t="shared" si="62"/>
        <v xml:space="preserve"> </v>
      </c>
      <c r="DB44" s="326">
        <v>25</v>
      </c>
      <c r="DC44" s="337" t="str">
        <f t="shared" si="54"/>
        <v xml:space="preserve"> </v>
      </c>
      <c r="DD44" s="337" t="str">
        <f t="shared" si="55"/>
        <v xml:space="preserve"> </v>
      </c>
      <c r="DE44" s="337" t="str">
        <f t="shared" si="56"/>
        <v xml:space="preserve"> </v>
      </c>
      <c r="DF44" s="337" t="str">
        <f t="shared" si="57"/>
        <v xml:space="preserve"> </v>
      </c>
      <c r="DG44" s="344" t="str">
        <f t="shared" si="58"/>
        <v xml:space="preserve"> </v>
      </c>
      <c r="DH44" s="337" t="str">
        <f t="shared" si="59"/>
        <v xml:space="preserve"> </v>
      </c>
      <c r="DI44" s="337" t="str">
        <f t="shared" si="59"/>
        <v xml:space="preserve"> </v>
      </c>
      <c r="DJ44" s="337" t="str">
        <f t="shared" si="59"/>
        <v xml:space="preserve"> </v>
      </c>
      <c r="DK44" s="337" t="str">
        <f t="shared" si="59"/>
        <v xml:space="preserve"> </v>
      </c>
      <c r="DL44" s="344" t="str">
        <f t="shared" si="60"/>
        <v xml:space="preserve"> </v>
      </c>
      <c r="DN44" s="292" t="str">
        <f>IFERROR(VLOOKUP($A44,'Raw Data'!$A$3:$EV$32,152,FALSE)," ")</f>
        <v xml:space="preserve"> </v>
      </c>
    </row>
    <row r="45" spans="1:118" x14ac:dyDescent="0.3">
      <c r="A45" s="255">
        <f>'Raw Data'!A28</f>
        <v>0</v>
      </c>
      <c r="B45" s="287" t="str">
        <f>IF(INDEX(machina!$A28:$FB28,MATCH(B$19&amp;$C$17,machina[#Headers],))=""," ",INDEX(machina!$A28:$FB28,MATCH(B$19&amp;$C$17,machina[#Headers],)))</f>
        <v xml:space="preserve"> </v>
      </c>
      <c r="C45" s="287" t="str">
        <f>IF(INDEX(machina!$A28:$FB28,MATCH(C$19&amp;$C$17,machina[#Headers],))=""," ",INDEX(machina!$A28:$FB28,MATCH(C$19&amp;$C$17,machina[#Headers],)))</f>
        <v xml:space="preserve"> </v>
      </c>
      <c r="D45" s="287" t="str">
        <f>IF(INDEX(machina!$A28:$FB28,MATCH(D$19&amp;$C$17,machina[#Headers],))=""," ",INDEX(machina!$A28:$FB28,MATCH(D$19&amp;$C$17,machina[#Headers],)))</f>
        <v xml:space="preserve"> </v>
      </c>
      <c r="E45" s="287" t="str">
        <f>IF(INDEX(machina!$A28:$FB28,MATCH(E$19&amp;$C$17,machina[#Headers],))=""," ",INDEX(machina!$A28:$FB28,MATCH(E$19&amp;$C$17,machina[#Headers],)))</f>
        <v xml:space="preserve"> </v>
      </c>
      <c r="F45" s="287" t="str">
        <f>IF(INDEX(machina!$A28:$FB28,MATCH(F$19&amp;$C$17,machina[#Headers],))=""," ",INDEX(machina!$A28:$FB28,MATCH(F$19&amp;$C$17,machina[#Headers],)))</f>
        <v xml:space="preserve"> </v>
      </c>
      <c r="G45" s="287" t="str">
        <f>IF(INDEX(machina!$A28:$FB28,MATCH(G$19&amp;$C$17,machina[#Headers],))=""," ",INDEX(machina!$A28:$FB28,MATCH(G$19&amp;$C$17,machina[#Headers],)))</f>
        <v xml:space="preserve"> </v>
      </c>
      <c r="H45" s="287" t="str">
        <f>IF(INDEX(machina!$A28:$FB28,MATCH(H$19&amp;$C$17,machina[#Headers],))=""," ",INDEX(machina!$A28:$FB28,MATCH(H$19&amp;$C$17,machina[#Headers],)))</f>
        <v xml:space="preserve"> </v>
      </c>
      <c r="I45" s="287" t="str">
        <f>IF(INDEX(machina!$A28:$FB28,MATCH(I$19&amp;$C$17,machina[#Headers],))=""," ",INDEX(machina!$A28:$FB28,MATCH(I$19&amp;$C$17,machina[#Headers],)))</f>
        <v xml:space="preserve"> </v>
      </c>
      <c r="J45" s="287" t="str">
        <f>IF(INDEX(machina!$A28:$FB28,MATCH(J$19&amp;$C$17,machina[#Headers],))=""," ",INDEX(machina!$A28:$FB28,MATCH(J$19&amp;$C$17,machina[#Headers],)))</f>
        <v xml:space="preserve"> </v>
      </c>
      <c r="K45" s="287" t="str">
        <f>IF(INDEX(machina!$A28:$FB28,MATCH(K$19&amp;$C$17,machina[#Headers],))=""," ",INDEX(machina!$A28:$FB28,MATCH(K$19&amp;$C$17,machina[#Headers],)))</f>
        <v xml:space="preserve"> </v>
      </c>
      <c r="L45" s="287" t="str">
        <f>IF(INDEX(machina!$A28:$FB28,MATCH(L$19&amp;$C$17,machina[#Headers],))=""," ",INDEX(machina!$A28:$FB28,MATCH(L$19&amp;$C$17,machina[#Headers],)))</f>
        <v xml:space="preserve"> </v>
      </c>
      <c r="M45" s="287" t="str">
        <f>IF(INDEX(machina!$A28:$FB28,MATCH(M$19&amp;$C$17,machina[#Headers],))=""," ",INDEX(machina!$A28:$FB28,MATCH(M$19&amp;$C$17,machina[#Headers],)))</f>
        <v xml:space="preserve"> </v>
      </c>
      <c r="N45" s="287" t="str">
        <f>IF(INDEX(machina!$A28:$FB28,MATCH(N$19&amp;$C$17,machina[#Headers],))=""," ",INDEX(machina!$A28:$FB28,MATCH(N$19&amp;$C$17,machina[#Headers],)))</f>
        <v xml:space="preserve"> </v>
      </c>
      <c r="O45" s="287" t="str">
        <f>IF(INDEX(machina!$A28:$FB28,MATCH(O$19&amp;$C$17,machina[#Headers],))=""," ",INDEX(machina!$A28:$FB28,MATCH(O$19&amp;$C$17,machina[#Headers],)))</f>
        <v xml:space="preserve"> </v>
      </c>
      <c r="P45" s="287" t="str">
        <f>IF(INDEX(machina!$A28:$FB28,MATCH(P$19&amp;$C$17,machina[#Headers],))=""," ",INDEX(machina!$A28:$FB28,MATCH(P$19&amp;$C$17,machina[#Headers],)))</f>
        <v xml:space="preserve"> </v>
      </c>
      <c r="Q45" s="287" t="str">
        <f>IF(INDEX(machina!$A28:$FB28,MATCH(Q$19&amp;$C$17,machina[#Headers],))=""," ",INDEX(machina!$A28:$FB28,MATCH(Q$19&amp;$C$17,machina[#Headers],)))</f>
        <v xml:space="preserve"> </v>
      </c>
      <c r="R45" s="287" t="str">
        <f>IF(INDEX(machina!$A28:$FB28,MATCH(R$19&amp;$C$17,machina[#Headers],))=""," ",INDEX(machina!$A28:$FB28,MATCH(R$19&amp;$C$17,machina[#Headers],)))</f>
        <v xml:space="preserve"> </v>
      </c>
      <c r="S45" s="287" t="str">
        <f>IF(INDEX(machina!$A28:$FB28,MATCH(S$19&amp;$C$17,machina[#Headers],))=""," ",INDEX(machina!$A28:$FB28,MATCH(S$19&amp;$C$17,machina[#Headers],)))</f>
        <v xml:space="preserve"> </v>
      </c>
      <c r="T45" s="287" t="str">
        <f>IF(INDEX(machina!$A28:$FB28,MATCH(T$19&amp;$C$17,machina[#Headers],))=""," ",INDEX(machina!$A28:$FB28,MATCH(T$19&amp;$C$17,machina[#Headers],)))</f>
        <v xml:space="preserve"> </v>
      </c>
      <c r="U45" s="287" t="str">
        <f>IF(INDEX(machina!$A28:$FB28,MATCH(U$19&amp;$C$17,machina[#Headers],))=""," ",INDEX(machina!$A28:$FB28,MATCH(U$19&amp;$C$17,machina[#Headers],)))</f>
        <v xml:space="preserve"> </v>
      </c>
      <c r="V45" s="287" t="str">
        <f>IF(INDEX(machina!$A28:$FB28,MATCH(V$19&amp;$C$17,machina[#Headers],))=""," ",INDEX(machina!$A28:$FB28,MATCH(V$19&amp;$C$17,machina[#Headers],)))</f>
        <v xml:space="preserve"> </v>
      </c>
      <c r="W45" s="287" t="str">
        <f>IF(INDEX(machina!$A28:$FB28,MATCH(W$19&amp;$C$17,machina[#Headers],))=""," ",INDEX(machina!$A28:$FB28,MATCH(W$19&amp;$C$17,machina[#Headers],)))</f>
        <v xml:space="preserve"> </v>
      </c>
      <c r="X45" s="287" t="str">
        <f>IF(INDEX(machina!$A28:$FB28,MATCH(X$19&amp;$C$17,machina[#Headers],))=""," ",INDEX(machina!$A28:$FB28,MATCH(X$19&amp;$C$17,machina[#Headers],)))</f>
        <v xml:space="preserve"> </v>
      </c>
      <c r="Y45" s="287" t="str">
        <f>IF(INDEX(machina!$A28:$FB28,MATCH(Y$19&amp;$C$17,machina[#Headers],))=""," ",INDEX(machina!$A28:$FB28,MATCH(Y$19&amp;$C$17,machina[#Headers],)))</f>
        <v xml:space="preserve"> </v>
      </c>
      <c r="Z45" s="287" t="str">
        <f>IF(INDEX(machina!$A28:$FB28,MATCH(Z$19&amp;$C$17,machina[#Headers],))=""," ",INDEX(machina!$A28:$FB28,MATCH(Z$19&amp;$C$17,machina[#Headers],)))</f>
        <v xml:space="preserve"> </v>
      </c>
      <c r="AA45" s="287" t="str">
        <f>IF(INDEX(machina!$A28:$FB28,MATCH(AA$19&amp;$C$17,machina[#Headers],))=""," ",INDEX(machina!$A28:$FB28,MATCH(AA$19&amp;$C$17,machina[#Headers],)))</f>
        <v xml:space="preserve"> </v>
      </c>
      <c r="AB45" s="287" t="str">
        <f>IF(INDEX(machina!$A28:$FB28,MATCH(AB$19&amp;$C$17,machina[#Headers],))=""," ",INDEX(machina!$A28:$FB28,MATCH(AB$19&amp;$C$17,machina[#Headers],)))</f>
        <v xml:space="preserve"> </v>
      </c>
      <c r="AC45" s="287" t="str">
        <f>IF(INDEX(machina!$A28:$FB28,MATCH(AC$19&amp;$C$17,machina[#Headers],))=""," ",INDEX(machina!$A28:$FB28,MATCH(AC$19&amp;$C$17,machina[#Headers],)))</f>
        <v xml:space="preserve"> </v>
      </c>
      <c r="AD45" s="287" t="str">
        <f>IF(INDEX(machina!$A28:$FB28,MATCH(AD$19&amp;$C$17,machina[#Headers],))=""," ",INDEX(machina!$A28:$FB28,MATCH(AD$19&amp;$C$17,machina[#Headers],)))</f>
        <v xml:space="preserve"> </v>
      </c>
      <c r="AE45" s="287" t="str">
        <f>IF(INDEX(machina!$A28:$FB28,MATCH(AE$19&amp;$C$17,machina[#Headers],))=""," ",INDEX(machina!$A28:$FB28,MATCH(AE$19&amp;$C$17,machina[#Headers],)))</f>
        <v xml:space="preserve"> </v>
      </c>
      <c r="AF45" s="287" t="str">
        <f>IF(INDEX(machina!$A28:$FB28,MATCH(AF$19&amp;$C$17,machina[#Headers],))=""," ",INDEX(machina!$A28:$FB28,MATCH(AF$19&amp;$C$17,machina[#Headers],)))</f>
        <v xml:space="preserve"> </v>
      </c>
      <c r="AG45" s="287" t="str">
        <f>IF(INDEX(machina!$A28:$FB28,MATCH(AG$19&amp;$C$17,machina[#Headers],))=""," ",INDEX(machina!$A28:$FB28,MATCH(AG$19&amp;$C$17,machina[#Headers],)))</f>
        <v xml:space="preserve"> </v>
      </c>
      <c r="AH45" s="287" t="str">
        <f>IF(INDEX(machina!$A28:$FB28,MATCH(AH$19&amp;$C$17,machina[#Headers],))=""," ",INDEX(machina!$A28:$FB28,MATCH(AH$19&amp;$C$17,machina[#Headers],)))</f>
        <v xml:space="preserve"> </v>
      </c>
      <c r="AI45" s="287" t="str">
        <f>IF(INDEX(machina!$A28:$FB28,MATCH(AI$19&amp;$C$17,machina[#Headers],))=""," ",INDEX(machina!$A28:$FB28,MATCH(AI$19&amp;$C$17,machina[#Headers],)))</f>
        <v xml:space="preserve"> </v>
      </c>
      <c r="AJ45" s="287" t="str">
        <f>IF(INDEX(machina!$A28:$FB28,MATCH(AJ$19&amp;$C$17,machina[#Headers],))=""," ",INDEX(machina!$A28:$FB28,MATCH(AJ$19&amp;$C$17,machina[#Headers],)))</f>
        <v xml:space="preserve"> </v>
      </c>
      <c r="AK45" s="287" t="str">
        <f>IF(INDEX(machina!$A28:$FB28,MATCH(AK$19&amp;$C$17,machina[#Headers],))=""," ",INDEX(machina!$A28:$FB28,MATCH(AK$19&amp;$C$17,machina[#Headers],)))</f>
        <v xml:space="preserve"> </v>
      </c>
      <c r="AL45" s="287" t="str">
        <f>IF(INDEX(machina!$A28:$FB28,MATCH(AL$19&amp;$C$17,machina[#Headers],))=""," ",INDEX(machina!$A28:$FB28,MATCH(AL$19&amp;$C$17,machina[#Headers],)))</f>
        <v xml:space="preserve"> </v>
      </c>
      <c r="AM45" s="287" t="str">
        <f>IF(INDEX(machina!$A28:$FB28,MATCH(AM$19&amp;$C$17,machina[#Headers],))=""," ",INDEX(machina!$A28:$FB28,MATCH(AM$19&amp;$C$17,machina[#Headers],)))</f>
        <v xml:space="preserve"> </v>
      </c>
      <c r="AN45" s="287" t="str">
        <f>IF(INDEX(machina!$A28:$FB28,MATCH(AN$19&amp;$C$17,machina[#Headers],))=""," ",INDEX(machina!$A28:$FB28,MATCH(AN$19&amp;$C$17,machina[#Headers],)))</f>
        <v xml:space="preserve"> </v>
      </c>
      <c r="AO45" s="287" t="str">
        <f>IF(INDEX(machina!$A28:$FB28,MATCH(AO$19&amp;$C$17,machina[#Headers],))=""," ",INDEX(machina!$A28:$FB28,MATCH(AO$19&amp;$C$17,machina[#Headers],)))</f>
        <v xml:space="preserve"> </v>
      </c>
      <c r="AP45" s="287" t="str">
        <f>IF(INDEX(machina!$A28:$FB28,MATCH(AP$19&amp;$C$17,machina[#Headers],))=""," ",INDEX(machina!$A28:$FB28,MATCH(AP$19&amp;$C$17,machina[#Headers],)))</f>
        <v xml:space="preserve"> </v>
      </c>
      <c r="AQ45" s="287" t="str">
        <f>IF(INDEX(machina!$A28:$FB28,MATCH(AQ$19&amp;$C$17,machina[#Headers],))=""," ",INDEX(machina!$A28:$FB28,MATCH(AQ$19&amp;$C$17,machina[#Headers],)))</f>
        <v xml:space="preserve"> </v>
      </c>
      <c r="AR45" s="287" t="str">
        <f>IF(INDEX(machina!$A28:$FB28,MATCH(AR$19&amp;$C$17,machina[#Headers],))=""," ",INDEX(machina!$A28:$FB28,MATCH(AR$19&amp;$C$17,machina[#Headers],)))</f>
        <v xml:space="preserve"> </v>
      </c>
      <c r="AS45" s="287" t="str">
        <f>IF(INDEX(machina!$A28:$FB28,MATCH(AS$19&amp;$C$17,machina[#Headers],))=""," ",INDEX(machina!$A28:$FB28,MATCH(AS$19&amp;$C$17,machina[#Headers],)))</f>
        <v xml:space="preserve"> </v>
      </c>
      <c r="AT45" s="287" t="str">
        <f>IF(INDEX(machina!$A28:$FB28,MATCH(AT$19&amp;$C$17,machina[#Headers],))=""," ",INDEX(machina!$A28:$FB28,MATCH(AT$19&amp;$C$17,machina[#Headers],)))</f>
        <v xml:space="preserve"> </v>
      </c>
      <c r="AU45" s="287" t="str">
        <f>IF(INDEX(machina!$A28:$FB28,MATCH(AU$19&amp;$C$17,machina[#Headers],))=""," ",INDEX(machina!$A28:$FB28,MATCH(AU$19&amp;$C$17,machina[#Headers],)))</f>
        <v xml:space="preserve"> </v>
      </c>
      <c r="AV45" s="287" t="str">
        <f>IF(INDEX(machina!$A28:$FB28,MATCH(AV$19&amp;$C$17,machina[#Headers],))=""," ",INDEX(machina!$A28:$FB28,MATCH(AV$19&amp;$C$17,machina[#Headers],)))</f>
        <v xml:space="preserve"> </v>
      </c>
      <c r="AW45" s="287" t="str">
        <f>IF(INDEX(machina!$A28:$FB28,MATCH(AW$19&amp;$C$17,machina[#Headers],))=""," ",INDEX(machina!$A28:$FB28,MATCH(AW$19&amp;$C$17,machina[#Headers],)))</f>
        <v xml:space="preserve"> </v>
      </c>
      <c r="AX45" s="287" t="str">
        <f>IF(INDEX(machina!$A28:$FB28,MATCH(AX$19&amp;$C$17,machina[#Headers],))=""," ",INDEX(machina!$A28:$FB28,MATCH(AX$19&amp;$C$17,machina[#Headers],)))</f>
        <v xml:space="preserve"> </v>
      </c>
      <c r="AY45" s="287" t="str">
        <f>IF(INDEX(machina!$A28:$FB28,MATCH(AY$19&amp;$C$17,machina[#Headers],))=""," ",INDEX(machina!$A28:$FB28,MATCH(AY$19&amp;$C$17,machina[#Headers],)))</f>
        <v xml:space="preserve"> </v>
      </c>
      <c r="AZ45" s="287" t="str">
        <f>IF(INDEX(machina!$A28:$FB28,MATCH(AZ$19&amp;$C$17,machina[#Headers],))=""," ",INDEX(machina!$A28:$FB28,MATCH(AZ$19&amp;$C$17,machina[#Headers],)))</f>
        <v xml:space="preserve"> </v>
      </c>
      <c r="BA45" s="287" t="str">
        <f>IF(INDEX(machina!$A28:$FB28,MATCH(BA$19&amp;$C$17,machina[#Headers],))=""," ",INDEX(machina!$A28:$FB28,MATCH(BA$19&amp;$C$17,machina[#Headers],)))</f>
        <v xml:space="preserve"> </v>
      </c>
      <c r="BB45" s="287" t="str">
        <f>IF(INDEX(machina!$A28:$FB28,MATCH(BB$19&amp;$C$17,machina[#Headers],))=""," ",INDEX(machina!$A28:$FB28,MATCH(BB$19&amp;$C$17,machina[#Headers],)))</f>
        <v xml:space="preserve"> </v>
      </c>
      <c r="BC45" s="287" t="str">
        <f>IF(INDEX(machina!$A28:$FB28,MATCH(BC$19&amp;$C$17,machina[#Headers],))=""," ",INDEX(machina!$A28:$FB28,MATCH(BC$19&amp;$C$17,machina[#Headers],)))</f>
        <v xml:space="preserve"> </v>
      </c>
      <c r="BD45" s="287" t="str">
        <f>IF(INDEX(machina!$A28:$FB28,MATCH(BD$19&amp;$C$17,machina[#Headers],))=""," ",INDEX(machina!$A28:$FB28,MATCH(BD$19&amp;$C$17,machina[#Headers],)))</f>
        <v xml:space="preserve"> </v>
      </c>
      <c r="BE45" s="287" t="str">
        <f>IF(INDEX(machina!$A28:$FB28,MATCH(BE$19&amp;$C$17,machina[#Headers],))=""," ",INDEX(machina!$A28:$FB28,MATCH(BE$19&amp;$C$17,machina[#Headers],)))</f>
        <v xml:space="preserve"> </v>
      </c>
      <c r="BF45" s="287" t="str">
        <f>IF(INDEX(machina!$A28:$FB28,MATCH(BF$19&amp;$C$17,machina[#Headers],))=""," ",INDEX(machina!$A28:$FB28,MATCH(BF$19&amp;$C$17,machina[#Headers],)))</f>
        <v xml:space="preserve"> </v>
      </c>
      <c r="BG45" s="287" t="str">
        <f>IF(INDEX(machina!$A28:$FB28,MATCH(BG$19&amp;$C$17,machina[#Headers],))=""," ",INDEX(machina!$A28:$FB28,MATCH(BG$19&amp;$C$17,machina[#Headers],)))</f>
        <v xml:space="preserve"> </v>
      </c>
      <c r="BH45" s="287" t="str">
        <f>IF(INDEX(machina!$A28:$FB28,MATCH(BH$19&amp;$C$17,machina[#Headers],))=""," ",INDEX(machina!$A28:$FB28,MATCH(BH$19&amp;$C$17,machina[#Headers],)))</f>
        <v xml:space="preserve"> </v>
      </c>
      <c r="BI45" s="287" t="str">
        <f>IF(INDEX(machina!$A28:$FB28,MATCH(BI$19&amp;$C$17,machina[#Headers],))=""," ",INDEX(machina!$A28:$FB28,MATCH(BI$19&amp;$C$17,machina[#Headers],)))</f>
        <v xml:space="preserve"> </v>
      </c>
      <c r="BJ45" s="287" t="str">
        <f>IF(INDEX(machina!$A28:$FB28,MATCH(BJ$19&amp;$C$17,machina[#Headers],))=""," ",INDEX(machina!$A28:$FB28,MATCH(BJ$19&amp;$C$17,machina[#Headers],)))</f>
        <v xml:space="preserve"> </v>
      </c>
      <c r="BK45" s="287" t="str">
        <f>IF(INDEX(machina!$A28:$FB28,MATCH(BK$19&amp;$C$17,machina[#Headers],))=""," ",INDEX(machina!$A28:$FB28,MATCH(BK$19&amp;$C$17,machina[#Headers],)))</f>
        <v xml:space="preserve"> </v>
      </c>
      <c r="BL45" s="287" t="str">
        <f>IF(INDEX(machina!$A28:$FB28,MATCH(BL$19&amp;$C$17,machina[#Headers],))=""," ",INDEX(machina!$A28:$FB28,MATCH(BL$19&amp;$C$17,machina[#Headers],)))</f>
        <v xml:space="preserve"> </v>
      </c>
      <c r="BM45" s="287" t="str">
        <f>IF(INDEX(machina!$A28:$FB28,MATCH(BM$19&amp;$C$17,machina[#Headers],))=""," ",INDEX(machina!$A28:$FB28,MATCH(BM$19&amp;$C$17,machina[#Headers],)))</f>
        <v xml:space="preserve"> </v>
      </c>
      <c r="BN45" s="287" t="str">
        <f>IF(INDEX(machina!$A28:$FB28,MATCH(BN$19&amp;$C$17,machina[#Headers],))=""," ",INDEX(machina!$A28:$FB28,MATCH(BN$19&amp;$C$17,machina[#Headers],)))</f>
        <v xml:space="preserve"> </v>
      </c>
      <c r="BO45" s="287" t="str">
        <f>IF(INDEX(machina!$A28:$FB28,MATCH(BO$19&amp;$C$17,machina[#Headers],))=""," ",INDEX(machina!$A28:$FB28,MATCH(BO$19&amp;$C$17,machina[#Headers],)))</f>
        <v xml:space="preserve"> </v>
      </c>
      <c r="BP45" s="287" t="str">
        <f>IF(INDEX(machina!$A28:$FB28,MATCH(BP$19&amp;$C$17,machina[#Headers],))=""," ",INDEX(machina!$A28:$FB28,MATCH(BP$19&amp;$C$17,machina[#Headers],)))</f>
        <v xml:space="preserve"> </v>
      </c>
      <c r="BQ45" s="287" t="str">
        <f>IF(INDEX(machina!$A28:$FB28,MATCH(BQ$19&amp;$C$17,machina[#Headers],))=""," ",INDEX(machina!$A28:$FB28,MATCH(BQ$19&amp;$C$17,machina[#Headers],)))</f>
        <v xml:space="preserve"> </v>
      </c>
      <c r="BR45" s="287" t="str">
        <f>IF(INDEX(machina!$A28:$FB28,MATCH(BR$19&amp;$C$17,machina[#Headers],))=""," ",INDEX(machina!$A28:$FB28,MATCH(BR$19&amp;$C$17,machina[#Headers],)))</f>
        <v xml:space="preserve"> </v>
      </c>
      <c r="BS45" s="287" t="str">
        <f>IF(INDEX(machina!$A28:$FB28,MATCH(BS$19&amp;$C$17,machina[#Headers],))=""," ",INDEX(machina!$A28:$FB28,MATCH(BS$19&amp;$C$17,machina[#Headers],)))</f>
        <v xml:space="preserve"> </v>
      </c>
      <c r="BT45" s="287" t="str">
        <f>IF(INDEX(machina!$A28:$FB28,MATCH(BT$19&amp;$C$17,machina[#Headers],))=""," ",INDEX(machina!$A28:$FB28,MATCH(BT$19&amp;$C$17,machina[#Headers],)))</f>
        <v xml:space="preserve"> </v>
      </c>
      <c r="BU45" s="287" t="str">
        <f>IF(INDEX(machina!$A28:$FB28,MATCH(BU$19&amp;$C$17,machina[#Headers],))=""," ",INDEX(machina!$A28:$FB28,MATCH(BU$19&amp;$C$17,machina[#Headers],)))</f>
        <v xml:space="preserve"> </v>
      </c>
      <c r="BV45" s="287" t="str">
        <f>IF(INDEX(machina!$A28:$FB28,MATCH(BV$19&amp;$C$17,machina[#Headers],))=""," ",INDEX(machina!$A28:$FB28,MATCH(BV$19&amp;$C$17,machina[#Headers],)))</f>
        <v xml:space="preserve"> </v>
      </c>
      <c r="BW45" s="287" t="str">
        <f>IF(INDEX(machina!$A28:$FB28,MATCH(BW$19&amp;$C$17,machina[#Headers],))=""," ",INDEX(machina!$A28:$FB28,MATCH(BW$19&amp;$C$17,machina[#Headers],)))</f>
        <v xml:space="preserve"> </v>
      </c>
      <c r="BX45" s="287" t="str">
        <f>IF(INDEX(machina!$A28:$FB28,MATCH(BX$19&amp;$C$17,machina[#Headers],))=""," ",INDEX(machina!$A28:$FB28,MATCH(BX$19&amp;$C$17,machina[#Headers],)))</f>
        <v xml:space="preserve"> </v>
      </c>
      <c r="BY45" s="287" t="str">
        <f>IF(INDEX(machina!$A28:$FB28,MATCH(BY$19&amp;$C$17,machina[#Headers],))=""," ",INDEX(machina!$A28:$FB28,MATCH(BY$19&amp;$C$17,machina[#Headers],)))</f>
        <v xml:space="preserve"> </v>
      </c>
      <c r="BZ45" s="287" t="str">
        <f>IF(INDEX(machina!$A28:$FB28,MATCH(BZ$19&amp;$C$17,machina[#Headers],))=""," ",INDEX(machina!$A28:$FB28,MATCH(BZ$19&amp;$C$17,machina[#Headers],)))</f>
        <v xml:space="preserve"> </v>
      </c>
      <c r="CA45" s="287" t="str">
        <f>IF(INDEX(machina!$A28:$FB28,MATCH(CA$19&amp;$C$17,machina[#Headers],))=""," ",INDEX(machina!$A28:$FB28,MATCH(CA$19&amp;$C$17,machina[#Headers],)))</f>
        <v xml:space="preserve"> </v>
      </c>
      <c r="CB45" s="288" t="str">
        <f>IF(INDEX('Raw Data'!$A28:$EA28,MATCH(CB$19,RawData[#Headers],))=""," ",INDEX('Raw Data'!$A28:$EA28,MATCH(CB$19,RawData[#Headers],)))</f>
        <v xml:space="preserve"> </v>
      </c>
      <c r="CD45" s="300" t="str">
        <f t="shared" si="61"/>
        <v xml:space="preserve"> </v>
      </c>
      <c r="CE45" s="300" t="str">
        <f t="shared" si="42"/>
        <v/>
      </c>
      <c r="CF45" s="300" t="str">
        <f t="shared" si="43"/>
        <v xml:space="preserve"> </v>
      </c>
      <c r="CG45" s="300" t="str">
        <f>IF(CE45=""," ",INDEX($CU$9:$CU$12,MATCH(CF45,analysis[CLUSTER],0)))</f>
        <v xml:space="preserve"> </v>
      </c>
      <c r="CH45" s="300" t="str">
        <f t="shared" si="44"/>
        <v xml:space="preserve"> </v>
      </c>
      <c r="CI45" s="298">
        <f t="shared" si="45"/>
        <v>0</v>
      </c>
      <c r="CJ45" s="274"/>
      <c r="CK45" s="300"/>
      <c r="CL45" s="300"/>
      <c r="CM45" s="326"/>
      <c r="CN45" s="326"/>
      <c r="CO45" s="326"/>
      <c r="CP45" s="326"/>
      <c r="CQ45" s="315" t="str">
        <f t="shared" si="38"/>
        <v/>
      </c>
      <c r="CR45" s="333" t="str">
        <f t="shared" si="47"/>
        <v xml:space="preserve"> </v>
      </c>
      <c r="CS45" s="333" t="str">
        <f t="shared" si="48"/>
        <v xml:space="preserve"> </v>
      </c>
      <c r="CT45" s="333" t="str">
        <f t="shared" si="49"/>
        <v xml:space="preserve"> </v>
      </c>
      <c r="CU45" s="333" t="str">
        <f t="shared" si="50"/>
        <v xml:space="preserve"> </v>
      </c>
      <c r="CV45" s="326" t="s">
        <v>23</v>
      </c>
      <c r="CW45" s="315" t="str">
        <f t="shared" si="51"/>
        <v/>
      </c>
      <c r="CX45" s="333" t="str">
        <f t="shared" si="52"/>
        <v xml:space="preserve"> </v>
      </c>
      <c r="CY45" s="333" t="str">
        <f t="shared" si="62"/>
        <v xml:space="preserve"> </v>
      </c>
      <c r="CZ45" s="333" t="str">
        <f t="shared" si="62"/>
        <v xml:space="preserve"> </v>
      </c>
      <c r="DA45" s="333" t="str">
        <f t="shared" si="62"/>
        <v xml:space="preserve"> </v>
      </c>
      <c r="DB45" s="326" t="s">
        <v>23</v>
      </c>
      <c r="DC45" s="337"/>
      <c r="DD45" s="331"/>
      <c r="DE45" s="332"/>
      <c r="DF45" s="332"/>
      <c r="DG45" s="345"/>
      <c r="DH45" s="337"/>
      <c r="DI45" s="331"/>
      <c r="DJ45" s="332"/>
      <c r="DK45" s="332"/>
      <c r="DL45" s="345"/>
      <c r="DN45" s="294"/>
    </row>
    <row r="46" spans="1:118" ht="15" thickBot="1" x14ac:dyDescent="0.35">
      <c r="CJ46" s="326"/>
      <c r="CK46" s="326"/>
      <c r="CL46" s="326"/>
      <c r="CM46" s="326"/>
      <c r="CN46" s="326"/>
      <c r="CO46" s="326"/>
      <c r="CP46" s="326"/>
      <c r="CQ46" s="326"/>
      <c r="CR46" s="314">
        <f>IF(CR17&gt;=$CV$17,AVERAGE(CR20:CR45)," ")</f>
        <v>3</v>
      </c>
      <c r="CS46" s="314" t="str">
        <f>IF(CS17&gt;=$CV$17,AVERAGE(CS20:CS45)," ")</f>
        <v xml:space="preserve"> </v>
      </c>
      <c r="CT46" s="314">
        <f>IF(CT17&gt;=$CV$17,AVERAGE(CT20:CT45)," ")</f>
        <v>4.666666666666667</v>
      </c>
      <c r="CU46" s="314" t="str">
        <f t="shared" ref="CU46" si="63">IF(CU17&gt;=$CV$17,AVERAGE(CU20:CU45)," ")</f>
        <v xml:space="preserve"> </v>
      </c>
      <c r="CV46" s="314">
        <f>AVERAGE(CR46:CU46)</f>
        <v>3.8333333333333335</v>
      </c>
      <c r="CW46" s="326"/>
      <c r="CX46" s="314">
        <f>IF(CX17&gt;=$DB$17,AVERAGE(CX20:CX45)," ")</f>
        <v>1.5</v>
      </c>
      <c r="CY46" s="314">
        <f t="shared" ref="CY46:DA46" si="64">IF(CY17&gt;=$DB$17,AVERAGE(CY20:CY45)," ")</f>
        <v>3.5</v>
      </c>
      <c r="CZ46" s="314">
        <f>IF(CZ17&gt;=$DB$17,AVERAGE(CZ20:CZ45)," ")</f>
        <v>5.666666666666667</v>
      </c>
      <c r="DA46" s="314" t="str">
        <f t="shared" si="64"/>
        <v xml:space="preserve"> </v>
      </c>
      <c r="DB46" s="314">
        <f>AVERAGE(CX46:DA46)</f>
        <v>3.5555555555555558</v>
      </c>
      <c r="DC46" s="326">
        <f>COUNTIF(DC$20:DC$45,"&gt;1")</f>
        <v>1</v>
      </c>
      <c r="DD46" s="326">
        <f t="shared" ref="DD46:DF46" si="65">COUNTIF(DD$20:DD$45,"&gt;1")</f>
        <v>2</v>
      </c>
      <c r="DE46" s="326">
        <f t="shared" si="65"/>
        <v>0</v>
      </c>
      <c r="DF46" s="326">
        <f t="shared" si="65"/>
        <v>0</v>
      </c>
      <c r="DG46" s="334">
        <f>SUM(DC46:DF46)</f>
        <v>3</v>
      </c>
      <c r="DH46" s="326">
        <f>COUNTIF(DH$20:DH$45,"&gt;1")</f>
        <v>1</v>
      </c>
      <c r="DI46" s="326">
        <f t="shared" ref="DI46:DK46" si="66">COUNTIF(DI$20:DI$45,"&gt;1")</f>
        <v>0</v>
      </c>
      <c r="DJ46" s="326">
        <f t="shared" si="66"/>
        <v>3</v>
      </c>
      <c r="DK46" s="326">
        <f t="shared" si="66"/>
        <v>1</v>
      </c>
      <c r="DL46" s="334">
        <f>SUM(DH46:DK46)</f>
        <v>5</v>
      </c>
    </row>
    <row r="47" spans="1:118" ht="21" x14ac:dyDescent="0.3">
      <c r="A47" s="275" t="s">
        <v>472</v>
      </c>
      <c r="CD47" s="275" t="s">
        <v>474</v>
      </c>
      <c r="CJ47" s="326"/>
      <c r="CK47" s="326"/>
      <c r="CL47" s="326"/>
      <c r="CM47" s="326"/>
      <c r="CN47" s="326"/>
      <c r="CO47" s="326"/>
      <c r="CP47" s="326"/>
      <c r="CQ47" s="326"/>
      <c r="CR47" s="326"/>
      <c r="CS47" s="326"/>
      <c r="CT47" s="326"/>
      <c r="CU47" s="326"/>
      <c r="CV47" s="326"/>
      <c r="CW47" s="326"/>
      <c r="CX47" s="326"/>
      <c r="CY47" s="326"/>
      <c r="CZ47" s="326"/>
      <c r="DA47" s="326"/>
      <c r="DB47" s="326"/>
      <c r="DC47" s="326"/>
      <c r="DD47" s="326"/>
      <c r="DE47" s="326"/>
      <c r="DF47" s="326"/>
      <c r="DG47" s="262">
        <f>COUNTIF(DG20:DG44,"&gt;=1")</f>
        <v>4</v>
      </c>
      <c r="DH47" s="326"/>
      <c r="DI47" s="326"/>
      <c r="DJ47" s="326"/>
      <c r="DK47" s="326"/>
      <c r="DL47" s="262">
        <f>COUNTIF(DL20:DL44,"&gt;=1")</f>
        <v>6</v>
      </c>
    </row>
    <row r="48" spans="1:118" x14ac:dyDescent="0.3">
      <c r="CJ48" s="326"/>
      <c r="CK48" s="326"/>
      <c r="CL48" s="326"/>
      <c r="CM48" s="326"/>
      <c r="CN48" s="326"/>
      <c r="CO48" s="326"/>
      <c r="CP48" s="326"/>
      <c r="CQ48" s="326"/>
      <c r="CR48" s="326"/>
      <c r="CS48" s="326"/>
      <c r="CT48" s="326"/>
      <c r="CU48" s="326"/>
      <c r="CV48" s="326"/>
      <c r="CW48" s="326"/>
      <c r="CX48" s="326"/>
      <c r="CY48" s="326"/>
      <c r="CZ48" s="326"/>
      <c r="DA48" s="326"/>
      <c r="DB48" s="326"/>
      <c r="DC48" s="326"/>
      <c r="DD48" s="326"/>
      <c r="DE48" s="326"/>
      <c r="DF48" s="326"/>
      <c r="DG48" s="335">
        <f>SUM(DG46:DG47)</f>
        <v>7</v>
      </c>
      <c r="DH48" s="326"/>
      <c r="DI48" s="326"/>
      <c r="DJ48" s="326"/>
      <c r="DK48" s="326"/>
      <c r="DL48" s="335">
        <f>SUM(DL46:DL47)</f>
        <v>11</v>
      </c>
    </row>
    <row r="49" spans="1:93" x14ac:dyDescent="0.3">
      <c r="A49" s="271" t="s">
        <v>211</v>
      </c>
      <c r="B49" s="271" t="s">
        <v>37</v>
      </c>
      <c r="C49" s="271" t="s">
        <v>38</v>
      </c>
      <c r="D49" s="271" t="s">
        <v>39</v>
      </c>
      <c r="E49" s="271" t="s">
        <v>40</v>
      </c>
      <c r="F49" s="271" t="s">
        <v>49</v>
      </c>
      <c r="G49" s="271" t="s">
        <v>51</v>
      </c>
      <c r="H49" s="271" t="s">
        <v>300</v>
      </c>
      <c r="I49" s="271" t="s">
        <v>31</v>
      </c>
      <c r="J49" s="271" t="s">
        <v>55</v>
      </c>
      <c r="K49" s="271" t="s">
        <v>56</v>
      </c>
      <c r="L49" s="271" t="s">
        <v>57</v>
      </c>
      <c r="M49" s="271" t="s">
        <v>58</v>
      </c>
      <c r="N49" s="271" t="s">
        <v>59</v>
      </c>
      <c r="O49" s="271" t="s">
        <v>60</v>
      </c>
      <c r="P49" s="271" t="s">
        <v>61</v>
      </c>
      <c r="Q49" s="271" t="s">
        <v>62</v>
      </c>
      <c r="R49" s="271" t="s">
        <v>63</v>
      </c>
      <c r="S49" s="271" t="s">
        <v>64</v>
      </c>
      <c r="T49" s="271" t="s">
        <v>65</v>
      </c>
      <c r="U49" s="271" t="s">
        <v>66</v>
      </c>
      <c r="V49" s="271" t="s">
        <v>200</v>
      </c>
      <c r="W49" s="271" t="s">
        <v>201</v>
      </c>
      <c r="X49" s="271" t="s">
        <v>202</v>
      </c>
      <c r="Y49" s="271" t="s">
        <v>203</v>
      </c>
      <c r="Z49" s="271" t="s">
        <v>204</v>
      </c>
      <c r="AA49" s="271" t="s">
        <v>205</v>
      </c>
      <c r="AB49" s="271" t="s">
        <v>67</v>
      </c>
      <c r="AC49" s="271" t="s">
        <v>68</v>
      </c>
      <c r="AD49" s="271" t="s">
        <v>69</v>
      </c>
      <c r="AE49" s="271" t="s">
        <v>70</v>
      </c>
      <c r="AF49" s="271" t="s">
        <v>71</v>
      </c>
      <c r="AG49" s="271" t="s">
        <v>72</v>
      </c>
      <c r="AH49" s="271" t="s">
        <v>207</v>
      </c>
      <c r="AI49" s="271" t="s">
        <v>78</v>
      </c>
      <c r="AJ49" s="271" t="s">
        <v>79</v>
      </c>
      <c r="AK49" s="271" t="s">
        <v>80</v>
      </c>
      <c r="AL49" s="271" t="s">
        <v>81</v>
      </c>
      <c r="AM49" s="271" t="s">
        <v>82</v>
      </c>
      <c r="AN49" s="271" t="s">
        <v>83</v>
      </c>
      <c r="AO49" s="271" t="s">
        <v>77</v>
      </c>
      <c r="AP49" s="271" t="s">
        <v>84</v>
      </c>
      <c r="AQ49" s="271" t="s">
        <v>85</v>
      </c>
      <c r="AR49" s="271" t="s">
        <v>86</v>
      </c>
      <c r="AS49" s="271" t="s">
        <v>87</v>
      </c>
      <c r="AT49" s="271" t="s">
        <v>88</v>
      </c>
      <c r="AU49" s="271" t="s">
        <v>89</v>
      </c>
      <c r="AV49" s="271" t="s">
        <v>91</v>
      </c>
      <c r="AW49" s="271" t="s">
        <v>92</v>
      </c>
      <c r="AX49" s="271" t="s">
        <v>93</v>
      </c>
      <c r="AY49" s="271" t="s">
        <v>94</v>
      </c>
      <c r="AZ49" s="271" t="s">
        <v>95</v>
      </c>
      <c r="BA49" s="271" t="s">
        <v>96</v>
      </c>
      <c r="BB49" s="271" t="s">
        <v>97</v>
      </c>
      <c r="BC49" s="271" t="s">
        <v>209</v>
      </c>
      <c r="BD49" s="271" t="s">
        <v>110</v>
      </c>
      <c r="BE49" s="271" t="s">
        <v>111</v>
      </c>
      <c r="BF49" s="271" t="s">
        <v>112</v>
      </c>
      <c r="BG49" s="271" t="s">
        <v>113</v>
      </c>
      <c r="BH49" s="271" t="s">
        <v>114</v>
      </c>
      <c r="BI49" s="271" t="s">
        <v>108</v>
      </c>
      <c r="BJ49" s="271" t="s">
        <v>115</v>
      </c>
      <c r="BK49" s="271" t="s">
        <v>116</v>
      </c>
      <c r="BL49" s="271" t="s">
        <v>117</v>
      </c>
      <c r="BM49" s="271" t="s">
        <v>118</v>
      </c>
      <c r="BN49" s="271" t="s">
        <v>119</v>
      </c>
      <c r="BO49" s="271" t="s">
        <v>120</v>
      </c>
      <c r="BP49" s="271" t="s">
        <v>122</v>
      </c>
      <c r="BQ49" s="271" t="s">
        <v>123</v>
      </c>
      <c r="BR49" s="271" t="s">
        <v>124</v>
      </c>
      <c r="BS49" s="271" t="s">
        <v>125</v>
      </c>
      <c r="BT49" s="271" t="s">
        <v>126</v>
      </c>
      <c r="BU49" s="271" t="s">
        <v>127</v>
      </c>
      <c r="BV49" s="271" t="s">
        <v>128</v>
      </c>
      <c r="BW49" s="271" t="s">
        <v>137</v>
      </c>
      <c r="BX49" s="271" t="s">
        <v>138</v>
      </c>
      <c r="BY49" s="271" t="s">
        <v>140</v>
      </c>
      <c r="BZ49" s="271" t="s">
        <v>141</v>
      </c>
      <c r="CA49" s="271" t="s">
        <v>308</v>
      </c>
      <c r="CB49" s="271" t="s">
        <v>386</v>
      </c>
      <c r="CD49" s="255" t="s">
        <v>475</v>
      </c>
      <c r="CE49" s="255" t="s">
        <v>476</v>
      </c>
      <c r="CF49" s="255" t="s">
        <v>477</v>
      </c>
      <c r="CG49" s="255" t="s">
        <v>478</v>
      </c>
      <c r="CH49" s="255" t="s">
        <v>480</v>
      </c>
      <c r="CI49" s="255" t="s">
        <v>484</v>
      </c>
      <c r="CK49" s="268" t="s">
        <v>191</v>
      </c>
      <c r="CM49" s="313" t="s">
        <v>482</v>
      </c>
      <c r="CN49" s="313" t="s">
        <v>583</v>
      </c>
      <c r="CO49" s="313" t="s">
        <v>582</v>
      </c>
    </row>
    <row r="50" spans="1:93" x14ac:dyDescent="0.3">
      <c r="A50" s="255">
        <f>'Raw Data'!A3</f>
        <v>1</v>
      </c>
      <c r="B50" s="276">
        <f>IF(ISERROR(STANDARDIZE(B20,B$3,B$4))," ",STANDARDIZE(B20,B$3,B$4))</f>
        <v>-0.47408658528702247</v>
      </c>
      <c r="C50" s="276">
        <f t="shared" ref="B50:Q75" si="67">IF(ISERROR(STANDARDIZE(C20,C$3,C$4))," ",STANDARDIZE(C20,C$3,C$4))</f>
        <v>1.394358354005103</v>
      </c>
      <c r="D50" s="276">
        <f t="shared" si="67"/>
        <v>-0.33942211665106536</v>
      </c>
      <c r="E50" s="276">
        <f t="shared" si="67"/>
        <v>0.1298508598844646</v>
      </c>
      <c r="F50" s="276">
        <f t="shared" si="67"/>
        <v>0.23420075940190541</v>
      </c>
      <c r="G50" s="276">
        <f t="shared" si="67"/>
        <v>1.0841488851382799</v>
      </c>
      <c r="H50" s="276">
        <f t="shared" si="67"/>
        <v>1.3198590576063756</v>
      </c>
      <c r="I50" s="276">
        <f t="shared" si="67"/>
        <v>1.5008685002397875</v>
      </c>
      <c r="J50" s="276">
        <f t="shared" si="67"/>
        <v>-0.39543657610637295</v>
      </c>
      <c r="K50" s="276">
        <f t="shared" si="67"/>
        <v>-9.1669849702821132E-2</v>
      </c>
      <c r="L50" s="276">
        <f t="shared" si="67"/>
        <v>0.46229650525125848</v>
      </c>
      <c r="M50" s="276">
        <f t="shared" si="67"/>
        <v>0.10506726668492848</v>
      </c>
      <c r="N50" s="276">
        <f t="shared" si="67"/>
        <v>0</v>
      </c>
      <c r="O50" s="276">
        <f t="shared" si="67"/>
        <v>1.4858306169198388</v>
      </c>
      <c r="P50" s="276">
        <f t="shared" si="67"/>
        <v>-1.2259965271821029</v>
      </c>
      <c r="Q50" s="276">
        <f t="shared" si="67"/>
        <v>-0.57735026918962584</v>
      </c>
      <c r="R50" s="276">
        <f t="shared" ref="R50:BZ53" si="68">IF(ISERROR(STANDARDIZE(R20,R$3,R$4))," ",STANDARDIZE(R20,R$3,R$4))</f>
        <v>-0.57735026918962584</v>
      </c>
      <c r="S50" s="276">
        <f t="shared" si="68"/>
        <v>1.5337661998433127</v>
      </c>
      <c r="T50" s="276">
        <f t="shared" si="68"/>
        <v>-1.2339053944782488</v>
      </c>
      <c r="U50" s="276">
        <f t="shared" si="68"/>
        <v>-1.4004613016278296</v>
      </c>
      <c r="V50" s="276">
        <f t="shared" si="68"/>
        <v>-1.2909944487358056</v>
      </c>
      <c r="W50" s="276">
        <f t="shared" si="68"/>
        <v>-0.3779644730092272</v>
      </c>
      <c r="X50" s="276">
        <f t="shared" si="68"/>
        <v>-0.3779644730092272</v>
      </c>
      <c r="Y50" s="276">
        <f t="shared" si="68"/>
        <v>0.75270548983788221</v>
      </c>
      <c r="Z50" s="276">
        <f t="shared" si="68"/>
        <v>-1</v>
      </c>
      <c r="AA50" s="276">
        <f t="shared" si="68"/>
        <v>-0.85517516948476924</v>
      </c>
      <c r="AB50" s="276">
        <f t="shared" si="68"/>
        <v>0.15249857033260467</v>
      </c>
      <c r="AC50" s="276">
        <f t="shared" si="68"/>
        <v>1.4411533842457842</v>
      </c>
      <c r="AD50" s="276">
        <f t="shared" si="68"/>
        <v>1.7948151310749774</v>
      </c>
      <c r="AE50" s="276">
        <f t="shared" si="68"/>
        <v>1.503203887421912</v>
      </c>
      <c r="AF50" s="276">
        <f t="shared" si="68"/>
        <v>0.48507125007266594</v>
      </c>
      <c r="AG50" s="276">
        <f t="shared" si="68"/>
        <v>0.91635451345072505</v>
      </c>
      <c r="AH50" s="276">
        <f t="shared" si="68"/>
        <v>0.65143246325183823</v>
      </c>
      <c r="AI50" s="276" t="str">
        <f t="shared" si="68"/>
        <v xml:space="preserve"> </v>
      </c>
      <c r="AJ50" s="276">
        <f t="shared" si="68"/>
        <v>0.457495710997814</v>
      </c>
      <c r="AK50" s="276">
        <f t="shared" si="68"/>
        <v>0.457495710997814</v>
      </c>
      <c r="AL50" s="276">
        <f t="shared" si="68"/>
        <v>1.0272767854485401</v>
      </c>
      <c r="AM50" s="276">
        <f t="shared" si="68"/>
        <v>-0.40158270535445784</v>
      </c>
      <c r="AN50" s="276">
        <f t="shared" si="68"/>
        <v>-0.40158270535445784</v>
      </c>
      <c r="AO50" s="276">
        <f t="shared" si="68"/>
        <v>2.1554865212756331</v>
      </c>
      <c r="AP50" s="276">
        <f t="shared" si="68"/>
        <v>0.17390548244049953</v>
      </c>
      <c r="AQ50" s="276">
        <f t="shared" si="68"/>
        <v>0.16595795239718805</v>
      </c>
      <c r="AR50" s="276">
        <f t="shared" si="68"/>
        <v>-0.17616586148906177</v>
      </c>
      <c r="AS50" s="276">
        <f t="shared" si="68"/>
        <v>0.13416407864998736</v>
      </c>
      <c r="AT50" s="276">
        <f t="shared" si="68"/>
        <v>0.1336140527804674</v>
      </c>
      <c r="AU50" s="276">
        <f t="shared" si="68"/>
        <v>-0.34466339420745284</v>
      </c>
      <c r="AV50" s="276">
        <f t="shared" si="68"/>
        <v>2.0726200933006451</v>
      </c>
      <c r="AW50" s="276">
        <f t="shared" si="68"/>
        <v>0.3812207159367309</v>
      </c>
      <c r="AX50" s="276">
        <f t="shared" si="68"/>
        <v>0.3872943020063549</v>
      </c>
      <c r="AY50" s="276">
        <f t="shared" si="68"/>
        <v>0.10740539066835803</v>
      </c>
      <c r="AZ50" s="276">
        <f t="shared" si="68"/>
        <v>0.31189733806541586</v>
      </c>
      <c r="BA50" s="276">
        <f t="shared" si="68"/>
        <v>0.33937524154860144</v>
      </c>
      <c r="BB50" s="276">
        <f t="shared" si="68"/>
        <v>-0.32185049661796267</v>
      </c>
      <c r="BC50" s="276">
        <f t="shared" si="68"/>
        <v>-0.35334934015809949</v>
      </c>
      <c r="BD50" s="276">
        <f t="shared" si="68"/>
        <v>0.48038446141526142</v>
      </c>
      <c r="BE50" s="276">
        <f t="shared" si="68"/>
        <v>0.44934597931614101</v>
      </c>
      <c r="BF50" s="276">
        <f t="shared" si="68"/>
        <v>0.38880486194974206</v>
      </c>
      <c r="BG50" s="276">
        <f t="shared" si="68"/>
        <v>6.2740640500383499E-2</v>
      </c>
      <c r="BH50" s="276">
        <f t="shared" si="68"/>
        <v>-0.20228635177351101</v>
      </c>
      <c r="BI50" s="276">
        <f t="shared" si="68"/>
        <v>-0.50904859459906582</v>
      </c>
      <c r="BJ50" s="276">
        <f t="shared" si="68"/>
        <v>-7.375301164105863E-2</v>
      </c>
      <c r="BK50" s="276">
        <f t="shared" si="68"/>
        <v>-2.0182467033543781E-2</v>
      </c>
      <c r="BL50" s="276">
        <f t="shared" si="68"/>
        <v>0.60273860506435972</v>
      </c>
      <c r="BM50" s="276">
        <f t="shared" si="68"/>
        <v>-0.21919712607713129</v>
      </c>
      <c r="BN50" s="276">
        <f t="shared" si="68"/>
        <v>-0.18061033151551839</v>
      </c>
      <c r="BO50" s="276">
        <f t="shared" si="68"/>
        <v>-0.1981958593736878</v>
      </c>
      <c r="BP50" s="276">
        <f t="shared" si="68"/>
        <v>-0.48143427828550694</v>
      </c>
      <c r="BQ50" s="276">
        <f t="shared" si="68"/>
        <v>-0.10504933224495336</v>
      </c>
      <c r="BR50" s="276">
        <f t="shared" si="68"/>
        <v>6.8842839082151427E-2</v>
      </c>
      <c r="BS50" s="276">
        <f t="shared" si="68"/>
        <v>0.84815497546026986</v>
      </c>
      <c r="BT50" s="276">
        <f t="shared" si="68"/>
        <v>-0.20475111255893405</v>
      </c>
      <c r="BU50" s="276">
        <f t="shared" si="68"/>
        <v>-0.2158463306716274</v>
      </c>
      <c r="BV50" s="276">
        <f t="shared" si="68"/>
        <v>-0.37821132192690338</v>
      </c>
      <c r="BW50" s="276">
        <f t="shared" si="68"/>
        <v>-1.2809280616135812</v>
      </c>
      <c r="BX50" s="276">
        <f t="shared" si="68"/>
        <v>-1.2913623833209593</v>
      </c>
      <c r="BY50" s="276">
        <f t="shared" si="68"/>
        <v>1.0749379364671585</v>
      </c>
      <c r="BZ50" s="276">
        <f t="shared" si="68"/>
        <v>1.4130061597316785</v>
      </c>
      <c r="CA50" s="276">
        <f>IF(ISERROR(STANDARDIZE(CA20,CA$3,CA$4))," ",STANDARDIZE(CA20,CA$3,CA$4))</f>
        <v>0.88703634951698795</v>
      </c>
      <c r="CB50" s="288">
        <f>IF(INDEX('Raw Data'!$A3:$EA3,MATCH(CB$19,RawData[#Headers],))=""," ",INDEX('Raw Data'!$A3:$EA3,MATCH(CB$19,RawData[#Headers],)))</f>
        <v>4</v>
      </c>
      <c r="CD50" s="276">
        <f>IF(B50=" ",zscores[[#This Row],[Cohesion ROI]],SUMXMY2($B50:$CA50,$B$9:$CA$9))</f>
        <v>109.44476737824955</v>
      </c>
      <c r="CE50" s="276">
        <f>IF(B50=" ",zscores[[#This Row],[Best Fixed Odds]],SUMXMY2($B50:$CA50,$B$10:$CA$10))</f>
        <v>146.94744554770773</v>
      </c>
      <c r="CF50" s="276">
        <f>IF(B50=" ",zscores[[#This Row],[Trainer 12 Months ROI]],SUMXMY2($B50:$CA50,$B$11:$CA$11))</f>
        <v>115.07431471242381</v>
      </c>
      <c r="CG50" s="276">
        <f>IF(B50=" ",zscores[[#This Row],[Jockey This Season ROI]],SUMXMY2($B50:$CA50,$B$12:$CA$12))</f>
        <v>158.74309143408337</v>
      </c>
      <c r="CH50" s="276"/>
      <c r="CI50" s="276"/>
      <c r="CJ50" s="276"/>
      <c r="CK50" s="289">
        <f>IF(ISERROR(MIN(dataDistance[#This Row]))," ",MIN(dataDistance[#This Row]))</f>
        <v>109.44476737824955</v>
      </c>
      <c r="CM50" s="290">
        <f>IFERROR(MATCH(CK50,dataDistance[#This Row],0)," ")</f>
        <v>1</v>
      </c>
      <c r="CN50" s="289">
        <f>IF(CK50=0," ",IF(ISERROR(MIN(dataDistance[#This Row]))," ",MIN(dataDistance[#This Row])))</f>
        <v>109.44476737824955</v>
      </c>
      <c r="CO50" s="289">
        <f>IF(CN50=" "," ",zscores[[#This Row],[Num]])</f>
        <v>1</v>
      </c>
    </row>
    <row r="51" spans="1:93" x14ac:dyDescent="0.3">
      <c r="A51" s="255">
        <f>'Raw Data'!A4</f>
        <v>2</v>
      </c>
      <c r="B51" s="276">
        <f t="shared" si="67"/>
        <v>-0.29874601907031506</v>
      </c>
      <c r="C51" s="276">
        <f t="shared" ref="C51:BN54" si="69">IF(ISERROR(STANDARDIZE(C21,C$3,C$4))," ",STANDARDIZE(C21,C$3,C$4))</f>
        <v>-0.59950673191523751</v>
      </c>
      <c r="D51" s="276">
        <f t="shared" si="69"/>
        <v>0.88249750329276988</v>
      </c>
      <c r="E51" s="276">
        <f t="shared" si="69"/>
        <v>1.2133198181561065</v>
      </c>
      <c r="F51" s="276">
        <f t="shared" si="69"/>
        <v>2.1753032025441574</v>
      </c>
      <c r="G51" s="276">
        <f t="shared" si="69"/>
        <v>-1.1915220932746653</v>
      </c>
      <c r="H51" s="276">
        <f t="shared" si="69"/>
        <v>-1.2076897325973355</v>
      </c>
      <c r="I51" s="276">
        <f t="shared" si="69"/>
        <v>1.0477761228089082</v>
      </c>
      <c r="J51" s="276">
        <f t="shared" si="69"/>
        <v>2.2178834051183527</v>
      </c>
      <c r="K51" s="276">
        <f t="shared" si="69"/>
        <v>2.108406543164886</v>
      </c>
      <c r="L51" s="276">
        <f t="shared" si="69"/>
        <v>0.2570368569196998</v>
      </c>
      <c r="M51" s="276">
        <f t="shared" si="69"/>
        <v>0.22834619292857791</v>
      </c>
      <c r="N51" s="276">
        <f t="shared" si="69"/>
        <v>2.0647416048350555</v>
      </c>
      <c r="O51" s="276">
        <f t="shared" si="69"/>
        <v>0.55305616473757024</v>
      </c>
      <c r="P51" s="276">
        <f t="shared" si="69"/>
        <v>-0.66554097189885586</v>
      </c>
      <c r="Q51" s="276">
        <f t="shared" si="69"/>
        <v>-0.57735026918962584</v>
      </c>
      <c r="R51" s="276">
        <f t="shared" si="69"/>
        <v>-0.57735026918962584</v>
      </c>
      <c r="S51" s="276">
        <f t="shared" si="69"/>
        <v>-0.75117413511879194</v>
      </c>
      <c r="T51" s="276">
        <f t="shared" si="69"/>
        <v>-0.47457899787624952</v>
      </c>
      <c r="U51" s="276">
        <f t="shared" si="69"/>
        <v>0.78204744754866862</v>
      </c>
      <c r="V51" s="276">
        <f t="shared" si="69"/>
        <v>-0.2581988897471611</v>
      </c>
      <c r="W51" s="276">
        <f t="shared" si="69"/>
        <v>-0.3779644730092272</v>
      </c>
      <c r="X51" s="276">
        <f t="shared" si="69"/>
        <v>-0.3779644730092272</v>
      </c>
      <c r="Y51" s="276">
        <f t="shared" si="69"/>
        <v>-0.7159881488701807</v>
      </c>
      <c r="Z51" s="276">
        <f t="shared" si="69"/>
        <v>-1</v>
      </c>
      <c r="AA51" s="276">
        <f t="shared" si="69"/>
        <v>-0.85517516948476924</v>
      </c>
      <c r="AB51" s="276">
        <f t="shared" si="69"/>
        <v>1.0674899923282326</v>
      </c>
      <c r="AC51" s="276">
        <f t="shared" si="69"/>
        <v>0.16012815380508713</v>
      </c>
      <c r="AD51" s="276">
        <f t="shared" si="69"/>
        <v>8.164023137407583E-3</v>
      </c>
      <c r="AE51" s="276">
        <f t="shared" si="69"/>
        <v>-0.15012542066340756</v>
      </c>
      <c r="AF51" s="276">
        <f t="shared" si="69"/>
        <v>1.4552137502179978</v>
      </c>
      <c r="AG51" s="276">
        <f t="shared" si="69"/>
        <v>1.287231241627891</v>
      </c>
      <c r="AH51" s="276">
        <f t="shared" si="69"/>
        <v>-0.4096637140037333</v>
      </c>
      <c r="AI51" s="276" t="str">
        <f t="shared" si="69"/>
        <v xml:space="preserve"> </v>
      </c>
      <c r="AJ51" s="276">
        <f t="shared" si="69"/>
        <v>-1.9824814143238607</v>
      </c>
      <c r="AK51" s="276">
        <f t="shared" si="69"/>
        <v>-1.9824814143238607</v>
      </c>
      <c r="AL51" s="276">
        <f t="shared" si="69"/>
        <v>-0.94509464261265697</v>
      </c>
      <c r="AM51" s="276">
        <f t="shared" si="69"/>
        <v>0.11658852736097164</v>
      </c>
      <c r="AN51" s="276">
        <f t="shared" si="69"/>
        <v>0.11658852736097164</v>
      </c>
      <c r="AO51" s="276">
        <f t="shared" si="69"/>
        <v>-0.80538191288880912</v>
      </c>
      <c r="AP51" s="276">
        <f t="shared" si="69"/>
        <v>-0.1722725671124197</v>
      </c>
      <c r="AQ51" s="276">
        <f t="shared" si="69"/>
        <v>-0.5267361097823795</v>
      </c>
      <c r="AR51" s="276">
        <f t="shared" si="69"/>
        <v>-1.5905622745954928</v>
      </c>
      <c r="AS51" s="276">
        <f t="shared" si="69"/>
        <v>-1.8335757415498275</v>
      </c>
      <c r="AT51" s="276">
        <f t="shared" si="69"/>
        <v>-0.22269008796744563</v>
      </c>
      <c r="AU51" s="276">
        <f t="shared" si="69"/>
        <v>-0.29258561744103823</v>
      </c>
      <c r="AV51" s="276">
        <f t="shared" si="69"/>
        <v>-0.8240747960944893</v>
      </c>
      <c r="AW51" s="276">
        <f t="shared" si="69"/>
        <v>-0.29567850650702543</v>
      </c>
      <c r="AX51" s="276">
        <f t="shared" si="69"/>
        <v>-0.62441326241840889</v>
      </c>
      <c r="AY51" s="276">
        <f t="shared" si="69"/>
        <v>-1.5411424661017894</v>
      </c>
      <c r="AZ51" s="276">
        <f t="shared" si="69"/>
        <v>-1.254842778728301</v>
      </c>
      <c r="BA51" s="276">
        <f t="shared" si="69"/>
        <v>-0.38785741891268738</v>
      </c>
      <c r="BB51" s="276">
        <f t="shared" si="69"/>
        <v>-0.40378870287668889</v>
      </c>
      <c r="BC51" s="276">
        <f t="shared" si="69"/>
        <v>2.106824704229044</v>
      </c>
      <c r="BD51" s="276">
        <f t="shared" si="69"/>
        <v>0.48038446141526142</v>
      </c>
      <c r="BE51" s="276">
        <f t="shared" si="69"/>
        <v>0.44934597931614101</v>
      </c>
      <c r="BF51" s="276">
        <f t="shared" si="69"/>
        <v>-0.61535257678659971</v>
      </c>
      <c r="BG51" s="276">
        <f t="shared" si="69"/>
        <v>1.2673609381077466</v>
      </c>
      <c r="BH51" s="276">
        <f t="shared" si="69"/>
        <v>1.2298294129947083</v>
      </c>
      <c r="BI51" s="276">
        <f t="shared" si="69"/>
        <v>1.5503172703223327</v>
      </c>
      <c r="BJ51" s="276">
        <f t="shared" si="69"/>
        <v>2.5123100348369123</v>
      </c>
      <c r="BK51" s="276">
        <f t="shared" si="69"/>
        <v>2.56317331326006</v>
      </c>
      <c r="BL51" s="276">
        <f t="shared" si="69"/>
        <v>1.3188636803883513</v>
      </c>
      <c r="BM51" s="276">
        <f t="shared" si="69"/>
        <v>-0.22995526723429113</v>
      </c>
      <c r="BN51" s="276">
        <f t="shared" si="69"/>
        <v>2.5861862363817845</v>
      </c>
      <c r="BO51" s="276">
        <f t="shared" si="68"/>
        <v>1.0598838227058576</v>
      </c>
      <c r="BP51" s="276">
        <f t="shared" si="68"/>
        <v>1.0954028549369039</v>
      </c>
      <c r="BQ51" s="276">
        <f t="shared" si="68"/>
        <v>2.4861675297972297</v>
      </c>
      <c r="BR51" s="276">
        <f t="shared" si="68"/>
        <v>2.5471850460396026</v>
      </c>
      <c r="BS51" s="276">
        <f t="shared" si="68"/>
        <v>1.1059667097629211</v>
      </c>
      <c r="BT51" s="276">
        <f t="shared" si="68"/>
        <v>-0.30503737177147316</v>
      </c>
      <c r="BU51" s="276">
        <f t="shared" si="68"/>
        <v>2.5815221148326635</v>
      </c>
      <c r="BV51" s="276">
        <f t="shared" si="68"/>
        <v>1.0252126261516241</v>
      </c>
      <c r="BW51" s="276">
        <f t="shared" si="68"/>
        <v>0.29559878344928797</v>
      </c>
      <c r="BX51" s="276">
        <f t="shared" si="68"/>
        <v>0.5343568482707417</v>
      </c>
      <c r="BY51" s="276">
        <f t="shared" si="68"/>
        <v>1.8862118507819952</v>
      </c>
      <c r="BZ51" s="276" t="str">
        <f t="shared" si="68"/>
        <v xml:space="preserve"> </v>
      </c>
      <c r="CA51" s="276">
        <f t="shared" ref="CA51" si="70">IF(ISERROR(STANDARDIZE(CA21,CA$3,CA$4))," ",STANDARDIZE(CA21,CA$3,CA$4))</f>
        <v>2.2860106856347779</v>
      </c>
      <c r="CB51" s="288">
        <f>IF(INDEX('Raw Data'!$A4:$EA4,MATCH(CB$19,RawData[#Headers],))=""," ",INDEX('Raw Data'!$A4:$EA4,MATCH(CB$19,RawData[#Headers],)))</f>
        <v>6</v>
      </c>
      <c r="CD51" s="276">
        <f>IF(B51=" ",zscores[[#This Row],[Cohesion ROI]],SUMXMY2($B51:$CA51,$B$9:$CA$9))</f>
        <v>132.24054343744254</v>
      </c>
      <c r="CE51" s="276">
        <f>IF(B51=" ",zscores[[#This Row],[Best Fixed Odds]],SUMXMY2($B51:$CA51,$B$10:$CA$10))</f>
        <v>233.82010821926062</v>
      </c>
      <c r="CF51" s="276">
        <f>IF(B51=" ",zscores[[#This Row],[Trainer 12 Months ROI]],SUMXMY2($B51:$CA51,$B$11:$CA$11))</f>
        <v>216.51145283455767</v>
      </c>
      <c r="CG51" s="276">
        <f>IF(B51=" ",zscores[[#This Row],[Jockey This Season ROI]],SUMXMY2($B51:$CA51,$B$12:$CA$12))</f>
        <v>267.13303391113652</v>
      </c>
      <c r="CH51" s="276"/>
      <c r="CI51" s="276"/>
      <c r="CJ51" s="276"/>
      <c r="CK51" s="289">
        <f>IF(ISERROR(MIN(dataDistance[#This Row]))," ",MIN(dataDistance[#This Row]))</f>
        <v>132.24054343744254</v>
      </c>
      <c r="CM51" s="290">
        <f>IFERROR(MATCH(CK51,dataDistance[#This Row],0)," ")</f>
        <v>1</v>
      </c>
      <c r="CN51" s="289">
        <f>IF(CK51=0," ",IF(ISERROR(MIN(dataDistance[#This Row]))," ",MIN(dataDistance[#This Row])))</f>
        <v>132.24054343744254</v>
      </c>
      <c r="CO51" s="289">
        <f>IF(CN51=" "," ",zscores[[#This Row],[Num]])</f>
        <v>2</v>
      </c>
    </row>
    <row r="52" spans="1:93" x14ac:dyDescent="0.3">
      <c r="A52" s="255">
        <f>'Raw Data'!A5</f>
        <v>3</v>
      </c>
      <c r="B52" s="276">
        <f t="shared" si="67"/>
        <v>-1.396530433644485</v>
      </c>
      <c r="C52" s="276">
        <f t="shared" si="69"/>
        <v>4.715221486973778E-2</v>
      </c>
      <c r="D52" s="276">
        <f t="shared" si="69"/>
        <v>0.33942211665106536</v>
      </c>
      <c r="E52" s="276">
        <f t="shared" si="69"/>
        <v>0.43090635668666144</v>
      </c>
      <c r="F52" s="276">
        <f t="shared" si="69"/>
        <v>-0.18939713586414958</v>
      </c>
      <c r="G52" s="276">
        <f t="shared" si="69"/>
        <v>-1.2235737971959744</v>
      </c>
      <c r="H52" s="276">
        <f t="shared" si="69"/>
        <v>-1.2525574626009515</v>
      </c>
      <c r="I52" s="276">
        <f t="shared" si="69"/>
        <v>0.59468374537802893</v>
      </c>
      <c r="J52" s="276">
        <f t="shared" si="69"/>
        <v>0.97999499295927217</v>
      </c>
      <c r="K52" s="276">
        <f t="shared" si="69"/>
        <v>0.64168894791974795</v>
      </c>
      <c r="L52" s="276">
        <f t="shared" si="69"/>
        <v>5.1160813247805942E-2</v>
      </c>
      <c r="M52" s="276">
        <f t="shared" si="69"/>
        <v>0.95681257527741537</v>
      </c>
      <c r="N52" s="276">
        <f t="shared" si="69"/>
        <v>1.1470786693528088</v>
      </c>
      <c r="O52" s="276">
        <f t="shared" si="69"/>
        <v>0.76358946153287122</v>
      </c>
      <c r="P52" s="276">
        <f t="shared" si="69"/>
        <v>-0.38531319425723232</v>
      </c>
      <c r="Q52" s="276">
        <f t="shared" si="69"/>
        <v>-0.57735026918962584</v>
      </c>
      <c r="R52" s="276">
        <f t="shared" si="69"/>
        <v>-0.57735026918962584</v>
      </c>
      <c r="S52" s="276">
        <f t="shared" si="69"/>
        <v>-0.75117413511879194</v>
      </c>
      <c r="T52" s="276">
        <f t="shared" si="69"/>
        <v>0.28474739872574972</v>
      </c>
      <c r="U52" s="276">
        <f t="shared" si="69"/>
        <v>1.5096958645241132</v>
      </c>
      <c r="V52" s="276">
        <f t="shared" si="69"/>
        <v>-0.2581988897471611</v>
      </c>
      <c r="W52" s="276">
        <f t="shared" si="69"/>
        <v>-0.3779644730092272</v>
      </c>
      <c r="X52" s="276">
        <f t="shared" si="69"/>
        <v>-0.3779644730092272</v>
      </c>
      <c r="Y52" s="276">
        <f t="shared" si="69"/>
        <v>-0.7159881488701807</v>
      </c>
      <c r="Z52" s="276">
        <f t="shared" si="69"/>
        <v>1</v>
      </c>
      <c r="AA52" s="276">
        <f t="shared" si="69"/>
        <v>2.0768958697635722</v>
      </c>
      <c r="AB52" s="276">
        <f t="shared" si="69"/>
        <v>1.372487132993442</v>
      </c>
      <c r="AC52" s="276">
        <f t="shared" si="69"/>
        <v>1.4411533842457842</v>
      </c>
      <c r="AD52" s="276">
        <f t="shared" si="69"/>
        <v>0.96607607125990624</v>
      </c>
      <c r="AE52" s="276">
        <f t="shared" si="69"/>
        <v>1.7995553671730542</v>
      </c>
      <c r="AF52" s="276">
        <f t="shared" si="69"/>
        <v>1.4552137502179978</v>
      </c>
      <c r="AG52" s="276">
        <f t="shared" si="69"/>
        <v>0.91635451345072505</v>
      </c>
      <c r="AH52" s="276">
        <f t="shared" si="69"/>
        <v>-0.23773927009396981</v>
      </c>
      <c r="AI52" s="276" t="str">
        <f t="shared" si="69"/>
        <v xml:space="preserve"> </v>
      </c>
      <c r="AJ52" s="276">
        <f t="shared" si="69"/>
        <v>-0.15249857033260467</v>
      </c>
      <c r="AK52" s="276">
        <f t="shared" si="69"/>
        <v>-0.15249857033260467</v>
      </c>
      <c r="AL52" s="276">
        <f t="shared" si="69"/>
        <v>1.6025517852997226</v>
      </c>
      <c r="AM52" s="276">
        <f t="shared" si="69"/>
        <v>-9.0679965725200165E-2</v>
      </c>
      <c r="AN52" s="276">
        <f t="shared" si="69"/>
        <v>-9.0679965725200165E-2</v>
      </c>
      <c r="AO52" s="276">
        <f t="shared" si="69"/>
        <v>-0.48047570529605876</v>
      </c>
      <c r="AP52" s="276">
        <f t="shared" si="69"/>
        <v>-0.69480547209795818</v>
      </c>
      <c r="AQ52" s="276">
        <f t="shared" si="69"/>
        <v>-0.81535863569053268</v>
      </c>
      <c r="AR52" s="276">
        <f t="shared" si="69"/>
        <v>-1.0886796763964368</v>
      </c>
      <c r="AS52" s="276">
        <f t="shared" si="69"/>
        <v>0.93914855054991164</v>
      </c>
      <c r="AT52" s="276">
        <f t="shared" si="69"/>
        <v>-0.73487729029257065</v>
      </c>
      <c r="AU52" s="276">
        <f t="shared" si="69"/>
        <v>-2.6566703688272107E-2</v>
      </c>
      <c r="AV52" s="276">
        <f t="shared" si="69"/>
        <v>-0.43319548571827837</v>
      </c>
      <c r="AW52" s="276">
        <f t="shared" si="69"/>
        <v>-0.60809353225029761</v>
      </c>
      <c r="AX52" s="276">
        <f t="shared" si="69"/>
        <v>-0.68764498519495665</v>
      </c>
      <c r="AY52" s="276">
        <f t="shared" si="69"/>
        <v>-0.7918025312062682</v>
      </c>
      <c r="AZ52" s="276">
        <f t="shared" si="69"/>
        <v>0.83414404366332151</v>
      </c>
      <c r="BA52" s="276">
        <f t="shared" si="69"/>
        <v>-0.60602721705107399</v>
      </c>
      <c r="BB52" s="276">
        <f t="shared" si="69"/>
        <v>-7.9855031523331337E-3</v>
      </c>
      <c r="BC52" s="276">
        <f t="shared" si="69"/>
        <v>0.76476077846424351</v>
      </c>
      <c r="BD52" s="276">
        <f t="shared" si="69"/>
        <v>1.5479054867825091</v>
      </c>
      <c r="BE52" s="276">
        <f t="shared" si="69"/>
        <v>1.6202801273712322</v>
      </c>
      <c r="BF52" s="276">
        <f t="shared" si="69"/>
        <v>-0.12551967984204271</v>
      </c>
      <c r="BG52" s="276">
        <f t="shared" si="69"/>
        <v>1.0665908885065194</v>
      </c>
      <c r="BH52" s="276">
        <f t="shared" si="69"/>
        <v>0.9911434522000051</v>
      </c>
      <c r="BI52" s="276">
        <f t="shared" si="69"/>
        <v>0.83586310246399464</v>
      </c>
      <c r="BJ52" s="276">
        <f t="shared" si="69"/>
        <v>-0.22439746095045499</v>
      </c>
      <c r="BK52" s="276">
        <f t="shared" si="69"/>
        <v>6.0547401100631344E-2</v>
      </c>
      <c r="BL52" s="276">
        <f t="shared" si="69"/>
        <v>1.4477661939466697</v>
      </c>
      <c r="BM52" s="276">
        <f t="shared" si="69"/>
        <v>-0.4020855257488482</v>
      </c>
      <c r="BN52" s="276">
        <f t="shared" si="69"/>
        <v>-5.7641595164527146E-2</v>
      </c>
      <c r="BO52" s="276">
        <f t="shared" si="68"/>
        <v>0.89308910333557023</v>
      </c>
      <c r="BP52" s="276">
        <f t="shared" si="68"/>
        <v>0.48638711711717342</v>
      </c>
      <c r="BQ52" s="276">
        <f t="shared" si="68"/>
        <v>-0.20309537567357649</v>
      </c>
      <c r="BR52" s="276">
        <f t="shared" si="68"/>
        <v>6.8842839082151427E-2</v>
      </c>
      <c r="BS52" s="276">
        <f t="shared" si="68"/>
        <v>1.1858199018035651</v>
      </c>
      <c r="BT52" s="276">
        <f t="shared" si="68"/>
        <v>-0.39195212975567378</v>
      </c>
      <c r="BU52" s="276">
        <f t="shared" si="68"/>
        <v>-8.6338532268650948E-3</v>
      </c>
      <c r="BV52" s="276">
        <f t="shared" si="68"/>
        <v>0.99581584834082526</v>
      </c>
      <c r="BW52" s="276">
        <f t="shared" si="68"/>
        <v>0.68973049471500525</v>
      </c>
      <c r="BX52" s="276">
        <f t="shared" si="68"/>
        <v>-0.48982711091484665</v>
      </c>
      <c r="BY52" s="276">
        <f t="shared" si="68"/>
        <v>-1.6833933722032861</v>
      </c>
      <c r="BZ52" s="276" t="str">
        <f t="shared" si="68"/>
        <v xml:space="preserve"> </v>
      </c>
      <c r="CA52" s="276">
        <f t="shared" ref="CA52" si="71">IF(ISERROR(STANDARDIZE(CA22,CA$3,CA$4))," ",STANDARDIZE(CA22,CA$3,CA$4))</f>
        <v>-0.96681666063669314</v>
      </c>
      <c r="CB52" s="288">
        <f>IF(INDEX('Raw Data'!$A5:$EA5,MATCH(CB$19,RawData[#Headers],))=""," ",INDEX('Raw Data'!$A5:$EA5,MATCH(CB$19,RawData[#Headers],)))</f>
        <v>2</v>
      </c>
      <c r="CD52" s="276">
        <f>IF(B52=" ",zscores[[#This Row],[Cohesion ROI]],SUMXMY2($B52:$CA52,$B$9:$CA$9))</f>
        <v>0</v>
      </c>
      <c r="CE52" s="276">
        <f>IF(B52=" ",zscores[[#This Row],[Best Fixed Odds]],SUMXMY2($B52:$CA52,$B$10:$CA$10))</f>
        <v>146.10633871336285</v>
      </c>
      <c r="CF52" s="276">
        <f>IF(B52=" ",zscores[[#This Row],[Trainer 12 Months ROI]],SUMXMY2($B52:$CA52,$B$11:$CA$11))</f>
        <v>141.01018782241326</v>
      </c>
      <c r="CG52" s="276">
        <f>IF(B52=" ",zscores[[#This Row],[Jockey This Season ROI]],SUMXMY2($B52:$CA52,$B$12:$CA$12))</f>
        <v>183.31523452719935</v>
      </c>
      <c r="CH52" s="276"/>
      <c r="CI52" s="276"/>
      <c r="CJ52" s="276"/>
      <c r="CK52" s="289">
        <f>IF(ISERROR(MIN(dataDistance[#This Row]))," ",MIN(dataDistance[#This Row]))</f>
        <v>0</v>
      </c>
      <c r="CM52" s="290">
        <f>IFERROR(MATCH(CK52,dataDistance[#This Row],0)," ")</f>
        <v>1</v>
      </c>
      <c r="CN52" s="289" t="str">
        <f>IF(CK52=0," ",IF(ISERROR(MIN(dataDistance[#This Row]))," ",MIN(dataDistance[#This Row])))</f>
        <v xml:space="preserve"> </v>
      </c>
      <c r="CO52" s="289" t="str">
        <f>IF(CN52=" "," ",zscores[[#This Row],[Num]])</f>
        <v xml:space="preserve"> </v>
      </c>
    </row>
    <row r="53" spans="1:93" x14ac:dyDescent="0.3">
      <c r="A53" s="255">
        <f>'Raw Data'!A6</f>
        <v>5</v>
      </c>
      <c r="B53" s="276">
        <f t="shared" si="67"/>
        <v>0.69230935519803372</v>
      </c>
      <c r="C53" s="276">
        <f t="shared" si="69"/>
        <v>-0.81505971417689593</v>
      </c>
      <c r="D53" s="276">
        <f t="shared" si="69"/>
        <v>0.47519096331149147</v>
      </c>
      <c r="E53" s="276">
        <f t="shared" si="69"/>
        <v>2.0676888516635569E-2</v>
      </c>
      <c r="F53" s="276">
        <f t="shared" si="69"/>
        <v>0.31100697118091536</v>
      </c>
      <c r="G53" s="276">
        <f t="shared" si="69"/>
        <v>-0.69792585288650533</v>
      </c>
      <c r="H53" s="276">
        <f t="shared" si="69"/>
        <v>-0.69918879255635213</v>
      </c>
      <c r="I53" s="276">
        <f t="shared" si="69"/>
        <v>0.36813755666258935</v>
      </c>
      <c r="J53" s="276">
        <f t="shared" si="69"/>
        <v>-0.25789341919980846</v>
      </c>
      <c r="K53" s="276">
        <f t="shared" si="69"/>
        <v>-0.82502864732539016</v>
      </c>
      <c r="L53" s="276">
        <f t="shared" si="69"/>
        <v>-0.77049417541876408</v>
      </c>
      <c r="M53" s="276">
        <f t="shared" si="69"/>
        <v>-0.83633544281203076</v>
      </c>
      <c r="N53" s="276">
        <f t="shared" si="69"/>
        <v>-0.68824720161168518</v>
      </c>
      <c r="O53" s="276">
        <f t="shared" si="69"/>
        <v>-0.80114600161299376</v>
      </c>
      <c r="P53" s="276">
        <f t="shared" si="69"/>
        <v>2.1367368045173794</v>
      </c>
      <c r="Q53" s="276">
        <f t="shared" si="69"/>
        <v>-0.57735026918962584</v>
      </c>
      <c r="R53" s="276">
        <f t="shared" si="69"/>
        <v>-0.57735026918962584</v>
      </c>
      <c r="S53" s="276">
        <f t="shared" si="69"/>
        <v>-0.75117413511879194</v>
      </c>
      <c r="T53" s="276">
        <f t="shared" si="69"/>
        <v>1.8034001919297482</v>
      </c>
      <c r="U53" s="276">
        <f t="shared" si="69"/>
        <v>5.4399030573224059E-2</v>
      </c>
      <c r="V53" s="276">
        <f t="shared" si="69"/>
        <v>1.8073922282301278</v>
      </c>
      <c r="W53" s="276">
        <f t="shared" si="69"/>
        <v>-0.3779644730092272</v>
      </c>
      <c r="X53" s="276">
        <f t="shared" si="69"/>
        <v>-0.3779644730092272</v>
      </c>
      <c r="Y53" s="276">
        <f t="shared" si="69"/>
        <v>-0.7159881488701807</v>
      </c>
      <c r="Z53" s="276">
        <f t="shared" si="69"/>
        <v>1</v>
      </c>
      <c r="AA53" s="276">
        <f t="shared" si="69"/>
        <v>0.12208410789670282</v>
      </c>
      <c r="AB53" s="276">
        <f t="shared" si="69"/>
        <v>0.457495710997814</v>
      </c>
      <c r="AC53" s="276">
        <f t="shared" si="69"/>
        <v>0.16012815380508713</v>
      </c>
      <c r="AD53" s="276">
        <f t="shared" si="69"/>
        <v>0.21135748789066483</v>
      </c>
      <c r="AE53" s="276">
        <f t="shared" si="69"/>
        <v>-8.7735635452640778E-2</v>
      </c>
      <c r="AF53" s="276">
        <f t="shared" si="69"/>
        <v>0</v>
      </c>
      <c r="AG53" s="276">
        <f t="shared" si="69"/>
        <v>-0.39760875209123414</v>
      </c>
      <c r="AH53" s="276">
        <f t="shared" si="69"/>
        <v>2.3518726662968428</v>
      </c>
      <c r="AI53" s="276" t="str">
        <f t="shared" si="69"/>
        <v xml:space="preserve"> </v>
      </c>
      <c r="AJ53" s="276">
        <f t="shared" si="69"/>
        <v>0.457495710997814</v>
      </c>
      <c r="AK53" s="276">
        <f t="shared" si="69"/>
        <v>0.457495710997814</v>
      </c>
      <c r="AL53" s="276">
        <f t="shared" si="69"/>
        <v>-0.28763749992559123</v>
      </c>
      <c r="AM53" s="276">
        <f t="shared" si="69"/>
        <v>1.3601994858780024</v>
      </c>
      <c r="AN53" s="276">
        <f t="shared" si="69"/>
        <v>1.3601994858780024</v>
      </c>
      <c r="AO53" s="276">
        <f t="shared" si="69"/>
        <v>0.81180661190900472</v>
      </c>
      <c r="AP53" s="276">
        <f t="shared" si="69"/>
        <v>1.9047957302050957</v>
      </c>
      <c r="AQ53" s="276">
        <f t="shared" si="69"/>
        <v>2.0708666233909989</v>
      </c>
      <c r="AR53" s="276">
        <f t="shared" si="69"/>
        <v>0.22432631283139665</v>
      </c>
      <c r="AS53" s="276">
        <f t="shared" si="69"/>
        <v>0.49193495504995371</v>
      </c>
      <c r="AT53" s="276">
        <f t="shared" si="69"/>
        <v>2.0042107917070107</v>
      </c>
      <c r="AU53" s="276">
        <f t="shared" si="69"/>
        <v>-0.35029342412814618</v>
      </c>
      <c r="AV53" s="276">
        <f t="shared" si="69"/>
        <v>0.87380720835217685</v>
      </c>
      <c r="AW53" s="276">
        <f t="shared" si="69"/>
        <v>1.9804881096225289</v>
      </c>
      <c r="AX53" s="276">
        <f t="shared" si="69"/>
        <v>2.0945508169731437</v>
      </c>
      <c r="AY53" s="276">
        <f t="shared" si="69"/>
        <v>0.48707095768208886</v>
      </c>
      <c r="AZ53" s="276">
        <f t="shared" si="69"/>
        <v>0.54400698499781841</v>
      </c>
      <c r="BA53" s="276">
        <f t="shared" si="69"/>
        <v>2.1332158040197804</v>
      </c>
      <c r="BB53" s="276">
        <f t="shared" si="69"/>
        <v>-0.16075165041436529</v>
      </c>
      <c r="BC53" s="276">
        <f t="shared" si="69"/>
        <v>-0.99369133687653333</v>
      </c>
      <c r="BD53" s="276">
        <f t="shared" si="69"/>
        <v>-1.0141449740988853</v>
      </c>
      <c r="BE53" s="276">
        <f t="shared" si="69"/>
        <v>-1.1899618279609865</v>
      </c>
      <c r="BF53" s="276">
        <f t="shared" si="69"/>
        <v>-0.88476067010610604</v>
      </c>
      <c r="BG53" s="276">
        <f t="shared" si="69"/>
        <v>-1.3426497067082068</v>
      </c>
      <c r="BH53" s="276">
        <f t="shared" si="69"/>
        <v>-1.8730880773364336</v>
      </c>
      <c r="BI53" s="276">
        <f t="shared" si="69"/>
        <v>-1.0902667149378757</v>
      </c>
      <c r="BJ53" s="276">
        <f t="shared" si="69"/>
        <v>0.21498218286861773</v>
      </c>
      <c r="BK53" s="276">
        <f t="shared" si="69"/>
        <v>-0.42383180770441942</v>
      </c>
      <c r="BL53" s="276">
        <f t="shared" si="69"/>
        <v>-1.1804128324923797</v>
      </c>
      <c r="BM53" s="276">
        <f t="shared" si="69"/>
        <v>-0.73558790162080256</v>
      </c>
      <c r="BN53" s="276">
        <f t="shared" si="69"/>
        <v>-0.36506343604200525</v>
      </c>
      <c r="BO53" s="276">
        <f t="shared" si="68"/>
        <v>-1.4054234928647302</v>
      </c>
      <c r="BP53" s="276">
        <f t="shared" si="68"/>
        <v>-1.0060683174916605</v>
      </c>
      <c r="BQ53" s="276">
        <f t="shared" si="68"/>
        <v>0.3011414191021996</v>
      </c>
      <c r="BR53" s="276">
        <f t="shared" si="68"/>
        <v>-0.48189987357505998</v>
      </c>
      <c r="BS53" s="276">
        <f t="shared" si="68"/>
        <v>-1.4288017575843821</v>
      </c>
      <c r="BT53" s="276">
        <f t="shared" si="68"/>
        <v>-0.65269640370827553</v>
      </c>
      <c r="BU53" s="276">
        <f t="shared" si="68"/>
        <v>-0.35398798230146888</v>
      </c>
      <c r="BV53" s="276">
        <f t="shared" si="68"/>
        <v>-1.662959389213686</v>
      </c>
      <c r="BW53" s="276">
        <f t="shared" si="68"/>
        <v>-1.2809280616135812</v>
      </c>
      <c r="BX53" s="276">
        <f t="shared" si="68"/>
        <v>0.26717842413537091</v>
      </c>
      <c r="BY53" s="276">
        <f t="shared" si="68"/>
        <v>-0.30422771786806374</v>
      </c>
      <c r="BZ53" s="276">
        <f t="shared" si="68"/>
        <v>-0.6559047160558189</v>
      </c>
      <c r="CA53" s="276">
        <f t="shared" ref="CA53" si="72">IF(ISERROR(STANDARDIZE(CA23,CA$3,CA$4))," ",STANDARDIZE(CA23,CA$3,CA$4))</f>
        <v>-0.50335390964135085</v>
      </c>
      <c r="CB53" s="288">
        <f>IF(INDEX('Raw Data'!$A6:$EA6,MATCH(CB$19,RawData[#Headers],))=""," ",INDEX('Raw Data'!$A6:$EA6,MATCH(CB$19,RawData[#Headers],)))</f>
        <v>5</v>
      </c>
      <c r="CD53" s="276">
        <f>IF(B53=" ",zscores[[#This Row],[Cohesion ROI]],SUMXMY2($B53:$CA53,$B$9:$CA$9))</f>
        <v>187.93754969832958</v>
      </c>
      <c r="CE53" s="276">
        <f>IF(B53=" ",zscores[[#This Row],[Best Fixed Odds]],SUMXMY2($B53:$CA53,$B$10:$CA$10))</f>
        <v>135.15069034537521</v>
      </c>
      <c r="CF53" s="276">
        <f>IF(B53=" ",zscores[[#This Row],[Trainer 12 Months ROI]],SUMXMY2($B53:$CA53,$B$11:$CA$11))</f>
        <v>130.1898273233015</v>
      </c>
      <c r="CG53" s="276">
        <f>IF(B53=" ",zscores[[#This Row],[Jockey This Season ROI]],SUMXMY2($B53:$CA53,$B$12:$CA$12))</f>
        <v>200.44025138506777</v>
      </c>
      <c r="CH53" s="276"/>
      <c r="CI53" s="276"/>
      <c r="CJ53" s="276"/>
      <c r="CK53" s="289">
        <f>IF(ISERROR(MIN(dataDistance[#This Row]))," ",MIN(dataDistance[#This Row]))</f>
        <v>130.1898273233015</v>
      </c>
      <c r="CM53" s="290">
        <f>IFERROR(MATCH(CK53,dataDistance[#This Row],0)," ")</f>
        <v>3</v>
      </c>
      <c r="CN53" s="289">
        <f>IF(CK53=0," ",IF(ISERROR(MIN(dataDistance[#This Row]))," ",MIN(dataDistance[#This Row])))</f>
        <v>130.1898273233015</v>
      </c>
      <c r="CO53" s="289">
        <f>IF(CN53=" "," ",zscores[[#This Row],[Num]])</f>
        <v>5</v>
      </c>
    </row>
    <row r="54" spans="1:93" x14ac:dyDescent="0.3">
      <c r="A54" s="255">
        <f>'Raw Data'!A7</f>
        <v>6</v>
      </c>
      <c r="B54" s="276">
        <f t="shared" si="67"/>
        <v>1.1725900365742326</v>
      </c>
      <c r="C54" s="276">
        <f t="shared" si="69"/>
        <v>1.8793525640938342</v>
      </c>
      <c r="D54" s="276">
        <f t="shared" si="69"/>
        <v>0.88249750329276988</v>
      </c>
      <c r="E54" s="276">
        <f t="shared" si="69"/>
        <v>8.1880478525872963E-2</v>
      </c>
      <c r="F54" s="276">
        <f t="shared" si="69"/>
        <v>0.12713755510389149</v>
      </c>
      <c r="G54" s="276">
        <f t="shared" si="69"/>
        <v>1.0841488851382799</v>
      </c>
      <c r="H54" s="276">
        <f t="shared" si="69"/>
        <v>0.87118175757021388</v>
      </c>
      <c r="I54" s="276">
        <f t="shared" si="69"/>
        <v>-8.4954820768289849E-2</v>
      </c>
      <c r="J54" s="276">
        <f t="shared" si="69"/>
        <v>-0.53297973301293744</v>
      </c>
      <c r="K54" s="276">
        <f t="shared" si="69"/>
        <v>0.64168894791974795</v>
      </c>
      <c r="L54" s="276">
        <f t="shared" si="69"/>
        <v>2.3114825262562921</v>
      </c>
      <c r="M54" s="276">
        <f t="shared" si="69"/>
        <v>2.0551157363572012</v>
      </c>
      <c r="N54" s="276">
        <f t="shared" si="69"/>
        <v>-0.45883146774112349</v>
      </c>
      <c r="O54" s="276">
        <f t="shared" si="69"/>
        <v>0.4024688838393875</v>
      </c>
      <c r="P54" s="276">
        <f t="shared" si="69"/>
        <v>0.4553701386676382</v>
      </c>
      <c r="Q54" s="276">
        <f t="shared" si="69"/>
        <v>1.7320508075688774</v>
      </c>
      <c r="R54" s="276">
        <f t="shared" si="69"/>
        <v>1.7320508075688774</v>
      </c>
      <c r="S54" s="276">
        <f t="shared" si="69"/>
        <v>0.6883382759073341</v>
      </c>
      <c r="T54" s="276">
        <f t="shared" si="69"/>
        <v>1.044073795327749</v>
      </c>
      <c r="U54" s="276">
        <f t="shared" si="69"/>
        <v>0.78204744754866862</v>
      </c>
      <c r="V54" s="276">
        <f t="shared" si="69"/>
        <v>0.7745966692414834</v>
      </c>
      <c r="W54" s="276">
        <f t="shared" si="69"/>
        <v>2.6457513110645903</v>
      </c>
      <c r="X54" s="276">
        <f t="shared" si="69"/>
        <v>2.6457513110645903</v>
      </c>
      <c r="Y54" s="276">
        <f t="shared" si="69"/>
        <v>2.0745297646751388</v>
      </c>
      <c r="Z54" s="276">
        <f t="shared" si="69"/>
        <v>1</v>
      </c>
      <c r="AA54" s="276">
        <f t="shared" si="69"/>
        <v>0.61086035013940132</v>
      </c>
      <c r="AB54" s="276">
        <f t="shared" si="69"/>
        <v>-0.457495710997814</v>
      </c>
      <c r="AC54" s="276">
        <f t="shared" si="69"/>
        <v>-1.1208970766356099</v>
      </c>
      <c r="AD54" s="276">
        <f t="shared" si="69"/>
        <v>-1.1079486511144132</v>
      </c>
      <c r="AE54" s="276">
        <f t="shared" si="69"/>
        <v>-0.86760795058722551</v>
      </c>
      <c r="AF54" s="276">
        <f t="shared" si="69"/>
        <v>-0.48507125007266594</v>
      </c>
      <c r="AG54" s="276">
        <f t="shared" si="69"/>
        <v>-0.28779070790370964</v>
      </c>
      <c r="AH54" s="276">
        <f t="shared" si="69"/>
        <v>-0.85156326124054726</v>
      </c>
      <c r="AI54" s="276" t="str">
        <f t="shared" si="69"/>
        <v xml:space="preserve"> </v>
      </c>
      <c r="AJ54" s="276">
        <f t="shared" si="69"/>
        <v>-0.15249857033260467</v>
      </c>
      <c r="AK54" s="276">
        <f t="shared" si="69"/>
        <v>-0.15249857033260467</v>
      </c>
      <c r="AL54" s="276">
        <f t="shared" si="69"/>
        <v>-0.98618571403059851</v>
      </c>
      <c r="AM54" s="276">
        <f t="shared" si="69"/>
        <v>-0.50521695189754379</v>
      </c>
      <c r="AN54" s="276">
        <f t="shared" si="69"/>
        <v>-0.50521695189754379</v>
      </c>
      <c r="AO54" s="276">
        <f t="shared" si="69"/>
        <v>-0.17576140890963754</v>
      </c>
      <c r="AP54" s="276">
        <f t="shared" si="69"/>
        <v>-1.3610349259545198</v>
      </c>
      <c r="AQ54" s="276">
        <f t="shared" si="69"/>
        <v>-1.2194301719619471</v>
      </c>
      <c r="AR54" s="276">
        <f t="shared" si="69"/>
        <v>1.5778884716106689</v>
      </c>
      <c r="AS54" s="276">
        <f t="shared" si="69"/>
        <v>0.84970583144992007</v>
      </c>
      <c r="AT54" s="276">
        <f t="shared" si="69"/>
        <v>-1.5588306157721195</v>
      </c>
      <c r="AU54" s="276">
        <f t="shared" si="69"/>
        <v>-0.79506578786292958</v>
      </c>
      <c r="AV54" s="276">
        <f t="shared" si="69"/>
        <v>-0.14352599677876496</v>
      </c>
      <c r="AW54" s="276">
        <f t="shared" si="69"/>
        <v>-1.3668157376268155</v>
      </c>
      <c r="AX54" s="276">
        <f t="shared" si="69"/>
        <v>-1.1302670446307908</v>
      </c>
      <c r="AY54" s="276">
        <f t="shared" si="69"/>
        <v>1.8358828404940273</v>
      </c>
      <c r="AZ54" s="276">
        <f t="shared" si="69"/>
        <v>0.77611663193022085</v>
      </c>
      <c r="BA54" s="276">
        <f t="shared" si="69"/>
        <v>-1.5029474982866635</v>
      </c>
      <c r="BB54" s="276">
        <f t="shared" si="69"/>
        <v>-0.76626110683478277</v>
      </c>
      <c r="BC54" s="276">
        <f t="shared" si="69"/>
        <v>-0.6030163621946909</v>
      </c>
      <c r="BD54" s="276">
        <f t="shared" si="69"/>
        <v>-1.4411533842457842</v>
      </c>
      <c r="BE54" s="276">
        <f t="shared" si="69"/>
        <v>-1.0377403887138246</v>
      </c>
      <c r="BF54" s="276">
        <f t="shared" si="69"/>
        <v>-0.22348625923095411</v>
      </c>
      <c r="BG54" s="276">
        <f t="shared" si="69"/>
        <v>-1.4430347315088206</v>
      </c>
      <c r="BH54" s="276">
        <f t="shared" si="69"/>
        <v>0.222574658441061</v>
      </c>
      <c r="BI54" s="276">
        <f t="shared" si="69"/>
        <v>-0.79579574034761491</v>
      </c>
      <c r="BJ54" s="276">
        <f t="shared" si="69"/>
        <v>-0.61356228833306226</v>
      </c>
      <c r="BK54" s="276">
        <f t="shared" si="69"/>
        <v>-0.66602141210694477</v>
      </c>
      <c r="BL54" s="276">
        <f t="shared" si="69"/>
        <v>-1.4525403611154966</v>
      </c>
      <c r="BM54" s="276">
        <f t="shared" si="69"/>
        <v>-0.55269950194908568</v>
      </c>
      <c r="BN54" s="276">
        <f t="shared" ref="BN54:BZ57" si="73">IF(ISERROR(STANDARDIZE(BN24,BN$3,BN$4))," ",STANDARDIZE(BN24,BN$3,BN$4))</f>
        <v>-0.51877435648074433</v>
      </c>
      <c r="BO54" s="276">
        <f t="shared" si="73"/>
        <v>-7.6150942761282189E-2</v>
      </c>
      <c r="BP54" s="276">
        <f t="shared" si="73"/>
        <v>-0.77566959258154544</v>
      </c>
      <c r="BQ54" s="276">
        <f t="shared" si="73"/>
        <v>-0.5812729717554086</v>
      </c>
      <c r="BR54" s="276">
        <f t="shared" si="73"/>
        <v>-0.6654807777941304</v>
      </c>
      <c r="BS54" s="276">
        <f t="shared" si="73"/>
        <v>-1.474432153036179</v>
      </c>
      <c r="BT54" s="276">
        <f t="shared" si="73"/>
        <v>-0.47218113712570509</v>
      </c>
      <c r="BU54" s="276">
        <f t="shared" si="73"/>
        <v>-0.5266650468387708</v>
      </c>
      <c r="BV54" s="276">
        <f t="shared" si="73"/>
        <v>-0.41958456477173184</v>
      </c>
      <c r="BW54" s="276">
        <f t="shared" si="73"/>
        <v>-0.88679635034786386</v>
      </c>
      <c r="BX54" s="276">
        <f t="shared" si="73"/>
        <v>-0.46756224223689896</v>
      </c>
      <c r="BY54" s="276">
        <f t="shared" si="73"/>
        <v>-0.54760989216251477</v>
      </c>
      <c r="BZ54" s="276">
        <f t="shared" si="73"/>
        <v>-0.75710144367585952</v>
      </c>
      <c r="CA54" s="276">
        <f t="shared" ref="CA54" si="74">IF(ISERROR(STANDARDIZE(CA24,CA$3,CA$4))," ",STANDARDIZE(CA24,CA$3,CA$4))</f>
        <v>-0.65828102615549211</v>
      </c>
      <c r="CB54" s="288">
        <f>IF(INDEX('Raw Data'!$A7:$EA7,MATCH(CB$19,RawData[#Headers],))=""," ",INDEX('Raw Data'!$A7:$EA7,MATCH(CB$19,RawData[#Headers],)))</f>
        <v>1</v>
      </c>
      <c r="CD54" s="276">
        <f>IF(B54=" ",zscores[[#This Row],[Cohesion ROI]],SUMXMY2($B54:$CA54,$B$9:$CA$9))</f>
        <v>181.3205003437152</v>
      </c>
      <c r="CE54" s="276">
        <f>IF(B54=" ",zscores[[#This Row],[Best Fixed Odds]],SUMXMY2($B54:$CA54,$B$10:$CA$10))</f>
        <v>152.28019120588058</v>
      </c>
      <c r="CF54" s="276">
        <f>IF(B54=" ",zscores[[#This Row],[Trainer 12 Months ROI]],SUMXMY2($B54:$CA54,$B$11:$CA$11))</f>
        <v>141.57802994951038</v>
      </c>
      <c r="CG54" s="276">
        <f>IF(B54=" ",zscores[[#This Row],[Jockey This Season ROI]],SUMXMY2($B54:$CA54,$B$12:$CA$12))</f>
        <v>206.97977856447986</v>
      </c>
      <c r="CH54" s="276"/>
      <c r="CI54" s="276"/>
      <c r="CJ54" s="276"/>
      <c r="CK54" s="289">
        <f>IF(ISERROR(MIN(dataDistance[#This Row]))," ",MIN(dataDistance[#This Row]))</f>
        <v>141.57802994951038</v>
      </c>
      <c r="CM54" s="290">
        <f>IFERROR(MATCH(CK54,dataDistance[#This Row],0)," ")</f>
        <v>3</v>
      </c>
      <c r="CN54" s="289">
        <f>IF(CK54=0," ",IF(ISERROR(MIN(dataDistance[#This Row]))," ",MIN(dataDistance[#This Row])))</f>
        <v>141.57802994951038</v>
      </c>
      <c r="CO54" s="289">
        <f>IF(CN54=" "," ",zscores[[#This Row],[Num]])</f>
        <v>6</v>
      </c>
    </row>
    <row r="55" spans="1:93" x14ac:dyDescent="0.3">
      <c r="A55" s="255">
        <f>'Raw Data'!A8</f>
        <v>7</v>
      </c>
      <c r="B55" s="276">
        <f t="shared" si="67"/>
        <v>-1.3774716764470165</v>
      </c>
      <c r="C55" s="276">
        <f t="shared" ref="C55:BN58" si="75">IF(ISERROR(STANDARDIZE(C25,C$3,C$4))," ",STANDARDIZE(C25,C$3,C$4))</f>
        <v>-0.59950673191523751</v>
      </c>
      <c r="D55" s="276">
        <f t="shared" si="75"/>
        <v>0.47519096331149147</v>
      </c>
      <c r="E55" s="276">
        <f t="shared" si="75"/>
        <v>-1.0479047100230301</v>
      </c>
      <c r="F55" s="276">
        <f t="shared" si="75"/>
        <v>-0.64092456268620823</v>
      </c>
      <c r="G55" s="276">
        <f t="shared" si="75"/>
        <v>1.4046659243513708</v>
      </c>
      <c r="H55" s="276">
        <f t="shared" si="75"/>
        <v>1.3198590576063756</v>
      </c>
      <c r="I55" s="276">
        <f t="shared" si="75"/>
        <v>-0.76459338691460865</v>
      </c>
      <c r="J55" s="276">
        <f t="shared" si="75"/>
        <v>-0.25789341919980846</v>
      </c>
      <c r="K55" s="276">
        <f t="shared" si="75"/>
        <v>-0.82502864732539016</v>
      </c>
      <c r="L55" s="276">
        <f t="shared" si="75"/>
        <v>-0.77049417541876408</v>
      </c>
      <c r="M55" s="276">
        <f t="shared" si="75"/>
        <v>-0.83633544281203076</v>
      </c>
      <c r="N55" s="276">
        <f t="shared" si="75"/>
        <v>-0.22941573387056174</v>
      </c>
      <c r="O55" s="276">
        <f t="shared" si="75"/>
        <v>0.4024688838393875</v>
      </c>
      <c r="P55" s="276">
        <f t="shared" si="75"/>
        <v>0.17514236102601469</v>
      </c>
      <c r="Q55" s="276">
        <f t="shared" si="75"/>
        <v>-0.57735026918962584</v>
      </c>
      <c r="R55" s="276">
        <f t="shared" si="75"/>
        <v>-0.57735026918962584</v>
      </c>
      <c r="S55" s="276">
        <f t="shared" si="75"/>
        <v>-0.75117413511879194</v>
      </c>
      <c r="T55" s="276">
        <f t="shared" si="75"/>
        <v>0.28474739872574972</v>
      </c>
      <c r="U55" s="276">
        <f t="shared" si="75"/>
        <v>0.34554569771336902</v>
      </c>
      <c r="V55" s="276">
        <f t="shared" si="75"/>
        <v>0.7745966692414834</v>
      </c>
      <c r="W55" s="276">
        <f t="shared" si="75"/>
        <v>-0.3779644730092272</v>
      </c>
      <c r="X55" s="276">
        <f t="shared" si="75"/>
        <v>-0.3779644730092272</v>
      </c>
      <c r="Y55" s="276">
        <f t="shared" si="75"/>
        <v>-0.7159881488701807</v>
      </c>
      <c r="Z55" s="276">
        <f t="shared" si="75"/>
        <v>1</v>
      </c>
      <c r="AA55" s="276">
        <f t="shared" si="75"/>
        <v>0.61086035013940132</v>
      </c>
      <c r="AB55" s="276">
        <f t="shared" si="75"/>
        <v>0.15249857033260467</v>
      </c>
      <c r="AC55" s="276">
        <f t="shared" si="75"/>
        <v>0.16012815380508713</v>
      </c>
      <c r="AD55" s="276">
        <f t="shared" si="75"/>
        <v>0.34343323998028213</v>
      </c>
      <c r="AE55" s="276">
        <f t="shared" si="75"/>
        <v>-0.46207434671724146</v>
      </c>
      <c r="AF55" s="276">
        <f t="shared" si="75"/>
        <v>-0.97014250014533188</v>
      </c>
      <c r="AG55" s="276">
        <f t="shared" si="75"/>
        <v>-1.9735940177999183</v>
      </c>
      <c r="AH55" s="276">
        <f t="shared" si="75"/>
        <v>-0.78574843505634095</v>
      </c>
      <c r="AI55" s="276" t="str">
        <f t="shared" si="75"/>
        <v xml:space="preserve"> </v>
      </c>
      <c r="AJ55" s="276">
        <f t="shared" si="75"/>
        <v>0.457495710997814</v>
      </c>
      <c r="AK55" s="276">
        <f t="shared" si="75"/>
        <v>0.457495710997814</v>
      </c>
      <c r="AL55" s="276">
        <f t="shared" si="75"/>
        <v>-1.2327321425382483</v>
      </c>
      <c r="AM55" s="276">
        <f t="shared" si="75"/>
        <v>1.774736472050346</v>
      </c>
      <c r="AN55" s="276">
        <f t="shared" si="75"/>
        <v>1.774736472050346</v>
      </c>
      <c r="AO55" s="276">
        <f t="shared" si="75"/>
        <v>-0.8108887977632625</v>
      </c>
      <c r="AP55" s="276">
        <f t="shared" si="75"/>
        <v>-0.89728697277985436</v>
      </c>
      <c r="AQ55" s="276">
        <f t="shared" si="75"/>
        <v>-0.69990962532727141</v>
      </c>
      <c r="AR55" s="276">
        <f t="shared" si="75"/>
        <v>1.0607973098298236</v>
      </c>
      <c r="AS55" s="276">
        <f t="shared" si="75"/>
        <v>-1.4758048651498612</v>
      </c>
      <c r="AT55" s="276">
        <f t="shared" si="75"/>
        <v>-0.51218720232512494</v>
      </c>
      <c r="AU55" s="276">
        <f t="shared" si="75"/>
        <v>2.5322818952669057</v>
      </c>
      <c r="AV55" s="276">
        <f t="shared" si="75"/>
        <v>-1.0334744266531737</v>
      </c>
      <c r="AW55" s="276">
        <f t="shared" si="75"/>
        <v>-0.9651392759568943</v>
      </c>
      <c r="AX55" s="276">
        <f t="shared" si="75"/>
        <v>-0.94057187630114758</v>
      </c>
      <c r="AY55" s="276">
        <f t="shared" si="75"/>
        <v>-0.61695654639731246</v>
      </c>
      <c r="AZ55" s="276">
        <f t="shared" si="75"/>
        <v>-2.0091991312586091</v>
      </c>
      <c r="BA55" s="276">
        <f t="shared" si="75"/>
        <v>-0.58178612836903099</v>
      </c>
      <c r="BB55" s="276">
        <f t="shared" si="75"/>
        <v>2.4987680951019184</v>
      </c>
      <c r="BC55" s="276">
        <f t="shared" si="75"/>
        <v>-0.87590822349050024</v>
      </c>
      <c r="BD55" s="276">
        <f t="shared" si="75"/>
        <v>-0.80064076902543568</v>
      </c>
      <c r="BE55" s="276">
        <f t="shared" si="75"/>
        <v>-0.95577499834996826</v>
      </c>
      <c r="BF55" s="276">
        <f t="shared" si="75"/>
        <v>-0.56636928709214396</v>
      </c>
      <c r="BG55" s="276">
        <f t="shared" si="75"/>
        <v>-0.74033955790452532</v>
      </c>
      <c r="BH55" s="276">
        <f t="shared" si="75"/>
        <v>-1.1570301949523238</v>
      </c>
      <c r="BI55" s="276">
        <f t="shared" si="75"/>
        <v>-0.90199838692115164</v>
      </c>
      <c r="BJ55" s="276">
        <f t="shared" si="75"/>
        <v>-0.47547154313278228</v>
      </c>
      <c r="BK55" s="276">
        <f t="shared" si="75"/>
        <v>-0.42383180770441942</v>
      </c>
      <c r="BL55" s="276">
        <f t="shared" si="75"/>
        <v>-8.4741467246672447E-2</v>
      </c>
      <c r="BM55" s="276">
        <f t="shared" si="75"/>
        <v>-0.11161571450553312</v>
      </c>
      <c r="BN55" s="276">
        <f t="shared" si="75"/>
        <v>-0.54951654056849208</v>
      </c>
      <c r="BO55" s="276">
        <f t="shared" si="73"/>
        <v>-0.95385730139883074</v>
      </c>
      <c r="BP55" s="276">
        <f t="shared" si="73"/>
        <v>-0.75585823725487955</v>
      </c>
      <c r="BQ55" s="276">
        <f t="shared" si="73"/>
        <v>-0.52524666122476682</v>
      </c>
      <c r="BR55" s="276">
        <f t="shared" si="73"/>
        <v>-0.39010942146552474</v>
      </c>
      <c r="BS55" s="276">
        <f t="shared" si="73"/>
        <v>0.21389247868029673</v>
      </c>
      <c r="BT55" s="276">
        <f t="shared" si="73"/>
        <v>-9.1093352118056373E-2</v>
      </c>
      <c r="BU55" s="276">
        <f t="shared" si="73"/>
        <v>-0.56120045974623123</v>
      </c>
      <c r="BV55" s="276">
        <f t="shared" si="73"/>
        <v>-0.98574473001675467</v>
      </c>
      <c r="BW55" s="276">
        <f t="shared" si="73"/>
        <v>1.0838622059807226</v>
      </c>
      <c r="BX55" s="276">
        <f t="shared" si="73"/>
        <v>-0.51209197959279418</v>
      </c>
      <c r="BY55" s="276">
        <f t="shared" si="73"/>
        <v>-0.14197293500509642</v>
      </c>
      <c r="BZ55" s="276" t="str">
        <f t="shared" si="73"/>
        <v xml:space="preserve"> </v>
      </c>
      <c r="CA55" s="276">
        <f t="shared" ref="CA55" si="76">IF(ISERROR(STANDARDIZE(CA25,CA$3,CA$4))," ",STANDARDIZE(CA25,CA$3,CA$4))</f>
        <v>-0.35851976243655226</v>
      </c>
      <c r="CB55" s="288">
        <f>IF(INDEX('Raw Data'!$A8:$EA8,MATCH(CB$19,RawData[#Headers],))=""," ",INDEX('Raw Data'!$A8:$EA8,MATCH(CB$19,RawData[#Headers],)))</f>
        <v>7</v>
      </c>
      <c r="CD55" s="276">
        <f>IF(B55=" ",zscores[[#This Row],[Cohesion ROI]],SUMXMY2($B55:$CA55,$B$9:$CA$9))</f>
        <v>146.10633871336285</v>
      </c>
      <c r="CE55" s="276">
        <f>IF(B55=" ",zscores[[#This Row],[Best Fixed Odds]],SUMXMY2($B55:$CA55,$B$10:$CA$10))</f>
        <v>0</v>
      </c>
      <c r="CF55" s="276">
        <f>IF(B55=" ",zscores[[#This Row],[Trainer 12 Months ROI]],SUMXMY2($B55:$CA55,$B$11:$CA$11))</f>
        <v>144.61344702706302</v>
      </c>
      <c r="CG55" s="276">
        <f>IF(B55=" ",zscores[[#This Row],[Jockey This Season ROI]],SUMXMY2($B55:$CA55,$B$12:$CA$12))</f>
        <v>173.6571909053404</v>
      </c>
      <c r="CH55" s="276"/>
      <c r="CI55" s="276"/>
      <c r="CJ55" s="276"/>
      <c r="CK55" s="289">
        <f>IF(ISERROR(MIN(dataDistance[#This Row]))," ",MIN(dataDistance[#This Row]))</f>
        <v>0</v>
      </c>
      <c r="CM55" s="290">
        <f>IFERROR(MATCH(CK55,dataDistance[#This Row],0)," ")</f>
        <v>2</v>
      </c>
      <c r="CN55" s="289" t="str">
        <f>IF(CK55=0," ",IF(ISERROR(MIN(dataDistance[#This Row]))," ",MIN(dataDistance[#This Row])))</f>
        <v xml:space="preserve"> </v>
      </c>
      <c r="CO55" s="289" t="str">
        <f>IF(CN55=" "," ",zscores[[#This Row],[Num]])</f>
        <v xml:space="preserve"> </v>
      </c>
    </row>
    <row r="56" spans="1:93" x14ac:dyDescent="0.3">
      <c r="A56" s="255">
        <f>'Raw Data'!A9</f>
        <v>8</v>
      </c>
      <c r="B56" s="276">
        <f t="shared" si="67"/>
        <v>0.30732245980917544</v>
      </c>
      <c r="C56" s="276">
        <f t="shared" si="75"/>
        <v>-0.27617725852274982</v>
      </c>
      <c r="D56" s="276">
        <f t="shared" si="75"/>
        <v>-0.33942211665106536</v>
      </c>
      <c r="E56" s="276">
        <f t="shared" si="75"/>
        <v>1.1471537749028766</v>
      </c>
      <c r="F56" s="276">
        <f t="shared" si="75"/>
        <v>-0.45240022468318369</v>
      </c>
      <c r="G56" s="276">
        <f t="shared" si="75"/>
        <v>5.8494359656389175E-2</v>
      </c>
      <c r="H56" s="276">
        <f t="shared" si="75"/>
        <v>0.12338625750994436</v>
      </c>
      <c r="I56" s="276">
        <f t="shared" si="75"/>
        <v>-1.2176857643454879</v>
      </c>
      <c r="J56" s="276">
        <f t="shared" si="75"/>
        <v>-0.94560920373263102</v>
      </c>
      <c r="K56" s="276">
        <f t="shared" si="75"/>
        <v>-0.82502864732539016</v>
      </c>
      <c r="L56" s="276">
        <f t="shared" si="75"/>
        <v>-0.77049417541876408</v>
      </c>
      <c r="M56" s="276">
        <f t="shared" si="75"/>
        <v>-0.83633544281203076</v>
      </c>
      <c r="N56" s="276">
        <f t="shared" si="75"/>
        <v>-0.91766293548224698</v>
      </c>
      <c r="O56" s="276">
        <f t="shared" si="75"/>
        <v>-1.4031340046280312</v>
      </c>
      <c r="P56" s="276">
        <f t="shared" si="75"/>
        <v>0.4553701386676382</v>
      </c>
      <c r="Q56" s="276">
        <f t="shared" si="75"/>
        <v>1.7320508075688774</v>
      </c>
      <c r="R56" s="276">
        <f t="shared" si="75"/>
        <v>1.7320508075688774</v>
      </c>
      <c r="S56" s="276">
        <f t="shared" si="75"/>
        <v>1.5337661998433127</v>
      </c>
      <c r="T56" s="276">
        <f t="shared" si="75"/>
        <v>-0.47457899787624952</v>
      </c>
      <c r="U56" s="276">
        <f t="shared" si="75"/>
        <v>-0.67281288465238498</v>
      </c>
      <c r="V56" s="276">
        <f t="shared" si="75"/>
        <v>-0.2581988897471611</v>
      </c>
      <c r="W56" s="276">
        <f t="shared" si="75"/>
        <v>-0.3779644730092272</v>
      </c>
      <c r="X56" s="276">
        <f t="shared" si="75"/>
        <v>-0.3779644730092272</v>
      </c>
      <c r="Y56" s="276">
        <f t="shared" si="75"/>
        <v>-0.7159881488701807</v>
      </c>
      <c r="Z56" s="276">
        <f t="shared" si="75"/>
        <v>-1</v>
      </c>
      <c r="AA56" s="276">
        <f t="shared" si="75"/>
        <v>-0.85517516948476924</v>
      </c>
      <c r="AB56" s="276">
        <f t="shared" si="75"/>
        <v>-0.76249285166302339</v>
      </c>
      <c r="AC56" s="276">
        <f t="shared" si="75"/>
        <v>-1.1208970766356099</v>
      </c>
      <c r="AD56" s="276">
        <f t="shared" si="75"/>
        <v>-1.1079486511144132</v>
      </c>
      <c r="AE56" s="276">
        <f t="shared" si="75"/>
        <v>-0.86760795058722551</v>
      </c>
      <c r="AF56" s="276">
        <f t="shared" si="75"/>
        <v>-0.48507125007266594</v>
      </c>
      <c r="AG56" s="276">
        <f t="shared" si="75"/>
        <v>0.22854676301307192</v>
      </c>
      <c r="AH56" s="276">
        <f t="shared" si="75"/>
        <v>-0.69038409507514398</v>
      </c>
      <c r="AI56" s="276" t="str">
        <f t="shared" si="75"/>
        <v xml:space="preserve"> </v>
      </c>
      <c r="AJ56" s="276">
        <f t="shared" si="75"/>
        <v>1.6774842736586515</v>
      </c>
      <c r="AK56" s="276">
        <f t="shared" si="75"/>
        <v>1.6774842736586515</v>
      </c>
      <c r="AL56" s="276">
        <f t="shared" si="75"/>
        <v>0.94509464261265697</v>
      </c>
      <c r="AM56" s="276">
        <f t="shared" si="75"/>
        <v>-1.230656677699145</v>
      </c>
      <c r="AN56" s="276">
        <f t="shared" si="75"/>
        <v>-1.230656677699145</v>
      </c>
      <c r="AO56" s="276">
        <f t="shared" si="75"/>
        <v>-1.0128079098265537</v>
      </c>
      <c r="AP56" s="276">
        <f t="shared" si="75"/>
        <v>1.0818064048528726</v>
      </c>
      <c r="AQ56" s="276">
        <f t="shared" si="75"/>
        <v>0.85865201457675566</v>
      </c>
      <c r="AR56" s="276">
        <f t="shared" si="75"/>
        <v>-0.54624090864594166</v>
      </c>
      <c r="AS56" s="276">
        <f t="shared" si="75"/>
        <v>0.13416407864998736</v>
      </c>
      <c r="AT56" s="276">
        <f t="shared" si="75"/>
        <v>0.82395332547954891</v>
      </c>
      <c r="AU56" s="276">
        <f t="shared" si="75"/>
        <v>-0.7894357579422363</v>
      </c>
      <c r="AV56" s="276">
        <f t="shared" si="75"/>
        <v>-0.90957964523928547</v>
      </c>
      <c r="AW56" s="276">
        <f t="shared" si="75"/>
        <v>0.8200894425760894</v>
      </c>
      <c r="AX56" s="276">
        <f t="shared" si="75"/>
        <v>0.57698947033599812</v>
      </c>
      <c r="AY56" s="276">
        <f t="shared" si="75"/>
        <v>-0.39715016549462639</v>
      </c>
      <c r="AZ56" s="276">
        <f t="shared" si="75"/>
        <v>-3.6267132333187894E-2</v>
      </c>
      <c r="BA56" s="276">
        <f t="shared" si="75"/>
        <v>0.43633959627677327</v>
      </c>
      <c r="BB56" s="276">
        <f t="shared" si="75"/>
        <v>-0.93152630250916302</v>
      </c>
      <c r="BC56" s="276">
        <f t="shared" si="75"/>
        <v>-0.62790011854385286</v>
      </c>
      <c r="BD56" s="276">
        <f t="shared" si="75"/>
        <v>-0.37363235887853669</v>
      </c>
      <c r="BE56" s="276">
        <f t="shared" si="75"/>
        <v>-0.48740133912793182</v>
      </c>
      <c r="BF56" s="276">
        <f t="shared" si="75"/>
        <v>-0.44391106285600473</v>
      </c>
      <c r="BG56" s="276">
        <f t="shared" si="75"/>
        <v>0.86582083890529227</v>
      </c>
      <c r="BH56" s="276">
        <f t="shared" si="75"/>
        <v>0.75245749140530194</v>
      </c>
      <c r="BI56" s="276">
        <f t="shared" si="75"/>
        <v>-0.43567222060280403</v>
      </c>
      <c r="BJ56" s="276">
        <f t="shared" si="75"/>
        <v>-0.4629178390236659</v>
      </c>
      <c r="BK56" s="276">
        <f t="shared" si="75"/>
        <v>-0.42383180770441942</v>
      </c>
      <c r="BL56" s="276">
        <f t="shared" si="75"/>
        <v>-0.12770897176611187</v>
      </c>
      <c r="BM56" s="276">
        <f t="shared" si="75"/>
        <v>-0.34829481996304912</v>
      </c>
      <c r="BN56" s="276">
        <f t="shared" si="75"/>
        <v>-0.18061033151551839</v>
      </c>
      <c r="BO56" s="276">
        <f t="shared" si="73"/>
        <v>1.5480634891554785</v>
      </c>
      <c r="BP56" s="276">
        <f t="shared" si="73"/>
        <v>-0.52912828184970273</v>
      </c>
      <c r="BQ56" s="276">
        <f t="shared" si="73"/>
        <v>-0.4412071954288041</v>
      </c>
      <c r="BR56" s="276">
        <f t="shared" si="73"/>
        <v>-0.48189987357505998</v>
      </c>
      <c r="BS56" s="276">
        <f t="shared" si="73"/>
        <v>-0.60517311967945286</v>
      </c>
      <c r="BT56" s="276">
        <f t="shared" si="73"/>
        <v>-0.49223838896821287</v>
      </c>
      <c r="BU56" s="276">
        <f t="shared" si="73"/>
        <v>-0.181310917764167</v>
      </c>
      <c r="BV56" s="276">
        <f t="shared" si="73"/>
        <v>1.3779739598812155</v>
      </c>
      <c r="BW56" s="276">
        <f t="shared" si="73"/>
        <v>-9.8532927816429319E-2</v>
      </c>
      <c r="BX56" s="276">
        <f t="shared" si="73"/>
        <v>-0.3117081614912659</v>
      </c>
      <c r="BY56" s="276">
        <f t="shared" si="73"/>
        <v>-0.14197293500509642</v>
      </c>
      <c r="BZ56" s="276" t="str">
        <f t="shared" si="73"/>
        <v xml:space="preserve"> </v>
      </c>
      <c r="CA56" s="276">
        <f t="shared" ref="CA56" si="77">IF(ISERROR(STANDARDIZE(CA26,CA$3,CA$4))," ",STANDARDIZE(CA26,CA$3,CA$4))</f>
        <v>-0.37467484113333371</v>
      </c>
      <c r="CB56" s="288">
        <f>IF(INDEX('Raw Data'!$A9:$EA9,MATCH(CB$19,RawData[#Headers],))=""," ",INDEX('Raw Data'!$A9:$EA9,MATCH(CB$19,RawData[#Headers],)))</f>
        <v>3</v>
      </c>
      <c r="CD56" s="276">
        <f>IF(B56=" ",zscores[[#This Row],[Cohesion ROI]],SUMXMY2($B56:$CA56,$B$9:$CA$9))</f>
        <v>141.01018782241326</v>
      </c>
      <c r="CE56" s="276">
        <f>IF(B56=" ",zscores[[#This Row],[Best Fixed Odds]],SUMXMY2($B56:$CA56,$B$10:$CA$10))</f>
        <v>144.61344702706302</v>
      </c>
      <c r="CF56" s="276">
        <f>IF(B56=" ",zscores[[#This Row],[Trainer 12 Months ROI]],SUMXMY2($B56:$CA56,$B$11:$CA$11))</f>
        <v>0</v>
      </c>
      <c r="CG56" s="276">
        <f>IF(B56=" ",zscores[[#This Row],[Jockey This Season ROI]],SUMXMY2($B56:$CA56,$B$12:$CA$12))</f>
        <v>131.05780310836545</v>
      </c>
      <c r="CH56" s="276"/>
      <c r="CI56" s="276"/>
      <c r="CJ56" s="276"/>
      <c r="CK56" s="289">
        <f>IF(ISERROR(MIN(dataDistance[#This Row]))," ",MIN(dataDistance[#This Row]))</f>
        <v>0</v>
      </c>
      <c r="CM56" s="290">
        <f>IFERROR(MATCH(CK56,dataDistance[#This Row],0)," ")</f>
        <v>3</v>
      </c>
      <c r="CN56" s="289" t="str">
        <f>IF(CK56=0," ",IF(ISERROR(MIN(dataDistance[#This Row]))," ",MIN(dataDistance[#This Row])))</f>
        <v xml:space="preserve"> </v>
      </c>
      <c r="CO56" s="289" t="str">
        <f>IF(CN56=" "," ",zscores[[#This Row],[Num]])</f>
        <v xml:space="preserve"> </v>
      </c>
    </row>
    <row r="57" spans="1:93" x14ac:dyDescent="0.3">
      <c r="A57" s="255">
        <f>'Raw Data'!A10</f>
        <v>9</v>
      </c>
      <c r="B57" s="276">
        <f t="shared" si="67"/>
        <v>1.3746128628673961</v>
      </c>
      <c r="C57" s="276">
        <f t="shared" si="75"/>
        <v>-1.0306126964385542</v>
      </c>
      <c r="D57" s="276">
        <f t="shared" si="75"/>
        <v>-2.3759548165574573</v>
      </c>
      <c r="E57" s="276">
        <f t="shared" si="75"/>
        <v>-1.9758834666495821</v>
      </c>
      <c r="F57" s="276">
        <f t="shared" si="75"/>
        <v>-1.5649265649973281</v>
      </c>
      <c r="G57" s="276">
        <f t="shared" si="75"/>
        <v>-0.51843631092717435</v>
      </c>
      <c r="H57" s="276">
        <f t="shared" si="75"/>
        <v>-0.47485014253827124</v>
      </c>
      <c r="I57" s="276">
        <f t="shared" si="75"/>
        <v>-1.4442319530609276</v>
      </c>
      <c r="J57" s="276">
        <f t="shared" si="75"/>
        <v>-0.80806604682606653</v>
      </c>
      <c r="K57" s="276">
        <f t="shared" si="75"/>
        <v>-0.82502864732539016</v>
      </c>
      <c r="L57" s="276">
        <f t="shared" si="75"/>
        <v>-0.77049417541876408</v>
      </c>
      <c r="M57" s="276">
        <f t="shared" si="75"/>
        <v>-0.83633544281203076</v>
      </c>
      <c r="N57" s="276">
        <f t="shared" si="75"/>
        <v>-0.91766293548224698</v>
      </c>
      <c r="O57" s="276">
        <f t="shared" si="75"/>
        <v>-1.4031340046280312</v>
      </c>
      <c r="P57" s="276">
        <f t="shared" si="75"/>
        <v>-0.9457687495404794</v>
      </c>
      <c r="Q57" s="276">
        <f t="shared" si="75"/>
        <v>-0.57735026918962584</v>
      </c>
      <c r="R57" s="276">
        <f t="shared" si="75"/>
        <v>-0.57735026918962584</v>
      </c>
      <c r="S57" s="276">
        <f t="shared" si="75"/>
        <v>-0.75117413511879194</v>
      </c>
      <c r="T57" s="276">
        <f t="shared" si="75"/>
        <v>-1.2339053944782488</v>
      </c>
      <c r="U57" s="276">
        <f t="shared" si="75"/>
        <v>-1.4004613016278296</v>
      </c>
      <c r="V57" s="276">
        <f t="shared" si="75"/>
        <v>-1.2909944487358056</v>
      </c>
      <c r="W57" s="276">
        <f t="shared" si="75"/>
        <v>-0.3779644730092272</v>
      </c>
      <c r="X57" s="276">
        <f t="shared" si="75"/>
        <v>-0.3779644730092272</v>
      </c>
      <c r="Y57" s="276">
        <f t="shared" si="75"/>
        <v>0.75270548983788221</v>
      </c>
      <c r="Z57" s="276">
        <f t="shared" si="75"/>
        <v>-1</v>
      </c>
      <c r="AA57" s="276">
        <f t="shared" si="75"/>
        <v>-0.85517516948476924</v>
      </c>
      <c r="AB57" s="276">
        <f t="shared" si="75"/>
        <v>-1.9824814143238607</v>
      </c>
      <c r="AC57" s="276">
        <f t="shared" si="75"/>
        <v>-1.1208970766356099</v>
      </c>
      <c r="AD57" s="276">
        <f t="shared" si="75"/>
        <v>-1.1079486511144132</v>
      </c>
      <c r="AE57" s="276">
        <f t="shared" si="75"/>
        <v>-0.86760795058722551</v>
      </c>
      <c r="AF57" s="276">
        <f t="shared" si="75"/>
        <v>-1.4552137502179978</v>
      </c>
      <c r="AG57" s="276">
        <f t="shared" si="75"/>
        <v>-0.68949355374754917</v>
      </c>
      <c r="AH57" s="276">
        <f t="shared" si="75"/>
        <v>-2.8206354078945572E-2</v>
      </c>
      <c r="AI57" s="276" t="str">
        <f t="shared" si="75"/>
        <v xml:space="preserve"> </v>
      </c>
      <c r="AJ57" s="276">
        <f t="shared" si="75"/>
        <v>-0.76249285166302339</v>
      </c>
      <c r="AK57" s="276">
        <f t="shared" si="75"/>
        <v>-0.76249285166302339</v>
      </c>
      <c r="AL57" s="276">
        <f t="shared" si="75"/>
        <v>-0.12327321425382481</v>
      </c>
      <c r="AM57" s="276">
        <f t="shared" si="75"/>
        <v>-1.0233881846129733</v>
      </c>
      <c r="AN57" s="276">
        <f t="shared" si="75"/>
        <v>-1.0233881846129733</v>
      </c>
      <c r="AO57" s="276">
        <f t="shared" si="75"/>
        <v>0.31802260149968359</v>
      </c>
      <c r="AP57" s="276">
        <f t="shared" si="75"/>
        <v>-3.5107679553715868E-2</v>
      </c>
      <c r="AQ57" s="276">
        <f t="shared" si="75"/>
        <v>0.16595795239718805</v>
      </c>
      <c r="AR57" s="276">
        <f t="shared" si="75"/>
        <v>0.53863662685504843</v>
      </c>
      <c r="AS57" s="276">
        <f t="shared" si="75"/>
        <v>0.76026311234992849</v>
      </c>
      <c r="AT57" s="276">
        <f t="shared" si="75"/>
        <v>6.6807026390233698E-2</v>
      </c>
      <c r="AU57" s="276">
        <f t="shared" si="75"/>
        <v>6.6328790003169519E-2</v>
      </c>
      <c r="AV57" s="276">
        <f t="shared" si="75"/>
        <v>0.3974230488311698</v>
      </c>
      <c r="AW57" s="276">
        <f t="shared" si="75"/>
        <v>5.392878420568388E-2</v>
      </c>
      <c r="AX57" s="276">
        <f t="shared" si="75"/>
        <v>0.32406257922980714</v>
      </c>
      <c r="AY57" s="276">
        <f t="shared" si="75"/>
        <v>0.91669252035552096</v>
      </c>
      <c r="AZ57" s="276">
        <f t="shared" si="75"/>
        <v>0.83414404366332151</v>
      </c>
      <c r="BA57" s="276">
        <f t="shared" si="75"/>
        <v>0.16968762077430072</v>
      </c>
      <c r="BB57" s="276">
        <f t="shared" si="75"/>
        <v>9.339566730337856E-2</v>
      </c>
      <c r="BC57" s="276">
        <f t="shared" si="75"/>
        <v>0.58227989857038931</v>
      </c>
      <c r="BD57" s="276">
        <f t="shared" si="75"/>
        <v>1.1208970766356101</v>
      </c>
      <c r="BE57" s="276">
        <f t="shared" si="75"/>
        <v>1.1519064681491957</v>
      </c>
      <c r="BF57" s="276">
        <f t="shared" si="75"/>
        <v>2.4705946739641091</v>
      </c>
      <c r="BG57" s="276">
        <f t="shared" si="75"/>
        <v>0.26351069010161071</v>
      </c>
      <c r="BH57" s="276">
        <f t="shared" si="75"/>
        <v>3.6399609021192207E-2</v>
      </c>
      <c r="BI57" s="276">
        <f t="shared" si="75"/>
        <v>1.3466012846221849</v>
      </c>
      <c r="BJ57" s="276">
        <f t="shared" si="75"/>
        <v>-0.87719007462450593</v>
      </c>
      <c r="BK57" s="276">
        <f t="shared" si="75"/>
        <v>-0.66602141210694477</v>
      </c>
      <c r="BL57" s="276">
        <f t="shared" si="75"/>
        <v>-0.52396484677872068</v>
      </c>
      <c r="BM57" s="276">
        <f t="shared" si="75"/>
        <v>2.599435857098741</v>
      </c>
      <c r="BN57" s="276">
        <f t="shared" si="75"/>
        <v>-0.73396964509497897</v>
      </c>
      <c r="BO57" s="276">
        <f t="shared" si="73"/>
        <v>-0.86740881879837683</v>
      </c>
      <c r="BP57" s="276">
        <f t="shared" si="73"/>
        <v>1.9663687354092176</v>
      </c>
      <c r="BQ57" s="276">
        <f t="shared" si="73"/>
        <v>-0.93143741257191981</v>
      </c>
      <c r="BR57" s="276">
        <f t="shared" si="73"/>
        <v>-0.6654807777941304</v>
      </c>
      <c r="BS57" s="276">
        <f t="shared" si="73"/>
        <v>0.15457296459296116</v>
      </c>
      <c r="BT57" s="276">
        <f t="shared" si="73"/>
        <v>2.6099498960063308</v>
      </c>
      <c r="BU57" s="276">
        <f t="shared" si="73"/>
        <v>-0.73387752428353314</v>
      </c>
      <c r="BV57" s="276">
        <f t="shared" si="73"/>
        <v>4.7497571555411899E-2</v>
      </c>
      <c r="BW57" s="276">
        <f t="shared" si="73"/>
        <v>1.4779939172464398</v>
      </c>
      <c r="BX57" s="276">
        <f t="shared" si="73"/>
        <v>2.2710166051506526</v>
      </c>
      <c r="BY57" s="276">
        <f t="shared" si="73"/>
        <v>-0.14197293500509642</v>
      </c>
      <c r="BZ57" s="276" t="str">
        <f t="shared" si="73"/>
        <v xml:space="preserve"> </v>
      </c>
      <c r="CA57" s="276">
        <f t="shared" ref="CA57" si="78">IF(ISERROR(STANDARDIZE(CA27,CA$3,CA$4))," ",STANDARDIZE(CA27,CA$3,CA$4))</f>
        <v>-0.31140083514834427</v>
      </c>
      <c r="CB57" s="288">
        <f>IF(INDEX('Raw Data'!$A10:$EA10,MATCH(CB$19,RawData[#Headers],))=""," ",INDEX('Raw Data'!$A10:$EA10,MATCH(CB$19,RawData[#Headers],)))</f>
        <v>8</v>
      </c>
      <c r="CD57" s="276">
        <f>IF(B57=" ",zscores[[#This Row],[Cohesion ROI]],SUMXMY2($B57:$CA57,$B$9:$CA$9))</f>
        <v>183.31523452719935</v>
      </c>
      <c r="CE57" s="276">
        <f>IF(B57=" ",zscores[[#This Row],[Best Fixed Odds]],SUMXMY2($B57:$CA57,$B$10:$CA$10))</f>
        <v>173.6571909053404</v>
      </c>
      <c r="CF57" s="276">
        <f>IF(B57=" ",zscores[[#This Row],[Trainer 12 Months ROI]],SUMXMY2($B57:$CA57,$B$11:$CA$11))</f>
        <v>131.05780310836545</v>
      </c>
      <c r="CG57" s="276">
        <f>IF(B57=" ",zscores[[#This Row],[Jockey This Season ROI]],SUMXMY2($B57:$CA57,$B$12:$CA$12))</f>
        <v>0</v>
      </c>
      <c r="CH57" s="276"/>
      <c r="CI57" s="276"/>
      <c r="CJ57" s="276"/>
      <c r="CK57" s="289">
        <f>IF(ISERROR(MIN(dataDistance[#This Row]))," ",MIN(dataDistance[#This Row]))</f>
        <v>0</v>
      </c>
      <c r="CM57" s="290">
        <f>IFERROR(MATCH(CK57,dataDistance[#This Row],0)," ")</f>
        <v>4</v>
      </c>
      <c r="CN57" s="289" t="str">
        <f>IF(CK57=0," ",IF(ISERROR(MIN(dataDistance[#This Row]))," ",MIN(dataDistance[#This Row])))</f>
        <v xml:space="preserve"> </v>
      </c>
      <c r="CO57" s="289" t="str">
        <f>IF(CN57=" "," ",zscores[[#This Row],[Num]])</f>
        <v xml:space="preserve"> </v>
      </c>
    </row>
    <row r="58" spans="1:93" x14ac:dyDescent="0.3">
      <c r="A58" s="255">
        <f>'Raw Data'!A11</f>
        <v>0</v>
      </c>
      <c r="B58" s="276" t="str">
        <f t="shared" si="67"/>
        <v xml:space="preserve"> </v>
      </c>
      <c r="C58" s="276" t="str">
        <f t="shared" si="75"/>
        <v xml:space="preserve"> </v>
      </c>
      <c r="D58" s="276" t="str">
        <f t="shared" si="75"/>
        <v xml:space="preserve"> </v>
      </c>
      <c r="E58" s="276" t="str">
        <f t="shared" si="75"/>
        <v xml:space="preserve"> </v>
      </c>
      <c r="F58" s="276" t="str">
        <f t="shared" si="75"/>
        <v xml:space="preserve"> </v>
      </c>
      <c r="G58" s="276" t="str">
        <f t="shared" si="75"/>
        <v xml:space="preserve"> </v>
      </c>
      <c r="H58" s="276" t="str">
        <f t="shared" si="75"/>
        <v xml:space="preserve"> </v>
      </c>
      <c r="I58" s="276" t="str">
        <f t="shared" si="75"/>
        <v xml:space="preserve"> </v>
      </c>
      <c r="J58" s="276" t="str">
        <f t="shared" si="75"/>
        <v xml:space="preserve"> </v>
      </c>
      <c r="K58" s="276" t="str">
        <f t="shared" si="75"/>
        <v xml:space="preserve"> </v>
      </c>
      <c r="L58" s="276" t="str">
        <f t="shared" si="75"/>
        <v xml:space="preserve"> </v>
      </c>
      <c r="M58" s="276" t="str">
        <f t="shared" si="75"/>
        <v xml:space="preserve"> </v>
      </c>
      <c r="N58" s="276" t="str">
        <f t="shared" si="75"/>
        <v xml:space="preserve"> </v>
      </c>
      <c r="O58" s="276" t="str">
        <f t="shared" si="75"/>
        <v xml:space="preserve"> </v>
      </c>
      <c r="P58" s="276" t="str">
        <f t="shared" si="75"/>
        <v xml:space="preserve"> </v>
      </c>
      <c r="Q58" s="276" t="str">
        <f t="shared" si="75"/>
        <v xml:space="preserve"> </v>
      </c>
      <c r="R58" s="276" t="str">
        <f t="shared" si="75"/>
        <v xml:space="preserve"> </v>
      </c>
      <c r="S58" s="276" t="str">
        <f t="shared" si="75"/>
        <v xml:space="preserve"> </v>
      </c>
      <c r="T58" s="276" t="str">
        <f t="shared" si="75"/>
        <v xml:space="preserve"> </v>
      </c>
      <c r="U58" s="276" t="str">
        <f t="shared" si="75"/>
        <v xml:space="preserve"> </v>
      </c>
      <c r="V58" s="276" t="str">
        <f t="shared" si="75"/>
        <v xml:space="preserve"> </v>
      </c>
      <c r="W58" s="276" t="str">
        <f t="shared" si="75"/>
        <v xml:space="preserve"> </v>
      </c>
      <c r="X58" s="276" t="str">
        <f t="shared" si="75"/>
        <v xml:space="preserve"> </v>
      </c>
      <c r="Y58" s="276" t="str">
        <f t="shared" si="75"/>
        <v xml:space="preserve"> </v>
      </c>
      <c r="Z58" s="276" t="str">
        <f t="shared" si="75"/>
        <v xml:space="preserve"> </v>
      </c>
      <c r="AA58" s="276" t="str">
        <f t="shared" si="75"/>
        <v xml:space="preserve"> </v>
      </c>
      <c r="AB58" s="276" t="str">
        <f t="shared" si="75"/>
        <v xml:space="preserve"> </v>
      </c>
      <c r="AC58" s="276" t="str">
        <f t="shared" si="75"/>
        <v xml:space="preserve"> </v>
      </c>
      <c r="AD58" s="276" t="str">
        <f t="shared" si="75"/>
        <v xml:space="preserve"> </v>
      </c>
      <c r="AE58" s="276" t="str">
        <f t="shared" si="75"/>
        <v xml:space="preserve"> </v>
      </c>
      <c r="AF58" s="276" t="str">
        <f t="shared" si="75"/>
        <v xml:space="preserve"> </v>
      </c>
      <c r="AG58" s="276" t="str">
        <f t="shared" si="75"/>
        <v xml:space="preserve"> </v>
      </c>
      <c r="AH58" s="276" t="str">
        <f t="shared" si="75"/>
        <v xml:space="preserve"> </v>
      </c>
      <c r="AI58" s="276" t="str">
        <f t="shared" si="75"/>
        <v xml:space="preserve"> </v>
      </c>
      <c r="AJ58" s="276" t="str">
        <f t="shared" si="75"/>
        <v xml:space="preserve"> </v>
      </c>
      <c r="AK58" s="276" t="str">
        <f t="shared" si="75"/>
        <v xml:space="preserve"> </v>
      </c>
      <c r="AL58" s="276" t="str">
        <f t="shared" si="75"/>
        <v xml:space="preserve"> </v>
      </c>
      <c r="AM58" s="276" t="str">
        <f t="shared" si="75"/>
        <v xml:space="preserve"> </v>
      </c>
      <c r="AN58" s="276" t="str">
        <f t="shared" si="75"/>
        <v xml:space="preserve"> </v>
      </c>
      <c r="AO58" s="276" t="str">
        <f t="shared" si="75"/>
        <v xml:space="preserve"> </v>
      </c>
      <c r="AP58" s="276" t="str">
        <f t="shared" si="75"/>
        <v xml:space="preserve"> </v>
      </c>
      <c r="AQ58" s="276" t="str">
        <f t="shared" si="75"/>
        <v xml:space="preserve"> </v>
      </c>
      <c r="AR58" s="276" t="str">
        <f t="shared" si="75"/>
        <v xml:space="preserve"> </v>
      </c>
      <c r="AS58" s="276" t="str">
        <f t="shared" si="75"/>
        <v xml:space="preserve"> </v>
      </c>
      <c r="AT58" s="276" t="str">
        <f t="shared" si="75"/>
        <v xml:space="preserve"> </v>
      </c>
      <c r="AU58" s="276" t="str">
        <f t="shared" si="75"/>
        <v xml:space="preserve"> </v>
      </c>
      <c r="AV58" s="276" t="str">
        <f t="shared" si="75"/>
        <v xml:space="preserve"> </v>
      </c>
      <c r="AW58" s="276" t="str">
        <f t="shared" si="75"/>
        <v xml:space="preserve"> </v>
      </c>
      <c r="AX58" s="276" t="str">
        <f t="shared" si="75"/>
        <v xml:space="preserve"> </v>
      </c>
      <c r="AY58" s="276" t="str">
        <f t="shared" si="75"/>
        <v xml:space="preserve"> </v>
      </c>
      <c r="AZ58" s="276" t="str">
        <f t="shared" si="75"/>
        <v xml:space="preserve"> </v>
      </c>
      <c r="BA58" s="276" t="str">
        <f t="shared" si="75"/>
        <v xml:space="preserve"> </v>
      </c>
      <c r="BB58" s="276" t="str">
        <f t="shared" si="75"/>
        <v xml:space="preserve"> </v>
      </c>
      <c r="BC58" s="276" t="str">
        <f t="shared" si="75"/>
        <v xml:space="preserve"> </v>
      </c>
      <c r="BD58" s="276" t="str">
        <f t="shared" si="75"/>
        <v xml:space="preserve"> </v>
      </c>
      <c r="BE58" s="276" t="str">
        <f t="shared" si="75"/>
        <v xml:space="preserve"> </v>
      </c>
      <c r="BF58" s="276" t="str">
        <f t="shared" si="75"/>
        <v xml:space="preserve"> </v>
      </c>
      <c r="BG58" s="276" t="str">
        <f t="shared" si="75"/>
        <v xml:space="preserve"> </v>
      </c>
      <c r="BH58" s="276" t="str">
        <f t="shared" si="75"/>
        <v xml:space="preserve"> </v>
      </c>
      <c r="BI58" s="276" t="str">
        <f t="shared" si="75"/>
        <v xml:space="preserve"> </v>
      </c>
      <c r="BJ58" s="276" t="str">
        <f t="shared" si="75"/>
        <v xml:space="preserve"> </v>
      </c>
      <c r="BK58" s="276" t="str">
        <f t="shared" si="75"/>
        <v xml:space="preserve"> </v>
      </c>
      <c r="BL58" s="276" t="str">
        <f t="shared" si="75"/>
        <v xml:space="preserve"> </v>
      </c>
      <c r="BM58" s="276" t="str">
        <f t="shared" si="75"/>
        <v xml:space="preserve"> </v>
      </c>
      <c r="BN58" s="276" t="str">
        <f t="shared" ref="BN58:BZ61" si="79">IF(ISERROR(STANDARDIZE(BN28,BN$3,BN$4))," ",STANDARDIZE(BN28,BN$3,BN$4))</f>
        <v xml:space="preserve"> </v>
      </c>
      <c r="BO58" s="276" t="str">
        <f t="shared" si="79"/>
        <v xml:space="preserve"> </v>
      </c>
      <c r="BP58" s="276" t="str">
        <f t="shared" si="79"/>
        <v xml:space="preserve"> </v>
      </c>
      <c r="BQ58" s="276" t="str">
        <f t="shared" si="79"/>
        <v xml:space="preserve"> </v>
      </c>
      <c r="BR58" s="276" t="str">
        <f t="shared" si="79"/>
        <v xml:space="preserve"> </v>
      </c>
      <c r="BS58" s="276" t="str">
        <f t="shared" si="79"/>
        <v xml:space="preserve"> </v>
      </c>
      <c r="BT58" s="276" t="str">
        <f t="shared" si="79"/>
        <v xml:space="preserve"> </v>
      </c>
      <c r="BU58" s="276" t="str">
        <f t="shared" si="79"/>
        <v xml:space="preserve"> </v>
      </c>
      <c r="BV58" s="276" t="str">
        <f t="shared" si="79"/>
        <v xml:space="preserve"> </v>
      </c>
      <c r="BW58" s="276" t="str">
        <f t="shared" si="79"/>
        <v xml:space="preserve"> </v>
      </c>
      <c r="BX58" s="276" t="str">
        <f t="shared" si="79"/>
        <v xml:space="preserve"> </v>
      </c>
      <c r="BY58" s="276" t="str">
        <f t="shared" si="79"/>
        <v xml:space="preserve"> </v>
      </c>
      <c r="BZ58" s="276" t="str">
        <f t="shared" si="79"/>
        <v xml:space="preserve"> </v>
      </c>
      <c r="CA58" s="276" t="str">
        <f t="shared" ref="CA58" si="80">IF(ISERROR(STANDARDIZE(CA28,CA$3,CA$4))," ",STANDARDIZE(CA28,CA$3,CA$4))</f>
        <v xml:space="preserve"> </v>
      </c>
      <c r="CB58" s="288" t="str">
        <f>IF(INDEX('Raw Data'!$A11:$EA11,MATCH(CB$19,RawData[#Headers],))=""," ",INDEX('Raw Data'!$A11:$EA11,MATCH(CB$19,RawData[#Headers],)))</f>
        <v xml:space="preserve"> </v>
      </c>
      <c r="CD58" s="276" t="str">
        <f>IF(B58=" ",zscores[[#This Row],[Cohesion ROI]],SUMXMY2($B58:$CA58,$B$9:$CA$9))</f>
        <v xml:space="preserve"> </v>
      </c>
      <c r="CE58" s="276" t="str">
        <f>IF(B58=" ",zscores[[#This Row],[Best Fixed Odds]],SUMXMY2($B58:$CA58,$B$10:$CA$10))</f>
        <v xml:space="preserve"> </v>
      </c>
      <c r="CF58" s="276" t="str">
        <f>IF(B58=" ",zscores[[#This Row],[Trainer 12 Months ROI]],SUMXMY2($B58:$CA58,$B$11:$CA$11))</f>
        <v xml:space="preserve"> </v>
      </c>
      <c r="CG58" s="276" t="str">
        <f>IF(B58=" ",zscores[[#This Row],[Jockey This Season ROI]],SUMXMY2($B58:$CA58,$B$12:$CA$12))</f>
        <v xml:space="preserve"> </v>
      </c>
      <c r="CH58" s="276"/>
      <c r="CI58" s="276"/>
      <c r="CJ58" s="276"/>
      <c r="CK58" s="289">
        <f>IF(ISERROR(MIN(dataDistance[#This Row]))," ",MIN(dataDistance[#This Row]))</f>
        <v>0</v>
      </c>
      <c r="CM58" s="290" t="str">
        <f>IFERROR(MATCH(CK58,dataDistance[#This Row],0)," ")</f>
        <v xml:space="preserve"> </v>
      </c>
      <c r="CN58" s="289" t="str">
        <f>IF(CK58=0," ",IF(ISERROR(MIN(dataDistance[#This Row]))," ",MIN(dataDistance[#This Row])))</f>
        <v xml:space="preserve"> </v>
      </c>
      <c r="CO58" s="289" t="str">
        <f>IF(CN58=" "," ",zscores[[#This Row],[Num]])</f>
        <v xml:space="preserve"> </v>
      </c>
    </row>
    <row r="59" spans="1:93" x14ac:dyDescent="0.3">
      <c r="A59" s="255">
        <f>'Raw Data'!A12</f>
        <v>0</v>
      </c>
      <c r="B59" s="276" t="str">
        <f t="shared" si="67"/>
        <v xml:space="preserve"> </v>
      </c>
      <c r="C59" s="276" t="str">
        <f t="shared" ref="C59:BN62" si="81">IF(ISERROR(STANDARDIZE(C29,C$3,C$4))," ",STANDARDIZE(C29,C$3,C$4))</f>
        <v xml:space="preserve"> </v>
      </c>
      <c r="D59" s="276" t="str">
        <f t="shared" si="81"/>
        <v xml:space="preserve"> </v>
      </c>
      <c r="E59" s="276" t="str">
        <f t="shared" si="81"/>
        <v xml:space="preserve"> </v>
      </c>
      <c r="F59" s="276" t="str">
        <f t="shared" si="81"/>
        <v xml:space="preserve"> </v>
      </c>
      <c r="G59" s="276" t="str">
        <f t="shared" si="81"/>
        <v xml:space="preserve"> </v>
      </c>
      <c r="H59" s="276" t="str">
        <f t="shared" si="81"/>
        <v xml:space="preserve"> </v>
      </c>
      <c r="I59" s="276" t="str">
        <f t="shared" si="81"/>
        <v xml:space="preserve"> </v>
      </c>
      <c r="J59" s="276" t="str">
        <f t="shared" si="81"/>
        <v xml:space="preserve"> </v>
      </c>
      <c r="K59" s="276" t="str">
        <f t="shared" si="81"/>
        <v xml:space="preserve"> </v>
      </c>
      <c r="L59" s="276" t="str">
        <f t="shared" si="81"/>
        <v xml:space="preserve"> </v>
      </c>
      <c r="M59" s="276" t="str">
        <f t="shared" si="81"/>
        <v xml:space="preserve"> </v>
      </c>
      <c r="N59" s="276" t="str">
        <f t="shared" si="81"/>
        <v xml:space="preserve"> </v>
      </c>
      <c r="O59" s="276" t="str">
        <f t="shared" si="81"/>
        <v xml:space="preserve"> </v>
      </c>
      <c r="P59" s="276" t="str">
        <f t="shared" si="81"/>
        <v xml:space="preserve"> </v>
      </c>
      <c r="Q59" s="276" t="str">
        <f t="shared" si="81"/>
        <v xml:space="preserve"> </v>
      </c>
      <c r="R59" s="276" t="str">
        <f t="shared" si="81"/>
        <v xml:space="preserve"> </v>
      </c>
      <c r="S59" s="276" t="str">
        <f t="shared" si="81"/>
        <v xml:space="preserve"> </v>
      </c>
      <c r="T59" s="276" t="str">
        <f t="shared" si="81"/>
        <v xml:space="preserve"> </v>
      </c>
      <c r="U59" s="276" t="str">
        <f t="shared" si="81"/>
        <v xml:space="preserve"> </v>
      </c>
      <c r="V59" s="276" t="str">
        <f t="shared" si="81"/>
        <v xml:space="preserve"> </v>
      </c>
      <c r="W59" s="276" t="str">
        <f t="shared" si="81"/>
        <v xml:space="preserve"> </v>
      </c>
      <c r="X59" s="276" t="str">
        <f t="shared" si="81"/>
        <v xml:space="preserve"> </v>
      </c>
      <c r="Y59" s="276" t="str">
        <f t="shared" si="81"/>
        <v xml:space="preserve"> </v>
      </c>
      <c r="Z59" s="276" t="str">
        <f t="shared" si="81"/>
        <v xml:space="preserve"> </v>
      </c>
      <c r="AA59" s="276" t="str">
        <f t="shared" si="81"/>
        <v xml:space="preserve"> </v>
      </c>
      <c r="AB59" s="276" t="str">
        <f t="shared" si="81"/>
        <v xml:space="preserve"> </v>
      </c>
      <c r="AC59" s="276" t="str">
        <f t="shared" si="81"/>
        <v xml:space="preserve"> </v>
      </c>
      <c r="AD59" s="276" t="str">
        <f t="shared" si="81"/>
        <v xml:space="preserve"> </v>
      </c>
      <c r="AE59" s="276" t="str">
        <f t="shared" si="81"/>
        <v xml:space="preserve"> </v>
      </c>
      <c r="AF59" s="276" t="str">
        <f t="shared" si="81"/>
        <v xml:space="preserve"> </v>
      </c>
      <c r="AG59" s="276" t="str">
        <f t="shared" si="81"/>
        <v xml:space="preserve"> </v>
      </c>
      <c r="AH59" s="276" t="str">
        <f t="shared" si="81"/>
        <v xml:space="preserve"> </v>
      </c>
      <c r="AI59" s="276" t="str">
        <f t="shared" si="81"/>
        <v xml:space="preserve"> </v>
      </c>
      <c r="AJ59" s="276" t="str">
        <f t="shared" si="81"/>
        <v xml:space="preserve"> </v>
      </c>
      <c r="AK59" s="276" t="str">
        <f t="shared" si="81"/>
        <v xml:space="preserve"> </v>
      </c>
      <c r="AL59" s="276" t="str">
        <f t="shared" si="81"/>
        <v xml:space="preserve"> </v>
      </c>
      <c r="AM59" s="276" t="str">
        <f t="shared" si="81"/>
        <v xml:space="preserve"> </v>
      </c>
      <c r="AN59" s="276" t="str">
        <f t="shared" si="81"/>
        <v xml:space="preserve"> </v>
      </c>
      <c r="AO59" s="276" t="str">
        <f t="shared" si="81"/>
        <v xml:space="preserve"> </v>
      </c>
      <c r="AP59" s="276" t="str">
        <f t="shared" si="81"/>
        <v xml:space="preserve"> </v>
      </c>
      <c r="AQ59" s="276" t="str">
        <f t="shared" si="81"/>
        <v xml:space="preserve"> </v>
      </c>
      <c r="AR59" s="276" t="str">
        <f t="shared" si="81"/>
        <v xml:space="preserve"> </v>
      </c>
      <c r="AS59" s="276" t="str">
        <f t="shared" si="81"/>
        <v xml:space="preserve"> </v>
      </c>
      <c r="AT59" s="276" t="str">
        <f t="shared" si="81"/>
        <v xml:space="preserve"> </v>
      </c>
      <c r="AU59" s="276" t="str">
        <f t="shared" si="81"/>
        <v xml:space="preserve"> </v>
      </c>
      <c r="AV59" s="276" t="str">
        <f t="shared" si="81"/>
        <v xml:space="preserve"> </v>
      </c>
      <c r="AW59" s="276" t="str">
        <f t="shared" si="81"/>
        <v xml:space="preserve"> </v>
      </c>
      <c r="AX59" s="276" t="str">
        <f t="shared" si="81"/>
        <v xml:space="preserve"> </v>
      </c>
      <c r="AY59" s="276" t="str">
        <f t="shared" si="81"/>
        <v xml:space="preserve"> </v>
      </c>
      <c r="AZ59" s="276" t="str">
        <f t="shared" si="81"/>
        <v xml:space="preserve"> </v>
      </c>
      <c r="BA59" s="276" t="str">
        <f t="shared" si="81"/>
        <v xml:space="preserve"> </v>
      </c>
      <c r="BB59" s="276" t="str">
        <f t="shared" si="81"/>
        <v xml:space="preserve"> </v>
      </c>
      <c r="BC59" s="276" t="str">
        <f t="shared" si="81"/>
        <v xml:space="preserve"> </v>
      </c>
      <c r="BD59" s="276" t="str">
        <f t="shared" si="81"/>
        <v xml:space="preserve"> </v>
      </c>
      <c r="BE59" s="276" t="str">
        <f t="shared" si="81"/>
        <v xml:space="preserve"> </v>
      </c>
      <c r="BF59" s="276" t="str">
        <f t="shared" si="81"/>
        <v xml:space="preserve"> </v>
      </c>
      <c r="BG59" s="276" t="str">
        <f t="shared" si="81"/>
        <v xml:space="preserve"> </v>
      </c>
      <c r="BH59" s="276" t="str">
        <f t="shared" si="81"/>
        <v xml:space="preserve"> </v>
      </c>
      <c r="BI59" s="276" t="str">
        <f t="shared" si="81"/>
        <v xml:space="preserve"> </v>
      </c>
      <c r="BJ59" s="276" t="str">
        <f t="shared" si="81"/>
        <v xml:space="preserve"> </v>
      </c>
      <c r="BK59" s="276" t="str">
        <f t="shared" si="81"/>
        <v xml:space="preserve"> </v>
      </c>
      <c r="BL59" s="276" t="str">
        <f t="shared" si="81"/>
        <v xml:space="preserve"> </v>
      </c>
      <c r="BM59" s="276" t="str">
        <f t="shared" si="81"/>
        <v xml:space="preserve"> </v>
      </c>
      <c r="BN59" s="276" t="str">
        <f t="shared" si="81"/>
        <v xml:space="preserve"> </v>
      </c>
      <c r="BO59" s="276" t="str">
        <f t="shared" si="79"/>
        <v xml:space="preserve"> </v>
      </c>
      <c r="BP59" s="276" t="str">
        <f t="shared" si="79"/>
        <v xml:space="preserve"> </v>
      </c>
      <c r="BQ59" s="276" t="str">
        <f t="shared" si="79"/>
        <v xml:space="preserve"> </v>
      </c>
      <c r="BR59" s="276" t="str">
        <f t="shared" si="79"/>
        <v xml:space="preserve"> </v>
      </c>
      <c r="BS59" s="276" t="str">
        <f t="shared" si="79"/>
        <v xml:space="preserve"> </v>
      </c>
      <c r="BT59" s="276" t="str">
        <f t="shared" si="79"/>
        <v xml:space="preserve"> </v>
      </c>
      <c r="BU59" s="276" t="str">
        <f t="shared" si="79"/>
        <v xml:space="preserve"> </v>
      </c>
      <c r="BV59" s="276" t="str">
        <f t="shared" si="79"/>
        <v xml:space="preserve"> </v>
      </c>
      <c r="BW59" s="276" t="str">
        <f t="shared" si="79"/>
        <v xml:space="preserve"> </v>
      </c>
      <c r="BX59" s="276" t="str">
        <f t="shared" si="79"/>
        <v xml:space="preserve"> </v>
      </c>
      <c r="BY59" s="276" t="str">
        <f t="shared" si="79"/>
        <v xml:space="preserve"> </v>
      </c>
      <c r="BZ59" s="276" t="str">
        <f t="shared" si="79"/>
        <v xml:space="preserve"> </v>
      </c>
      <c r="CA59" s="276" t="str">
        <f t="shared" ref="CA59" si="82">IF(ISERROR(STANDARDIZE(CA29,CA$3,CA$4))," ",STANDARDIZE(CA29,CA$3,CA$4))</f>
        <v xml:space="preserve"> </v>
      </c>
      <c r="CB59" s="288" t="str">
        <f>IF(INDEX('Raw Data'!$A12:$EA12,MATCH(CB$19,RawData[#Headers],))=""," ",INDEX('Raw Data'!$A12:$EA12,MATCH(CB$19,RawData[#Headers],)))</f>
        <v xml:space="preserve"> </v>
      </c>
      <c r="CD59" s="276" t="str">
        <f>IF(B59=" ",zscores[[#This Row],[Cohesion ROI]],SUMXMY2($B59:$CA59,$B$9:$CA$9))</f>
        <v xml:space="preserve"> </v>
      </c>
      <c r="CE59" s="276" t="str">
        <f>IF(B59=" ",zscores[[#This Row],[Best Fixed Odds]],SUMXMY2($B59:$CA59,$B$10:$CA$10))</f>
        <v xml:space="preserve"> </v>
      </c>
      <c r="CF59" s="276" t="str">
        <f>IF(B59=" ",zscores[[#This Row],[Trainer 12 Months ROI]],SUMXMY2($B59:$CA59,$B$11:$CA$11))</f>
        <v xml:space="preserve"> </v>
      </c>
      <c r="CG59" s="276" t="str">
        <f>IF(B59=" ",zscores[[#This Row],[Jockey This Season ROI]],SUMXMY2($B59:$CA59,$B$12:$CA$12))</f>
        <v xml:space="preserve"> </v>
      </c>
      <c r="CH59" s="276"/>
      <c r="CI59" s="276"/>
      <c r="CJ59" s="276"/>
      <c r="CK59" s="289">
        <f>IF(ISERROR(MIN(dataDistance[#This Row]))," ",MIN(dataDistance[#This Row]))</f>
        <v>0</v>
      </c>
      <c r="CM59" s="290" t="str">
        <f>IFERROR(MATCH(CK59,dataDistance[#This Row],0)," ")</f>
        <v xml:space="preserve"> </v>
      </c>
      <c r="CN59" s="289" t="str">
        <f>IF(CK59=0," ",IF(ISERROR(MIN(dataDistance[#This Row]))," ",MIN(dataDistance[#This Row])))</f>
        <v xml:space="preserve"> </v>
      </c>
      <c r="CO59" s="289" t="str">
        <f>IF(CN59=" "," ",zscores[[#This Row],[Num]])</f>
        <v xml:space="preserve"> </v>
      </c>
    </row>
    <row r="60" spans="1:93" x14ac:dyDescent="0.3">
      <c r="A60" s="255">
        <f>'Raw Data'!A13</f>
        <v>0</v>
      </c>
      <c r="B60" s="276" t="str">
        <f t="shared" si="67"/>
        <v xml:space="preserve"> </v>
      </c>
      <c r="C60" s="276" t="str">
        <f t="shared" si="81"/>
        <v xml:space="preserve"> </v>
      </c>
      <c r="D60" s="276" t="str">
        <f t="shared" si="81"/>
        <v xml:space="preserve"> </v>
      </c>
      <c r="E60" s="276" t="str">
        <f t="shared" si="81"/>
        <v xml:space="preserve"> </v>
      </c>
      <c r="F60" s="276" t="str">
        <f t="shared" si="81"/>
        <v xml:space="preserve"> </v>
      </c>
      <c r="G60" s="276" t="str">
        <f t="shared" si="81"/>
        <v xml:space="preserve"> </v>
      </c>
      <c r="H60" s="276" t="str">
        <f t="shared" si="81"/>
        <v xml:space="preserve"> </v>
      </c>
      <c r="I60" s="276" t="str">
        <f t="shared" si="81"/>
        <v xml:space="preserve"> </v>
      </c>
      <c r="J60" s="276" t="str">
        <f t="shared" si="81"/>
        <v xml:space="preserve"> </v>
      </c>
      <c r="K60" s="276" t="str">
        <f t="shared" si="81"/>
        <v xml:space="preserve"> </v>
      </c>
      <c r="L60" s="276" t="str">
        <f t="shared" si="81"/>
        <v xml:space="preserve"> </v>
      </c>
      <c r="M60" s="276" t="str">
        <f t="shared" si="81"/>
        <v xml:space="preserve"> </v>
      </c>
      <c r="N60" s="276" t="str">
        <f t="shared" si="81"/>
        <v xml:space="preserve"> </v>
      </c>
      <c r="O60" s="276" t="str">
        <f t="shared" si="81"/>
        <v xml:space="preserve"> </v>
      </c>
      <c r="P60" s="276" t="str">
        <f t="shared" si="81"/>
        <v xml:space="preserve"> </v>
      </c>
      <c r="Q60" s="276" t="str">
        <f t="shared" si="81"/>
        <v xml:space="preserve"> </v>
      </c>
      <c r="R60" s="276" t="str">
        <f t="shared" si="81"/>
        <v xml:space="preserve"> </v>
      </c>
      <c r="S60" s="276" t="str">
        <f t="shared" si="81"/>
        <v xml:space="preserve"> </v>
      </c>
      <c r="T60" s="276" t="str">
        <f t="shared" si="81"/>
        <v xml:space="preserve"> </v>
      </c>
      <c r="U60" s="276" t="str">
        <f t="shared" si="81"/>
        <v xml:space="preserve"> </v>
      </c>
      <c r="V60" s="276" t="str">
        <f t="shared" si="81"/>
        <v xml:space="preserve"> </v>
      </c>
      <c r="W60" s="276" t="str">
        <f t="shared" si="81"/>
        <v xml:space="preserve"> </v>
      </c>
      <c r="X60" s="276" t="str">
        <f t="shared" si="81"/>
        <v xml:space="preserve"> </v>
      </c>
      <c r="Y60" s="276" t="str">
        <f t="shared" si="81"/>
        <v xml:space="preserve"> </v>
      </c>
      <c r="Z60" s="276" t="str">
        <f t="shared" si="81"/>
        <v xml:space="preserve"> </v>
      </c>
      <c r="AA60" s="276" t="str">
        <f t="shared" si="81"/>
        <v xml:space="preserve"> </v>
      </c>
      <c r="AB60" s="276" t="str">
        <f t="shared" si="81"/>
        <v xml:space="preserve"> </v>
      </c>
      <c r="AC60" s="276" t="str">
        <f t="shared" si="81"/>
        <v xml:space="preserve"> </v>
      </c>
      <c r="AD60" s="276" t="str">
        <f t="shared" si="81"/>
        <v xml:space="preserve"> </v>
      </c>
      <c r="AE60" s="276" t="str">
        <f t="shared" si="81"/>
        <v xml:space="preserve"> </v>
      </c>
      <c r="AF60" s="276" t="str">
        <f t="shared" si="81"/>
        <v xml:space="preserve"> </v>
      </c>
      <c r="AG60" s="276" t="str">
        <f t="shared" si="81"/>
        <v xml:space="preserve"> </v>
      </c>
      <c r="AH60" s="276" t="str">
        <f t="shared" si="81"/>
        <v xml:space="preserve"> </v>
      </c>
      <c r="AI60" s="276" t="str">
        <f t="shared" si="81"/>
        <v xml:space="preserve"> </v>
      </c>
      <c r="AJ60" s="276" t="str">
        <f t="shared" si="81"/>
        <v xml:space="preserve"> </v>
      </c>
      <c r="AK60" s="276" t="str">
        <f t="shared" si="81"/>
        <v xml:space="preserve"> </v>
      </c>
      <c r="AL60" s="276" t="str">
        <f t="shared" si="81"/>
        <v xml:space="preserve"> </v>
      </c>
      <c r="AM60" s="276" t="str">
        <f t="shared" si="81"/>
        <v xml:space="preserve"> </v>
      </c>
      <c r="AN60" s="276" t="str">
        <f t="shared" si="81"/>
        <v xml:space="preserve"> </v>
      </c>
      <c r="AO60" s="276" t="str">
        <f t="shared" si="81"/>
        <v xml:space="preserve"> </v>
      </c>
      <c r="AP60" s="276" t="str">
        <f t="shared" si="81"/>
        <v xml:space="preserve"> </v>
      </c>
      <c r="AQ60" s="276" t="str">
        <f t="shared" si="81"/>
        <v xml:space="preserve"> </v>
      </c>
      <c r="AR60" s="276" t="str">
        <f t="shared" si="81"/>
        <v xml:space="preserve"> </v>
      </c>
      <c r="AS60" s="276" t="str">
        <f t="shared" si="81"/>
        <v xml:space="preserve"> </v>
      </c>
      <c r="AT60" s="276" t="str">
        <f t="shared" si="81"/>
        <v xml:space="preserve"> </v>
      </c>
      <c r="AU60" s="276" t="str">
        <f t="shared" si="81"/>
        <v xml:space="preserve"> </v>
      </c>
      <c r="AV60" s="276" t="str">
        <f t="shared" si="81"/>
        <v xml:space="preserve"> </v>
      </c>
      <c r="AW60" s="276" t="str">
        <f t="shared" si="81"/>
        <v xml:space="preserve"> </v>
      </c>
      <c r="AX60" s="276" t="str">
        <f t="shared" si="81"/>
        <v xml:space="preserve"> </v>
      </c>
      <c r="AY60" s="276" t="str">
        <f t="shared" si="81"/>
        <v xml:space="preserve"> </v>
      </c>
      <c r="AZ60" s="276" t="str">
        <f t="shared" si="81"/>
        <v xml:space="preserve"> </v>
      </c>
      <c r="BA60" s="276" t="str">
        <f t="shared" si="81"/>
        <v xml:space="preserve"> </v>
      </c>
      <c r="BB60" s="276" t="str">
        <f t="shared" si="81"/>
        <v xml:space="preserve"> </v>
      </c>
      <c r="BC60" s="276" t="str">
        <f t="shared" si="81"/>
        <v xml:space="preserve"> </v>
      </c>
      <c r="BD60" s="276" t="str">
        <f t="shared" si="81"/>
        <v xml:space="preserve"> </v>
      </c>
      <c r="BE60" s="276" t="str">
        <f t="shared" si="81"/>
        <v xml:space="preserve"> </v>
      </c>
      <c r="BF60" s="276" t="str">
        <f t="shared" si="81"/>
        <v xml:space="preserve"> </v>
      </c>
      <c r="BG60" s="276" t="str">
        <f t="shared" si="81"/>
        <v xml:space="preserve"> </v>
      </c>
      <c r="BH60" s="276" t="str">
        <f t="shared" si="81"/>
        <v xml:space="preserve"> </v>
      </c>
      <c r="BI60" s="276" t="str">
        <f t="shared" si="81"/>
        <v xml:space="preserve"> </v>
      </c>
      <c r="BJ60" s="276" t="str">
        <f t="shared" si="81"/>
        <v xml:space="preserve"> </v>
      </c>
      <c r="BK60" s="276" t="str">
        <f t="shared" si="81"/>
        <v xml:space="preserve"> </v>
      </c>
      <c r="BL60" s="276" t="str">
        <f t="shared" si="81"/>
        <v xml:space="preserve"> </v>
      </c>
      <c r="BM60" s="276" t="str">
        <f t="shared" si="81"/>
        <v xml:space="preserve"> </v>
      </c>
      <c r="BN60" s="276" t="str">
        <f t="shared" si="81"/>
        <v xml:space="preserve"> </v>
      </c>
      <c r="BO60" s="276" t="str">
        <f t="shared" si="79"/>
        <v xml:space="preserve"> </v>
      </c>
      <c r="BP60" s="276" t="str">
        <f t="shared" si="79"/>
        <v xml:space="preserve"> </v>
      </c>
      <c r="BQ60" s="276" t="str">
        <f t="shared" si="79"/>
        <v xml:space="preserve"> </v>
      </c>
      <c r="BR60" s="276" t="str">
        <f t="shared" si="79"/>
        <v xml:space="preserve"> </v>
      </c>
      <c r="BS60" s="276" t="str">
        <f t="shared" si="79"/>
        <v xml:space="preserve"> </v>
      </c>
      <c r="BT60" s="276" t="str">
        <f t="shared" si="79"/>
        <v xml:space="preserve"> </v>
      </c>
      <c r="BU60" s="276" t="str">
        <f t="shared" si="79"/>
        <v xml:space="preserve"> </v>
      </c>
      <c r="BV60" s="276" t="str">
        <f t="shared" si="79"/>
        <v xml:space="preserve"> </v>
      </c>
      <c r="BW60" s="276" t="str">
        <f t="shared" si="79"/>
        <v xml:space="preserve"> </v>
      </c>
      <c r="BX60" s="276" t="str">
        <f t="shared" si="79"/>
        <v xml:space="preserve"> </v>
      </c>
      <c r="BY60" s="276" t="str">
        <f t="shared" si="79"/>
        <v xml:space="preserve"> </v>
      </c>
      <c r="BZ60" s="276" t="str">
        <f t="shared" si="79"/>
        <v xml:space="preserve"> </v>
      </c>
      <c r="CA60" s="276" t="str">
        <f t="shared" ref="CA60" si="83">IF(ISERROR(STANDARDIZE(CA30,CA$3,CA$4))," ",STANDARDIZE(CA30,CA$3,CA$4))</f>
        <v xml:space="preserve"> </v>
      </c>
      <c r="CB60" s="288" t="str">
        <f>IF(INDEX('Raw Data'!$A13:$EA13,MATCH(CB$19,RawData[#Headers],))=""," ",INDEX('Raw Data'!$A13:$EA13,MATCH(CB$19,RawData[#Headers],)))</f>
        <v xml:space="preserve"> </v>
      </c>
      <c r="CD60" s="276" t="str">
        <f>IF(B60=" ",zscores[[#This Row],[Cohesion ROI]],SUMXMY2($B60:$CA60,$B$9:$CA$9))</f>
        <v xml:space="preserve"> </v>
      </c>
      <c r="CE60" s="276" t="str">
        <f>IF(B60=" ",zscores[[#This Row],[Best Fixed Odds]],SUMXMY2($B60:$CA60,$B$10:$CA$10))</f>
        <v xml:space="preserve"> </v>
      </c>
      <c r="CF60" s="276" t="str">
        <f>IF(B60=" ",zscores[[#This Row],[Trainer 12 Months ROI]],SUMXMY2($B60:$CA60,$B$11:$CA$11))</f>
        <v xml:space="preserve"> </v>
      </c>
      <c r="CG60" s="276" t="str">
        <f>IF(B60=" ",zscores[[#This Row],[Jockey This Season ROI]],SUMXMY2($B60:$CA60,$B$12:$CA$12))</f>
        <v xml:space="preserve"> </v>
      </c>
      <c r="CH60" s="276"/>
      <c r="CI60" s="276"/>
      <c r="CJ60" s="276"/>
      <c r="CK60" s="289">
        <f>IF(ISERROR(MIN(dataDistance[#This Row]))," ",MIN(dataDistance[#This Row]))</f>
        <v>0</v>
      </c>
      <c r="CM60" s="290" t="str">
        <f>IFERROR(MATCH(CK60,dataDistance[#This Row],0)," ")</f>
        <v xml:space="preserve"> </v>
      </c>
      <c r="CN60" s="289" t="str">
        <f>IF(CK60=0," ",IF(ISERROR(MIN(dataDistance[#This Row]))," ",MIN(dataDistance[#This Row])))</f>
        <v xml:space="preserve"> </v>
      </c>
      <c r="CO60" s="289" t="str">
        <f>IF(CN60=" "," ",zscores[[#This Row],[Num]])</f>
        <v xml:space="preserve"> </v>
      </c>
    </row>
    <row r="61" spans="1:93" x14ac:dyDescent="0.3">
      <c r="A61" s="255">
        <f>'Raw Data'!A14</f>
        <v>0</v>
      </c>
      <c r="B61" s="276" t="str">
        <f t="shared" si="67"/>
        <v xml:space="preserve"> </v>
      </c>
      <c r="C61" s="276" t="str">
        <f t="shared" si="81"/>
        <v xml:space="preserve"> </v>
      </c>
      <c r="D61" s="276" t="str">
        <f t="shared" si="81"/>
        <v xml:space="preserve"> </v>
      </c>
      <c r="E61" s="276" t="str">
        <f t="shared" si="81"/>
        <v xml:space="preserve"> </v>
      </c>
      <c r="F61" s="276" t="str">
        <f t="shared" si="81"/>
        <v xml:space="preserve"> </v>
      </c>
      <c r="G61" s="276" t="str">
        <f t="shared" si="81"/>
        <v xml:space="preserve"> </v>
      </c>
      <c r="H61" s="276" t="str">
        <f t="shared" si="81"/>
        <v xml:space="preserve"> </v>
      </c>
      <c r="I61" s="276" t="str">
        <f t="shared" si="81"/>
        <v xml:space="preserve"> </v>
      </c>
      <c r="J61" s="276" t="str">
        <f t="shared" si="81"/>
        <v xml:space="preserve"> </v>
      </c>
      <c r="K61" s="276" t="str">
        <f t="shared" si="81"/>
        <v xml:space="preserve"> </v>
      </c>
      <c r="L61" s="276" t="str">
        <f t="shared" si="81"/>
        <v xml:space="preserve"> </v>
      </c>
      <c r="M61" s="276" t="str">
        <f t="shared" si="81"/>
        <v xml:space="preserve"> </v>
      </c>
      <c r="N61" s="276" t="str">
        <f t="shared" si="81"/>
        <v xml:space="preserve"> </v>
      </c>
      <c r="O61" s="276" t="str">
        <f t="shared" si="81"/>
        <v xml:space="preserve"> </v>
      </c>
      <c r="P61" s="276" t="str">
        <f t="shared" si="81"/>
        <v xml:space="preserve"> </v>
      </c>
      <c r="Q61" s="276" t="str">
        <f t="shared" si="81"/>
        <v xml:space="preserve"> </v>
      </c>
      <c r="R61" s="276" t="str">
        <f t="shared" si="81"/>
        <v xml:space="preserve"> </v>
      </c>
      <c r="S61" s="276" t="str">
        <f t="shared" si="81"/>
        <v xml:space="preserve"> </v>
      </c>
      <c r="T61" s="276" t="str">
        <f t="shared" si="81"/>
        <v xml:space="preserve"> </v>
      </c>
      <c r="U61" s="276" t="str">
        <f t="shared" si="81"/>
        <v xml:space="preserve"> </v>
      </c>
      <c r="V61" s="276" t="str">
        <f t="shared" si="81"/>
        <v xml:space="preserve"> </v>
      </c>
      <c r="W61" s="276" t="str">
        <f t="shared" si="81"/>
        <v xml:space="preserve"> </v>
      </c>
      <c r="X61" s="276" t="str">
        <f t="shared" si="81"/>
        <v xml:space="preserve"> </v>
      </c>
      <c r="Y61" s="276" t="str">
        <f t="shared" si="81"/>
        <v xml:space="preserve"> </v>
      </c>
      <c r="Z61" s="276" t="str">
        <f t="shared" si="81"/>
        <v xml:space="preserve"> </v>
      </c>
      <c r="AA61" s="276" t="str">
        <f t="shared" si="81"/>
        <v xml:space="preserve"> </v>
      </c>
      <c r="AB61" s="276" t="str">
        <f t="shared" si="81"/>
        <v xml:space="preserve"> </v>
      </c>
      <c r="AC61" s="276" t="str">
        <f t="shared" si="81"/>
        <v xml:space="preserve"> </v>
      </c>
      <c r="AD61" s="276" t="str">
        <f t="shared" si="81"/>
        <v xml:space="preserve"> </v>
      </c>
      <c r="AE61" s="276" t="str">
        <f t="shared" si="81"/>
        <v xml:space="preserve"> </v>
      </c>
      <c r="AF61" s="276" t="str">
        <f t="shared" si="81"/>
        <v xml:space="preserve"> </v>
      </c>
      <c r="AG61" s="276" t="str">
        <f t="shared" si="81"/>
        <v xml:space="preserve"> </v>
      </c>
      <c r="AH61" s="276" t="str">
        <f t="shared" si="81"/>
        <v xml:space="preserve"> </v>
      </c>
      <c r="AI61" s="276" t="str">
        <f t="shared" si="81"/>
        <v xml:space="preserve"> </v>
      </c>
      <c r="AJ61" s="276" t="str">
        <f t="shared" si="81"/>
        <v xml:space="preserve"> </v>
      </c>
      <c r="AK61" s="276" t="str">
        <f t="shared" si="81"/>
        <v xml:space="preserve"> </v>
      </c>
      <c r="AL61" s="276" t="str">
        <f t="shared" si="81"/>
        <v xml:space="preserve"> </v>
      </c>
      <c r="AM61" s="276" t="str">
        <f t="shared" si="81"/>
        <v xml:space="preserve"> </v>
      </c>
      <c r="AN61" s="276" t="str">
        <f t="shared" si="81"/>
        <v xml:space="preserve"> </v>
      </c>
      <c r="AO61" s="276" t="str">
        <f t="shared" si="81"/>
        <v xml:space="preserve"> </v>
      </c>
      <c r="AP61" s="276" t="str">
        <f t="shared" si="81"/>
        <v xml:space="preserve"> </v>
      </c>
      <c r="AQ61" s="276" t="str">
        <f t="shared" si="81"/>
        <v xml:space="preserve"> </v>
      </c>
      <c r="AR61" s="276" t="str">
        <f t="shared" si="81"/>
        <v xml:space="preserve"> </v>
      </c>
      <c r="AS61" s="276" t="str">
        <f t="shared" si="81"/>
        <v xml:space="preserve"> </v>
      </c>
      <c r="AT61" s="276" t="str">
        <f t="shared" si="81"/>
        <v xml:space="preserve"> </v>
      </c>
      <c r="AU61" s="276" t="str">
        <f t="shared" si="81"/>
        <v xml:space="preserve"> </v>
      </c>
      <c r="AV61" s="276" t="str">
        <f t="shared" si="81"/>
        <v xml:space="preserve"> </v>
      </c>
      <c r="AW61" s="276" t="str">
        <f t="shared" si="81"/>
        <v xml:space="preserve"> </v>
      </c>
      <c r="AX61" s="276" t="str">
        <f t="shared" si="81"/>
        <v xml:space="preserve"> </v>
      </c>
      <c r="AY61" s="276" t="str">
        <f t="shared" si="81"/>
        <v xml:space="preserve"> </v>
      </c>
      <c r="AZ61" s="276" t="str">
        <f t="shared" si="81"/>
        <v xml:space="preserve"> </v>
      </c>
      <c r="BA61" s="276" t="str">
        <f t="shared" si="81"/>
        <v xml:space="preserve"> </v>
      </c>
      <c r="BB61" s="276" t="str">
        <f t="shared" si="81"/>
        <v xml:space="preserve"> </v>
      </c>
      <c r="BC61" s="276" t="str">
        <f t="shared" si="81"/>
        <v xml:space="preserve"> </v>
      </c>
      <c r="BD61" s="276" t="str">
        <f t="shared" si="81"/>
        <v xml:space="preserve"> </v>
      </c>
      <c r="BE61" s="276" t="str">
        <f t="shared" si="81"/>
        <v xml:space="preserve"> </v>
      </c>
      <c r="BF61" s="276" t="str">
        <f t="shared" si="81"/>
        <v xml:space="preserve"> </v>
      </c>
      <c r="BG61" s="276" t="str">
        <f t="shared" si="81"/>
        <v xml:space="preserve"> </v>
      </c>
      <c r="BH61" s="276" t="str">
        <f t="shared" si="81"/>
        <v xml:space="preserve"> </v>
      </c>
      <c r="BI61" s="276" t="str">
        <f t="shared" si="81"/>
        <v xml:space="preserve"> </v>
      </c>
      <c r="BJ61" s="276" t="str">
        <f t="shared" si="81"/>
        <v xml:space="preserve"> </v>
      </c>
      <c r="BK61" s="276" t="str">
        <f t="shared" si="81"/>
        <v xml:space="preserve"> </v>
      </c>
      <c r="BL61" s="276" t="str">
        <f t="shared" si="81"/>
        <v xml:space="preserve"> </v>
      </c>
      <c r="BM61" s="276" t="str">
        <f t="shared" si="81"/>
        <v xml:space="preserve"> </v>
      </c>
      <c r="BN61" s="276" t="str">
        <f t="shared" si="81"/>
        <v xml:space="preserve"> </v>
      </c>
      <c r="BO61" s="276" t="str">
        <f t="shared" si="79"/>
        <v xml:space="preserve"> </v>
      </c>
      <c r="BP61" s="276" t="str">
        <f t="shared" si="79"/>
        <v xml:space="preserve"> </v>
      </c>
      <c r="BQ61" s="276" t="str">
        <f t="shared" si="79"/>
        <v xml:space="preserve"> </v>
      </c>
      <c r="BR61" s="276" t="str">
        <f t="shared" si="79"/>
        <v xml:space="preserve"> </v>
      </c>
      <c r="BS61" s="276" t="str">
        <f t="shared" si="79"/>
        <v xml:space="preserve"> </v>
      </c>
      <c r="BT61" s="276" t="str">
        <f t="shared" si="79"/>
        <v xml:space="preserve"> </v>
      </c>
      <c r="BU61" s="276" t="str">
        <f t="shared" si="79"/>
        <v xml:space="preserve"> </v>
      </c>
      <c r="BV61" s="276" t="str">
        <f t="shared" si="79"/>
        <v xml:space="preserve"> </v>
      </c>
      <c r="BW61" s="276" t="str">
        <f t="shared" si="79"/>
        <v xml:space="preserve"> </v>
      </c>
      <c r="BX61" s="276" t="str">
        <f t="shared" si="79"/>
        <v xml:space="preserve"> </v>
      </c>
      <c r="BY61" s="276" t="str">
        <f t="shared" si="79"/>
        <v xml:space="preserve"> </v>
      </c>
      <c r="BZ61" s="276" t="str">
        <f t="shared" si="79"/>
        <v xml:space="preserve"> </v>
      </c>
      <c r="CA61" s="276" t="str">
        <f t="shared" ref="CA61" si="84">IF(ISERROR(STANDARDIZE(CA31,CA$3,CA$4))," ",STANDARDIZE(CA31,CA$3,CA$4))</f>
        <v xml:space="preserve"> </v>
      </c>
      <c r="CB61" s="288" t="str">
        <f>IF(INDEX('Raw Data'!$A14:$EA14,MATCH(CB$19,RawData[#Headers],))=""," ",INDEX('Raw Data'!$A14:$EA14,MATCH(CB$19,RawData[#Headers],)))</f>
        <v xml:space="preserve"> </v>
      </c>
      <c r="CD61" s="276" t="str">
        <f>IF(B61=" ",zscores[[#This Row],[Cohesion ROI]],SUMXMY2($B61:$CA61,$B$9:$CA$9))</f>
        <v xml:space="preserve"> </v>
      </c>
      <c r="CE61" s="276" t="str">
        <f>IF(B61=" ",zscores[[#This Row],[Best Fixed Odds]],SUMXMY2($B61:$CA61,$B$10:$CA$10))</f>
        <v xml:space="preserve"> </v>
      </c>
      <c r="CF61" s="276" t="str">
        <f>IF(B61=" ",zscores[[#This Row],[Trainer 12 Months ROI]],SUMXMY2($B61:$CA61,$B$11:$CA$11))</f>
        <v xml:space="preserve"> </v>
      </c>
      <c r="CG61" s="276" t="str">
        <f>IF(B61=" ",zscores[[#This Row],[Jockey This Season ROI]],SUMXMY2($B61:$CA61,$B$12:$CA$12))</f>
        <v xml:space="preserve"> </v>
      </c>
      <c r="CH61" s="276"/>
      <c r="CI61" s="276"/>
      <c r="CJ61" s="276"/>
      <c r="CK61" s="289">
        <f>IF(ISERROR(MIN(dataDistance[#This Row]))," ",MIN(dataDistance[#This Row]))</f>
        <v>0</v>
      </c>
      <c r="CM61" s="290" t="str">
        <f>IFERROR(MATCH(CK61,dataDistance[#This Row],0)," ")</f>
        <v xml:space="preserve"> </v>
      </c>
      <c r="CN61" s="289" t="str">
        <f>IF(CK61=0," ",IF(ISERROR(MIN(dataDistance[#This Row]))," ",MIN(dataDistance[#This Row])))</f>
        <v xml:space="preserve"> </v>
      </c>
      <c r="CO61" s="289" t="str">
        <f>IF(CN61=" "," ",zscores[[#This Row],[Num]])</f>
        <v xml:space="preserve"> </v>
      </c>
    </row>
    <row r="62" spans="1:93" x14ac:dyDescent="0.3">
      <c r="A62" s="255">
        <f>'Raw Data'!A15</f>
        <v>0</v>
      </c>
      <c r="B62" s="276" t="str">
        <f t="shared" si="67"/>
        <v xml:space="preserve"> </v>
      </c>
      <c r="C62" s="276" t="str">
        <f t="shared" si="81"/>
        <v xml:space="preserve"> </v>
      </c>
      <c r="D62" s="276" t="str">
        <f t="shared" si="81"/>
        <v xml:space="preserve"> </v>
      </c>
      <c r="E62" s="276" t="str">
        <f t="shared" si="81"/>
        <v xml:space="preserve"> </v>
      </c>
      <c r="F62" s="276" t="str">
        <f t="shared" si="81"/>
        <v xml:space="preserve"> </v>
      </c>
      <c r="G62" s="276" t="str">
        <f t="shared" si="81"/>
        <v xml:space="preserve"> </v>
      </c>
      <c r="H62" s="276" t="str">
        <f t="shared" si="81"/>
        <v xml:space="preserve"> </v>
      </c>
      <c r="I62" s="276" t="str">
        <f t="shared" si="81"/>
        <v xml:space="preserve"> </v>
      </c>
      <c r="J62" s="276" t="str">
        <f t="shared" si="81"/>
        <v xml:space="preserve"> </v>
      </c>
      <c r="K62" s="276" t="str">
        <f t="shared" si="81"/>
        <v xml:space="preserve"> </v>
      </c>
      <c r="L62" s="276" t="str">
        <f t="shared" si="81"/>
        <v xml:space="preserve"> </v>
      </c>
      <c r="M62" s="276" t="str">
        <f t="shared" si="81"/>
        <v xml:space="preserve"> </v>
      </c>
      <c r="N62" s="276" t="str">
        <f t="shared" si="81"/>
        <v xml:space="preserve"> </v>
      </c>
      <c r="O62" s="276" t="str">
        <f t="shared" si="81"/>
        <v xml:space="preserve"> </v>
      </c>
      <c r="P62" s="276" t="str">
        <f t="shared" si="81"/>
        <v xml:space="preserve"> </v>
      </c>
      <c r="Q62" s="276" t="str">
        <f t="shared" si="81"/>
        <v xml:space="preserve"> </v>
      </c>
      <c r="R62" s="276" t="str">
        <f t="shared" si="81"/>
        <v xml:space="preserve"> </v>
      </c>
      <c r="S62" s="276" t="str">
        <f t="shared" si="81"/>
        <v xml:space="preserve"> </v>
      </c>
      <c r="T62" s="276" t="str">
        <f t="shared" si="81"/>
        <v xml:space="preserve"> </v>
      </c>
      <c r="U62" s="276" t="str">
        <f t="shared" si="81"/>
        <v xml:space="preserve"> </v>
      </c>
      <c r="V62" s="276" t="str">
        <f t="shared" si="81"/>
        <v xml:space="preserve"> </v>
      </c>
      <c r="W62" s="276" t="str">
        <f t="shared" si="81"/>
        <v xml:space="preserve"> </v>
      </c>
      <c r="X62" s="276" t="str">
        <f t="shared" si="81"/>
        <v xml:space="preserve"> </v>
      </c>
      <c r="Y62" s="276" t="str">
        <f t="shared" si="81"/>
        <v xml:space="preserve"> </v>
      </c>
      <c r="Z62" s="276" t="str">
        <f t="shared" si="81"/>
        <v xml:space="preserve"> </v>
      </c>
      <c r="AA62" s="276" t="str">
        <f t="shared" si="81"/>
        <v xml:space="preserve"> </v>
      </c>
      <c r="AB62" s="276" t="str">
        <f t="shared" si="81"/>
        <v xml:space="preserve"> </v>
      </c>
      <c r="AC62" s="276" t="str">
        <f t="shared" si="81"/>
        <v xml:space="preserve"> </v>
      </c>
      <c r="AD62" s="276" t="str">
        <f t="shared" si="81"/>
        <v xml:space="preserve"> </v>
      </c>
      <c r="AE62" s="276" t="str">
        <f t="shared" si="81"/>
        <v xml:space="preserve"> </v>
      </c>
      <c r="AF62" s="276" t="str">
        <f t="shared" si="81"/>
        <v xml:space="preserve"> </v>
      </c>
      <c r="AG62" s="276" t="str">
        <f t="shared" si="81"/>
        <v xml:space="preserve"> </v>
      </c>
      <c r="AH62" s="276" t="str">
        <f t="shared" si="81"/>
        <v xml:space="preserve"> </v>
      </c>
      <c r="AI62" s="276" t="str">
        <f t="shared" si="81"/>
        <v xml:space="preserve"> </v>
      </c>
      <c r="AJ62" s="276" t="str">
        <f t="shared" si="81"/>
        <v xml:space="preserve"> </v>
      </c>
      <c r="AK62" s="276" t="str">
        <f t="shared" si="81"/>
        <v xml:space="preserve"> </v>
      </c>
      <c r="AL62" s="276" t="str">
        <f t="shared" si="81"/>
        <v xml:space="preserve"> </v>
      </c>
      <c r="AM62" s="276" t="str">
        <f t="shared" si="81"/>
        <v xml:space="preserve"> </v>
      </c>
      <c r="AN62" s="276" t="str">
        <f t="shared" si="81"/>
        <v xml:space="preserve"> </v>
      </c>
      <c r="AO62" s="276" t="str">
        <f t="shared" si="81"/>
        <v xml:space="preserve"> </v>
      </c>
      <c r="AP62" s="276" t="str">
        <f t="shared" si="81"/>
        <v xml:space="preserve"> </v>
      </c>
      <c r="AQ62" s="276" t="str">
        <f t="shared" si="81"/>
        <v xml:space="preserve"> </v>
      </c>
      <c r="AR62" s="276" t="str">
        <f t="shared" si="81"/>
        <v xml:space="preserve"> </v>
      </c>
      <c r="AS62" s="276" t="str">
        <f t="shared" si="81"/>
        <v xml:space="preserve"> </v>
      </c>
      <c r="AT62" s="276" t="str">
        <f t="shared" si="81"/>
        <v xml:space="preserve"> </v>
      </c>
      <c r="AU62" s="276" t="str">
        <f t="shared" si="81"/>
        <v xml:space="preserve"> </v>
      </c>
      <c r="AV62" s="276" t="str">
        <f t="shared" si="81"/>
        <v xml:space="preserve"> </v>
      </c>
      <c r="AW62" s="276" t="str">
        <f t="shared" si="81"/>
        <v xml:space="preserve"> </v>
      </c>
      <c r="AX62" s="276" t="str">
        <f t="shared" si="81"/>
        <v xml:space="preserve"> </v>
      </c>
      <c r="AY62" s="276" t="str">
        <f t="shared" si="81"/>
        <v xml:space="preserve"> </v>
      </c>
      <c r="AZ62" s="276" t="str">
        <f t="shared" si="81"/>
        <v xml:space="preserve"> </v>
      </c>
      <c r="BA62" s="276" t="str">
        <f t="shared" si="81"/>
        <v xml:space="preserve"> </v>
      </c>
      <c r="BB62" s="276" t="str">
        <f t="shared" si="81"/>
        <v xml:space="preserve"> </v>
      </c>
      <c r="BC62" s="276" t="str">
        <f t="shared" si="81"/>
        <v xml:space="preserve"> </v>
      </c>
      <c r="BD62" s="276" t="str">
        <f t="shared" si="81"/>
        <v xml:space="preserve"> </v>
      </c>
      <c r="BE62" s="276" t="str">
        <f t="shared" si="81"/>
        <v xml:space="preserve"> </v>
      </c>
      <c r="BF62" s="276" t="str">
        <f t="shared" si="81"/>
        <v xml:space="preserve"> </v>
      </c>
      <c r="BG62" s="276" t="str">
        <f t="shared" si="81"/>
        <v xml:space="preserve"> </v>
      </c>
      <c r="BH62" s="276" t="str">
        <f t="shared" si="81"/>
        <v xml:space="preserve"> </v>
      </c>
      <c r="BI62" s="276" t="str">
        <f t="shared" si="81"/>
        <v xml:space="preserve"> </v>
      </c>
      <c r="BJ62" s="276" t="str">
        <f t="shared" si="81"/>
        <v xml:space="preserve"> </v>
      </c>
      <c r="BK62" s="276" t="str">
        <f t="shared" si="81"/>
        <v xml:space="preserve"> </v>
      </c>
      <c r="BL62" s="276" t="str">
        <f t="shared" si="81"/>
        <v xml:space="preserve"> </v>
      </c>
      <c r="BM62" s="276" t="str">
        <f t="shared" si="81"/>
        <v xml:space="preserve"> </v>
      </c>
      <c r="BN62" s="276" t="str">
        <f t="shared" ref="BN62:BZ65" si="85">IF(ISERROR(STANDARDIZE(BN32,BN$3,BN$4))," ",STANDARDIZE(BN32,BN$3,BN$4))</f>
        <v xml:space="preserve"> </v>
      </c>
      <c r="BO62" s="276" t="str">
        <f t="shared" si="85"/>
        <v xml:space="preserve"> </v>
      </c>
      <c r="BP62" s="276" t="str">
        <f t="shared" si="85"/>
        <v xml:space="preserve"> </v>
      </c>
      <c r="BQ62" s="276" t="str">
        <f t="shared" si="85"/>
        <v xml:space="preserve"> </v>
      </c>
      <c r="BR62" s="276" t="str">
        <f t="shared" si="85"/>
        <v xml:space="preserve"> </v>
      </c>
      <c r="BS62" s="276" t="str">
        <f t="shared" si="85"/>
        <v xml:space="preserve"> </v>
      </c>
      <c r="BT62" s="276" t="str">
        <f t="shared" si="85"/>
        <v xml:space="preserve"> </v>
      </c>
      <c r="BU62" s="276" t="str">
        <f t="shared" si="85"/>
        <v xml:space="preserve"> </v>
      </c>
      <c r="BV62" s="276" t="str">
        <f t="shared" si="85"/>
        <v xml:space="preserve"> </v>
      </c>
      <c r="BW62" s="276" t="str">
        <f t="shared" si="85"/>
        <v xml:space="preserve"> </v>
      </c>
      <c r="BX62" s="276" t="str">
        <f t="shared" si="85"/>
        <v xml:space="preserve"> </v>
      </c>
      <c r="BY62" s="276" t="str">
        <f t="shared" si="85"/>
        <v xml:space="preserve"> </v>
      </c>
      <c r="BZ62" s="276" t="str">
        <f t="shared" si="85"/>
        <v xml:space="preserve"> </v>
      </c>
      <c r="CA62" s="276" t="str">
        <f t="shared" ref="CA62" si="86">IF(ISERROR(STANDARDIZE(CA32,CA$3,CA$4))," ",STANDARDIZE(CA32,CA$3,CA$4))</f>
        <v xml:space="preserve"> </v>
      </c>
      <c r="CB62" s="288" t="str">
        <f>IF(INDEX('Raw Data'!$A15:$EA15,MATCH(CB$19,RawData[#Headers],))=""," ",INDEX('Raw Data'!$A15:$EA15,MATCH(CB$19,RawData[#Headers],)))</f>
        <v xml:space="preserve"> </v>
      </c>
      <c r="CD62" s="276" t="str">
        <f>IF(B62=" ",zscores[[#This Row],[Cohesion ROI]],SUMXMY2($B62:$CA62,$B$9:$CA$9))</f>
        <v xml:space="preserve"> </v>
      </c>
      <c r="CE62" s="276" t="str">
        <f>IF(B62=" ",zscores[[#This Row],[Best Fixed Odds]],SUMXMY2($B62:$CA62,$B$10:$CA$10))</f>
        <v xml:space="preserve"> </v>
      </c>
      <c r="CF62" s="276" t="str">
        <f>IF(B62=" ",zscores[[#This Row],[Trainer 12 Months ROI]],SUMXMY2($B62:$CA62,$B$11:$CA$11))</f>
        <v xml:space="preserve"> </v>
      </c>
      <c r="CG62" s="276" t="str">
        <f>IF(B62=" ",zscores[[#This Row],[Jockey This Season ROI]],SUMXMY2($B62:$CA62,$B$12:$CA$12))</f>
        <v xml:space="preserve"> </v>
      </c>
      <c r="CH62" s="276"/>
      <c r="CI62" s="276"/>
      <c r="CJ62" s="276"/>
      <c r="CK62" s="289">
        <f>IF(ISERROR(MIN(dataDistance[#This Row]))," ",MIN(dataDistance[#This Row]))</f>
        <v>0</v>
      </c>
      <c r="CM62" s="290" t="str">
        <f>IFERROR(MATCH(CK62,dataDistance[#This Row],0)," ")</f>
        <v xml:space="preserve"> </v>
      </c>
      <c r="CN62" s="289" t="str">
        <f>IF(CK62=0," ",IF(ISERROR(MIN(dataDistance[#This Row]))," ",MIN(dataDistance[#This Row])))</f>
        <v xml:space="preserve"> </v>
      </c>
      <c r="CO62" s="289" t="str">
        <f>IF(CN62=" "," ",zscores[[#This Row],[Num]])</f>
        <v xml:space="preserve"> </v>
      </c>
    </row>
    <row r="63" spans="1:93" x14ac:dyDescent="0.3">
      <c r="A63" s="255">
        <f>'Raw Data'!A16</f>
        <v>0</v>
      </c>
      <c r="B63" s="276" t="str">
        <f t="shared" si="67"/>
        <v xml:space="preserve"> </v>
      </c>
      <c r="C63" s="276" t="str">
        <f t="shared" ref="C63:BN66" si="87">IF(ISERROR(STANDARDIZE(C33,C$3,C$4))," ",STANDARDIZE(C33,C$3,C$4))</f>
        <v xml:space="preserve"> </v>
      </c>
      <c r="D63" s="276" t="str">
        <f t="shared" si="87"/>
        <v xml:space="preserve"> </v>
      </c>
      <c r="E63" s="276" t="str">
        <f t="shared" si="87"/>
        <v xml:space="preserve"> </v>
      </c>
      <c r="F63" s="276" t="str">
        <f t="shared" si="87"/>
        <v xml:space="preserve"> </v>
      </c>
      <c r="G63" s="276" t="str">
        <f t="shared" si="87"/>
        <v xml:space="preserve"> </v>
      </c>
      <c r="H63" s="276" t="str">
        <f t="shared" si="87"/>
        <v xml:space="preserve"> </v>
      </c>
      <c r="I63" s="276" t="str">
        <f t="shared" si="87"/>
        <v xml:space="preserve"> </v>
      </c>
      <c r="J63" s="276" t="str">
        <f t="shared" si="87"/>
        <v xml:space="preserve"> </v>
      </c>
      <c r="K63" s="276" t="str">
        <f t="shared" si="87"/>
        <v xml:space="preserve"> </v>
      </c>
      <c r="L63" s="276" t="str">
        <f t="shared" si="87"/>
        <v xml:space="preserve"> </v>
      </c>
      <c r="M63" s="276" t="str">
        <f t="shared" si="87"/>
        <v xml:space="preserve"> </v>
      </c>
      <c r="N63" s="276" t="str">
        <f t="shared" si="87"/>
        <v xml:space="preserve"> </v>
      </c>
      <c r="O63" s="276" t="str">
        <f t="shared" si="87"/>
        <v xml:space="preserve"> </v>
      </c>
      <c r="P63" s="276" t="str">
        <f t="shared" si="87"/>
        <v xml:space="preserve"> </v>
      </c>
      <c r="Q63" s="276" t="str">
        <f t="shared" si="87"/>
        <v xml:space="preserve"> </v>
      </c>
      <c r="R63" s="276" t="str">
        <f t="shared" si="87"/>
        <v xml:space="preserve"> </v>
      </c>
      <c r="S63" s="276" t="str">
        <f t="shared" si="87"/>
        <v xml:space="preserve"> </v>
      </c>
      <c r="T63" s="276" t="str">
        <f t="shared" si="87"/>
        <v xml:space="preserve"> </v>
      </c>
      <c r="U63" s="276" t="str">
        <f t="shared" si="87"/>
        <v xml:space="preserve"> </v>
      </c>
      <c r="V63" s="276" t="str">
        <f t="shared" si="87"/>
        <v xml:space="preserve"> </v>
      </c>
      <c r="W63" s="276" t="str">
        <f t="shared" si="87"/>
        <v xml:space="preserve"> </v>
      </c>
      <c r="X63" s="276" t="str">
        <f t="shared" si="87"/>
        <v xml:space="preserve"> </v>
      </c>
      <c r="Y63" s="276" t="str">
        <f t="shared" si="87"/>
        <v xml:space="preserve"> </v>
      </c>
      <c r="Z63" s="276" t="str">
        <f t="shared" si="87"/>
        <v xml:space="preserve"> </v>
      </c>
      <c r="AA63" s="276" t="str">
        <f t="shared" si="87"/>
        <v xml:space="preserve"> </v>
      </c>
      <c r="AB63" s="276" t="str">
        <f t="shared" si="87"/>
        <v xml:space="preserve"> </v>
      </c>
      <c r="AC63" s="276" t="str">
        <f t="shared" si="87"/>
        <v xml:space="preserve"> </v>
      </c>
      <c r="AD63" s="276" t="str">
        <f t="shared" si="87"/>
        <v xml:space="preserve"> </v>
      </c>
      <c r="AE63" s="276" t="str">
        <f t="shared" si="87"/>
        <v xml:space="preserve"> </v>
      </c>
      <c r="AF63" s="276" t="str">
        <f t="shared" si="87"/>
        <v xml:space="preserve"> </v>
      </c>
      <c r="AG63" s="276" t="str">
        <f t="shared" si="87"/>
        <v xml:space="preserve"> </v>
      </c>
      <c r="AH63" s="276" t="str">
        <f t="shared" si="87"/>
        <v xml:space="preserve"> </v>
      </c>
      <c r="AI63" s="276" t="str">
        <f t="shared" si="87"/>
        <v xml:space="preserve"> </v>
      </c>
      <c r="AJ63" s="276" t="str">
        <f t="shared" si="87"/>
        <v xml:space="preserve"> </v>
      </c>
      <c r="AK63" s="276" t="str">
        <f t="shared" si="87"/>
        <v xml:space="preserve"> </v>
      </c>
      <c r="AL63" s="276" t="str">
        <f t="shared" si="87"/>
        <v xml:space="preserve"> </v>
      </c>
      <c r="AM63" s="276" t="str">
        <f t="shared" si="87"/>
        <v xml:space="preserve"> </v>
      </c>
      <c r="AN63" s="276" t="str">
        <f t="shared" si="87"/>
        <v xml:space="preserve"> </v>
      </c>
      <c r="AO63" s="276" t="str">
        <f t="shared" si="87"/>
        <v xml:space="preserve"> </v>
      </c>
      <c r="AP63" s="276" t="str">
        <f t="shared" si="87"/>
        <v xml:space="preserve"> </v>
      </c>
      <c r="AQ63" s="276" t="str">
        <f t="shared" si="87"/>
        <v xml:space="preserve"> </v>
      </c>
      <c r="AR63" s="276" t="str">
        <f t="shared" si="87"/>
        <v xml:space="preserve"> </v>
      </c>
      <c r="AS63" s="276" t="str">
        <f t="shared" si="87"/>
        <v xml:space="preserve"> </v>
      </c>
      <c r="AT63" s="276" t="str">
        <f t="shared" si="87"/>
        <v xml:space="preserve"> </v>
      </c>
      <c r="AU63" s="276" t="str">
        <f t="shared" si="87"/>
        <v xml:space="preserve"> </v>
      </c>
      <c r="AV63" s="276" t="str">
        <f t="shared" si="87"/>
        <v xml:space="preserve"> </v>
      </c>
      <c r="AW63" s="276" t="str">
        <f t="shared" si="87"/>
        <v xml:space="preserve"> </v>
      </c>
      <c r="AX63" s="276" t="str">
        <f t="shared" si="87"/>
        <v xml:space="preserve"> </v>
      </c>
      <c r="AY63" s="276" t="str">
        <f t="shared" si="87"/>
        <v xml:space="preserve"> </v>
      </c>
      <c r="AZ63" s="276" t="str">
        <f t="shared" si="87"/>
        <v xml:space="preserve"> </v>
      </c>
      <c r="BA63" s="276" t="str">
        <f t="shared" si="87"/>
        <v xml:space="preserve"> </v>
      </c>
      <c r="BB63" s="276" t="str">
        <f t="shared" si="87"/>
        <v xml:space="preserve"> </v>
      </c>
      <c r="BC63" s="276" t="str">
        <f t="shared" si="87"/>
        <v xml:space="preserve"> </v>
      </c>
      <c r="BD63" s="276" t="str">
        <f t="shared" si="87"/>
        <v xml:space="preserve"> </v>
      </c>
      <c r="BE63" s="276" t="str">
        <f t="shared" si="87"/>
        <v xml:space="preserve"> </v>
      </c>
      <c r="BF63" s="276" t="str">
        <f t="shared" si="87"/>
        <v xml:space="preserve"> </v>
      </c>
      <c r="BG63" s="276" t="str">
        <f t="shared" si="87"/>
        <v xml:space="preserve"> </v>
      </c>
      <c r="BH63" s="276" t="str">
        <f t="shared" si="87"/>
        <v xml:space="preserve"> </v>
      </c>
      <c r="BI63" s="276" t="str">
        <f t="shared" si="87"/>
        <v xml:space="preserve"> </v>
      </c>
      <c r="BJ63" s="276" t="str">
        <f t="shared" si="87"/>
        <v xml:space="preserve"> </v>
      </c>
      <c r="BK63" s="276" t="str">
        <f t="shared" si="87"/>
        <v xml:space="preserve"> </v>
      </c>
      <c r="BL63" s="276" t="str">
        <f t="shared" si="87"/>
        <v xml:space="preserve"> </v>
      </c>
      <c r="BM63" s="276" t="str">
        <f t="shared" si="87"/>
        <v xml:space="preserve"> </v>
      </c>
      <c r="BN63" s="276" t="str">
        <f t="shared" si="87"/>
        <v xml:space="preserve"> </v>
      </c>
      <c r="BO63" s="276" t="str">
        <f t="shared" si="85"/>
        <v xml:space="preserve"> </v>
      </c>
      <c r="BP63" s="276" t="str">
        <f t="shared" si="85"/>
        <v xml:space="preserve"> </v>
      </c>
      <c r="BQ63" s="276" t="str">
        <f t="shared" si="85"/>
        <v xml:space="preserve"> </v>
      </c>
      <c r="BR63" s="276" t="str">
        <f t="shared" si="85"/>
        <v xml:space="preserve"> </v>
      </c>
      <c r="BS63" s="276" t="str">
        <f t="shared" si="85"/>
        <v xml:space="preserve"> </v>
      </c>
      <c r="BT63" s="276" t="str">
        <f t="shared" si="85"/>
        <v xml:space="preserve"> </v>
      </c>
      <c r="BU63" s="276" t="str">
        <f t="shared" si="85"/>
        <v xml:space="preserve"> </v>
      </c>
      <c r="BV63" s="276" t="str">
        <f t="shared" si="85"/>
        <v xml:space="preserve"> </v>
      </c>
      <c r="BW63" s="276" t="str">
        <f t="shared" si="85"/>
        <v xml:space="preserve"> </v>
      </c>
      <c r="BX63" s="276" t="str">
        <f t="shared" si="85"/>
        <v xml:space="preserve"> </v>
      </c>
      <c r="BY63" s="276" t="str">
        <f t="shared" si="85"/>
        <v xml:space="preserve"> </v>
      </c>
      <c r="BZ63" s="276" t="str">
        <f t="shared" si="85"/>
        <v xml:space="preserve"> </v>
      </c>
      <c r="CA63" s="276" t="str">
        <f t="shared" ref="CA63" si="88">IF(ISERROR(STANDARDIZE(CA33,CA$3,CA$4))," ",STANDARDIZE(CA33,CA$3,CA$4))</f>
        <v xml:space="preserve"> </v>
      </c>
      <c r="CB63" s="288" t="str">
        <f>IF(INDEX('Raw Data'!$A16:$EA16,MATCH(CB$19,RawData[#Headers],))=""," ",INDEX('Raw Data'!$A16:$EA16,MATCH(CB$19,RawData[#Headers],)))</f>
        <v xml:space="preserve"> </v>
      </c>
      <c r="CD63" s="276" t="str">
        <f>IF(B63=" ",zscores[[#This Row],[Cohesion ROI]],SUMXMY2($B63:$CA63,$B$9:$CA$9))</f>
        <v xml:space="preserve"> </v>
      </c>
      <c r="CE63" s="276" t="str">
        <f>IF(B63=" ",zscores[[#This Row],[Best Fixed Odds]],SUMXMY2($B63:$CA63,$B$10:$CA$10))</f>
        <v xml:space="preserve"> </v>
      </c>
      <c r="CF63" s="276" t="str">
        <f>IF(B63=" ",zscores[[#This Row],[Trainer 12 Months ROI]],SUMXMY2($B63:$CA63,$B$11:$CA$11))</f>
        <v xml:space="preserve"> </v>
      </c>
      <c r="CG63" s="276" t="str">
        <f>IF(B63=" ",zscores[[#This Row],[Jockey This Season ROI]],SUMXMY2($B63:$CA63,$B$12:$CA$12))</f>
        <v xml:space="preserve"> </v>
      </c>
      <c r="CH63" s="276"/>
      <c r="CI63" s="276"/>
      <c r="CJ63" s="276"/>
      <c r="CK63" s="289">
        <f>IF(ISERROR(MIN(dataDistance[#This Row]))," ",MIN(dataDistance[#This Row]))</f>
        <v>0</v>
      </c>
      <c r="CM63" s="290" t="str">
        <f>IFERROR(MATCH(CK63,dataDistance[#This Row],0)," ")</f>
        <v xml:space="preserve"> </v>
      </c>
      <c r="CN63" s="289" t="str">
        <f>IF(CK63=0," ",IF(ISERROR(MIN(dataDistance[#This Row]))," ",MIN(dataDistance[#This Row])))</f>
        <v xml:space="preserve"> </v>
      </c>
      <c r="CO63" s="289" t="str">
        <f>IF(CN63=" "," ",zscores[[#This Row],[Num]])</f>
        <v xml:space="preserve"> </v>
      </c>
    </row>
    <row r="64" spans="1:93" x14ac:dyDescent="0.3">
      <c r="A64" s="255">
        <f>'Raw Data'!A17</f>
        <v>0</v>
      </c>
      <c r="B64" s="276" t="str">
        <f t="shared" si="67"/>
        <v xml:space="preserve"> </v>
      </c>
      <c r="C64" s="276" t="str">
        <f t="shared" si="87"/>
        <v xml:space="preserve"> </v>
      </c>
      <c r="D64" s="276" t="str">
        <f t="shared" si="87"/>
        <v xml:space="preserve"> </v>
      </c>
      <c r="E64" s="276" t="str">
        <f t="shared" si="87"/>
        <v xml:space="preserve"> </v>
      </c>
      <c r="F64" s="276" t="str">
        <f t="shared" si="87"/>
        <v xml:space="preserve"> </v>
      </c>
      <c r="G64" s="276" t="str">
        <f t="shared" si="87"/>
        <v xml:space="preserve"> </v>
      </c>
      <c r="H64" s="276" t="str">
        <f t="shared" si="87"/>
        <v xml:space="preserve"> </v>
      </c>
      <c r="I64" s="276" t="str">
        <f t="shared" si="87"/>
        <v xml:space="preserve"> </v>
      </c>
      <c r="J64" s="276" t="str">
        <f t="shared" si="87"/>
        <v xml:space="preserve"> </v>
      </c>
      <c r="K64" s="276" t="str">
        <f t="shared" si="87"/>
        <v xml:space="preserve"> </v>
      </c>
      <c r="L64" s="276" t="str">
        <f t="shared" si="87"/>
        <v xml:space="preserve"> </v>
      </c>
      <c r="M64" s="276" t="str">
        <f t="shared" si="87"/>
        <v xml:space="preserve"> </v>
      </c>
      <c r="N64" s="276" t="str">
        <f t="shared" si="87"/>
        <v xml:space="preserve"> </v>
      </c>
      <c r="O64" s="276" t="str">
        <f t="shared" si="87"/>
        <v xml:space="preserve"> </v>
      </c>
      <c r="P64" s="276" t="str">
        <f t="shared" si="87"/>
        <v xml:space="preserve"> </v>
      </c>
      <c r="Q64" s="276" t="str">
        <f t="shared" si="87"/>
        <v xml:space="preserve"> </v>
      </c>
      <c r="R64" s="276" t="str">
        <f t="shared" si="87"/>
        <v xml:space="preserve"> </v>
      </c>
      <c r="S64" s="276" t="str">
        <f t="shared" si="87"/>
        <v xml:space="preserve"> </v>
      </c>
      <c r="T64" s="276" t="str">
        <f t="shared" si="87"/>
        <v xml:space="preserve"> </v>
      </c>
      <c r="U64" s="276" t="str">
        <f t="shared" si="87"/>
        <v xml:space="preserve"> </v>
      </c>
      <c r="V64" s="276" t="str">
        <f t="shared" si="87"/>
        <v xml:space="preserve"> </v>
      </c>
      <c r="W64" s="276" t="str">
        <f t="shared" si="87"/>
        <v xml:space="preserve"> </v>
      </c>
      <c r="X64" s="276" t="str">
        <f t="shared" si="87"/>
        <v xml:space="preserve"> </v>
      </c>
      <c r="Y64" s="276" t="str">
        <f t="shared" si="87"/>
        <v xml:space="preserve"> </v>
      </c>
      <c r="Z64" s="276" t="str">
        <f t="shared" si="87"/>
        <v xml:space="preserve"> </v>
      </c>
      <c r="AA64" s="276" t="str">
        <f t="shared" si="87"/>
        <v xml:space="preserve"> </v>
      </c>
      <c r="AB64" s="276" t="str">
        <f t="shared" si="87"/>
        <v xml:space="preserve"> </v>
      </c>
      <c r="AC64" s="276" t="str">
        <f t="shared" si="87"/>
        <v xml:space="preserve"> </v>
      </c>
      <c r="AD64" s="276" t="str">
        <f t="shared" si="87"/>
        <v xml:space="preserve"> </v>
      </c>
      <c r="AE64" s="276" t="str">
        <f t="shared" si="87"/>
        <v xml:space="preserve"> </v>
      </c>
      <c r="AF64" s="276" t="str">
        <f t="shared" si="87"/>
        <v xml:space="preserve"> </v>
      </c>
      <c r="AG64" s="276" t="str">
        <f t="shared" si="87"/>
        <v xml:space="preserve"> </v>
      </c>
      <c r="AH64" s="276" t="str">
        <f t="shared" si="87"/>
        <v xml:space="preserve"> </v>
      </c>
      <c r="AI64" s="276" t="str">
        <f t="shared" si="87"/>
        <v xml:space="preserve"> </v>
      </c>
      <c r="AJ64" s="276" t="str">
        <f t="shared" si="87"/>
        <v xml:space="preserve"> </v>
      </c>
      <c r="AK64" s="276" t="str">
        <f t="shared" si="87"/>
        <v xml:space="preserve"> </v>
      </c>
      <c r="AL64" s="276" t="str">
        <f t="shared" si="87"/>
        <v xml:space="preserve"> </v>
      </c>
      <c r="AM64" s="276" t="str">
        <f t="shared" si="87"/>
        <v xml:space="preserve"> </v>
      </c>
      <c r="AN64" s="276" t="str">
        <f t="shared" si="87"/>
        <v xml:space="preserve"> </v>
      </c>
      <c r="AO64" s="276" t="str">
        <f t="shared" si="87"/>
        <v xml:space="preserve"> </v>
      </c>
      <c r="AP64" s="276" t="str">
        <f t="shared" si="87"/>
        <v xml:space="preserve"> </v>
      </c>
      <c r="AQ64" s="276" t="str">
        <f t="shared" si="87"/>
        <v xml:space="preserve"> </v>
      </c>
      <c r="AR64" s="276" t="str">
        <f t="shared" si="87"/>
        <v xml:space="preserve"> </v>
      </c>
      <c r="AS64" s="276" t="str">
        <f t="shared" si="87"/>
        <v xml:space="preserve"> </v>
      </c>
      <c r="AT64" s="276" t="str">
        <f t="shared" si="87"/>
        <v xml:space="preserve"> </v>
      </c>
      <c r="AU64" s="276" t="str">
        <f t="shared" si="87"/>
        <v xml:space="preserve"> </v>
      </c>
      <c r="AV64" s="276" t="str">
        <f t="shared" si="87"/>
        <v xml:space="preserve"> </v>
      </c>
      <c r="AW64" s="276" t="str">
        <f t="shared" si="87"/>
        <v xml:space="preserve"> </v>
      </c>
      <c r="AX64" s="276" t="str">
        <f t="shared" si="87"/>
        <v xml:space="preserve"> </v>
      </c>
      <c r="AY64" s="276" t="str">
        <f t="shared" si="87"/>
        <v xml:space="preserve"> </v>
      </c>
      <c r="AZ64" s="276" t="str">
        <f t="shared" si="87"/>
        <v xml:space="preserve"> </v>
      </c>
      <c r="BA64" s="276" t="str">
        <f t="shared" si="87"/>
        <v xml:space="preserve"> </v>
      </c>
      <c r="BB64" s="276" t="str">
        <f t="shared" si="87"/>
        <v xml:space="preserve"> </v>
      </c>
      <c r="BC64" s="276" t="str">
        <f t="shared" si="87"/>
        <v xml:space="preserve"> </v>
      </c>
      <c r="BD64" s="276" t="str">
        <f t="shared" si="87"/>
        <v xml:space="preserve"> </v>
      </c>
      <c r="BE64" s="276" t="str">
        <f t="shared" si="87"/>
        <v xml:space="preserve"> </v>
      </c>
      <c r="BF64" s="276" t="str">
        <f t="shared" si="87"/>
        <v xml:space="preserve"> </v>
      </c>
      <c r="BG64" s="276" t="str">
        <f t="shared" si="87"/>
        <v xml:space="preserve"> </v>
      </c>
      <c r="BH64" s="276" t="str">
        <f t="shared" si="87"/>
        <v xml:space="preserve"> </v>
      </c>
      <c r="BI64" s="276" t="str">
        <f t="shared" si="87"/>
        <v xml:space="preserve"> </v>
      </c>
      <c r="BJ64" s="276" t="str">
        <f t="shared" si="87"/>
        <v xml:space="preserve"> </v>
      </c>
      <c r="BK64" s="276" t="str">
        <f t="shared" si="87"/>
        <v xml:space="preserve"> </v>
      </c>
      <c r="BL64" s="276" t="str">
        <f t="shared" si="87"/>
        <v xml:space="preserve"> </v>
      </c>
      <c r="BM64" s="276" t="str">
        <f t="shared" si="87"/>
        <v xml:space="preserve"> </v>
      </c>
      <c r="BN64" s="276" t="str">
        <f t="shared" si="87"/>
        <v xml:space="preserve"> </v>
      </c>
      <c r="BO64" s="276" t="str">
        <f t="shared" si="85"/>
        <v xml:space="preserve"> </v>
      </c>
      <c r="BP64" s="276" t="str">
        <f t="shared" si="85"/>
        <v xml:space="preserve"> </v>
      </c>
      <c r="BQ64" s="276" t="str">
        <f t="shared" si="85"/>
        <v xml:space="preserve"> </v>
      </c>
      <c r="BR64" s="276" t="str">
        <f t="shared" si="85"/>
        <v xml:space="preserve"> </v>
      </c>
      <c r="BS64" s="276" t="str">
        <f t="shared" si="85"/>
        <v xml:space="preserve"> </v>
      </c>
      <c r="BT64" s="276" t="str">
        <f t="shared" si="85"/>
        <v xml:space="preserve"> </v>
      </c>
      <c r="BU64" s="276" t="str">
        <f t="shared" si="85"/>
        <v xml:space="preserve"> </v>
      </c>
      <c r="BV64" s="276" t="str">
        <f t="shared" si="85"/>
        <v xml:space="preserve"> </v>
      </c>
      <c r="BW64" s="276" t="str">
        <f t="shared" si="85"/>
        <v xml:space="preserve"> </v>
      </c>
      <c r="BX64" s="276" t="str">
        <f t="shared" si="85"/>
        <v xml:space="preserve"> </v>
      </c>
      <c r="BY64" s="276" t="str">
        <f t="shared" si="85"/>
        <v xml:space="preserve"> </v>
      </c>
      <c r="BZ64" s="276" t="str">
        <f t="shared" si="85"/>
        <v xml:space="preserve"> </v>
      </c>
      <c r="CA64" s="276" t="str">
        <f t="shared" ref="CA64" si="89">IF(ISERROR(STANDARDIZE(CA34,CA$3,CA$4))," ",STANDARDIZE(CA34,CA$3,CA$4))</f>
        <v xml:space="preserve"> </v>
      </c>
      <c r="CB64" s="288" t="str">
        <f>IF(INDEX('Raw Data'!$A17:$EA17,MATCH(CB$19,RawData[#Headers],))=""," ",INDEX('Raw Data'!$A17:$EA17,MATCH(CB$19,RawData[#Headers],)))</f>
        <v xml:space="preserve"> </v>
      </c>
      <c r="CD64" s="276" t="str">
        <f>IF(B64=" ",zscores[[#This Row],[Cohesion ROI]],SUMXMY2($B64:$CA64,$B$9:$CA$9))</f>
        <v xml:space="preserve"> </v>
      </c>
      <c r="CE64" s="276" t="str">
        <f>IF(B64=" ",zscores[[#This Row],[Best Fixed Odds]],SUMXMY2($B64:$CA64,$B$10:$CA$10))</f>
        <v xml:space="preserve"> </v>
      </c>
      <c r="CF64" s="276" t="str">
        <f>IF(B64=" ",zscores[[#This Row],[Trainer 12 Months ROI]],SUMXMY2($B64:$CA64,$B$11:$CA$11))</f>
        <v xml:space="preserve"> </v>
      </c>
      <c r="CG64" s="276" t="str">
        <f>IF(B64=" ",zscores[[#This Row],[Jockey This Season ROI]],SUMXMY2($B64:$CA64,$B$12:$CA$12))</f>
        <v xml:space="preserve"> </v>
      </c>
      <c r="CH64" s="276"/>
      <c r="CI64" s="276"/>
      <c r="CJ64" s="276"/>
      <c r="CK64" s="289">
        <f>IF(ISERROR(MIN(dataDistance[#This Row]))," ",MIN(dataDistance[#This Row]))</f>
        <v>0</v>
      </c>
      <c r="CM64" s="290" t="str">
        <f>IFERROR(MATCH(CK64,dataDistance[#This Row],0)," ")</f>
        <v xml:space="preserve"> </v>
      </c>
      <c r="CN64" s="289" t="str">
        <f>IF(CK64=0," ",IF(ISERROR(MIN(dataDistance[#This Row]))," ",MIN(dataDistance[#This Row])))</f>
        <v xml:space="preserve"> </v>
      </c>
      <c r="CO64" s="289" t="str">
        <f>IF(CN64=" "," ",zscores[[#This Row],[Num]])</f>
        <v xml:space="preserve"> </v>
      </c>
    </row>
    <row r="65" spans="1:93" x14ac:dyDescent="0.3">
      <c r="A65" s="255">
        <f>'Raw Data'!A18</f>
        <v>0</v>
      </c>
      <c r="B65" s="276" t="str">
        <f t="shared" si="67"/>
        <v xml:space="preserve"> </v>
      </c>
      <c r="C65" s="276" t="str">
        <f t="shared" si="87"/>
        <v xml:space="preserve"> </v>
      </c>
      <c r="D65" s="276" t="str">
        <f t="shared" si="87"/>
        <v xml:space="preserve"> </v>
      </c>
      <c r="E65" s="276" t="str">
        <f t="shared" si="87"/>
        <v xml:space="preserve"> </v>
      </c>
      <c r="F65" s="276" t="str">
        <f t="shared" si="87"/>
        <v xml:space="preserve"> </v>
      </c>
      <c r="G65" s="276" t="str">
        <f t="shared" si="87"/>
        <v xml:space="preserve"> </v>
      </c>
      <c r="H65" s="276" t="str">
        <f t="shared" si="87"/>
        <v xml:space="preserve"> </v>
      </c>
      <c r="I65" s="276" t="str">
        <f t="shared" si="87"/>
        <v xml:space="preserve"> </v>
      </c>
      <c r="J65" s="276" t="str">
        <f t="shared" si="87"/>
        <v xml:space="preserve"> </v>
      </c>
      <c r="K65" s="276" t="str">
        <f t="shared" si="87"/>
        <v xml:space="preserve"> </v>
      </c>
      <c r="L65" s="276" t="str">
        <f t="shared" si="87"/>
        <v xml:space="preserve"> </v>
      </c>
      <c r="M65" s="276" t="str">
        <f t="shared" si="87"/>
        <v xml:space="preserve"> </v>
      </c>
      <c r="N65" s="276" t="str">
        <f t="shared" si="87"/>
        <v xml:space="preserve"> </v>
      </c>
      <c r="O65" s="276" t="str">
        <f t="shared" si="87"/>
        <v xml:space="preserve"> </v>
      </c>
      <c r="P65" s="276" t="str">
        <f t="shared" si="87"/>
        <v xml:space="preserve"> </v>
      </c>
      <c r="Q65" s="276" t="str">
        <f t="shared" si="87"/>
        <v xml:space="preserve"> </v>
      </c>
      <c r="R65" s="276" t="str">
        <f t="shared" si="87"/>
        <v xml:space="preserve"> </v>
      </c>
      <c r="S65" s="276" t="str">
        <f t="shared" si="87"/>
        <v xml:space="preserve"> </v>
      </c>
      <c r="T65" s="276" t="str">
        <f t="shared" si="87"/>
        <v xml:space="preserve"> </v>
      </c>
      <c r="U65" s="276" t="str">
        <f t="shared" si="87"/>
        <v xml:space="preserve"> </v>
      </c>
      <c r="V65" s="276" t="str">
        <f t="shared" si="87"/>
        <v xml:space="preserve"> </v>
      </c>
      <c r="W65" s="276" t="str">
        <f t="shared" si="87"/>
        <v xml:space="preserve"> </v>
      </c>
      <c r="X65" s="276" t="str">
        <f t="shared" si="87"/>
        <v xml:space="preserve"> </v>
      </c>
      <c r="Y65" s="276" t="str">
        <f t="shared" si="87"/>
        <v xml:space="preserve"> </v>
      </c>
      <c r="Z65" s="276" t="str">
        <f t="shared" si="87"/>
        <v xml:space="preserve"> </v>
      </c>
      <c r="AA65" s="276" t="str">
        <f t="shared" si="87"/>
        <v xml:space="preserve"> </v>
      </c>
      <c r="AB65" s="276" t="str">
        <f t="shared" si="87"/>
        <v xml:space="preserve"> </v>
      </c>
      <c r="AC65" s="276" t="str">
        <f t="shared" si="87"/>
        <v xml:space="preserve"> </v>
      </c>
      <c r="AD65" s="276" t="str">
        <f t="shared" si="87"/>
        <v xml:space="preserve"> </v>
      </c>
      <c r="AE65" s="276" t="str">
        <f t="shared" si="87"/>
        <v xml:space="preserve"> </v>
      </c>
      <c r="AF65" s="276" t="str">
        <f t="shared" si="87"/>
        <v xml:space="preserve"> </v>
      </c>
      <c r="AG65" s="276" t="str">
        <f t="shared" si="87"/>
        <v xml:space="preserve"> </v>
      </c>
      <c r="AH65" s="276" t="str">
        <f t="shared" si="87"/>
        <v xml:space="preserve"> </v>
      </c>
      <c r="AI65" s="276" t="str">
        <f t="shared" si="87"/>
        <v xml:space="preserve"> </v>
      </c>
      <c r="AJ65" s="276" t="str">
        <f t="shared" si="87"/>
        <v xml:space="preserve"> </v>
      </c>
      <c r="AK65" s="276" t="str">
        <f t="shared" si="87"/>
        <v xml:space="preserve"> </v>
      </c>
      <c r="AL65" s="276" t="str">
        <f t="shared" si="87"/>
        <v xml:space="preserve"> </v>
      </c>
      <c r="AM65" s="276" t="str">
        <f t="shared" si="87"/>
        <v xml:space="preserve"> </v>
      </c>
      <c r="AN65" s="276" t="str">
        <f t="shared" si="87"/>
        <v xml:space="preserve"> </v>
      </c>
      <c r="AO65" s="276" t="str">
        <f t="shared" si="87"/>
        <v xml:space="preserve"> </v>
      </c>
      <c r="AP65" s="276" t="str">
        <f t="shared" si="87"/>
        <v xml:space="preserve"> </v>
      </c>
      <c r="AQ65" s="276" t="str">
        <f t="shared" si="87"/>
        <v xml:space="preserve"> </v>
      </c>
      <c r="AR65" s="276" t="str">
        <f t="shared" si="87"/>
        <v xml:space="preserve"> </v>
      </c>
      <c r="AS65" s="276" t="str">
        <f t="shared" si="87"/>
        <v xml:space="preserve"> </v>
      </c>
      <c r="AT65" s="276" t="str">
        <f t="shared" si="87"/>
        <v xml:space="preserve"> </v>
      </c>
      <c r="AU65" s="276" t="str">
        <f t="shared" si="87"/>
        <v xml:space="preserve"> </v>
      </c>
      <c r="AV65" s="276" t="str">
        <f t="shared" si="87"/>
        <v xml:space="preserve"> </v>
      </c>
      <c r="AW65" s="276" t="str">
        <f t="shared" si="87"/>
        <v xml:space="preserve"> </v>
      </c>
      <c r="AX65" s="276" t="str">
        <f t="shared" si="87"/>
        <v xml:space="preserve"> </v>
      </c>
      <c r="AY65" s="276" t="str">
        <f t="shared" si="87"/>
        <v xml:space="preserve"> </v>
      </c>
      <c r="AZ65" s="276" t="str">
        <f t="shared" si="87"/>
        <v xml:space="preserve"> </v>
      </c>
      <c r="BA65" s="276" t="str">
        <f t="shared" si="87"/>
        <v xml:space="preserve"> </v>
      </c>
      <c r="BB65" s="276" t="str">
        <f t="shared" si="87"/>
        <v xml:space="preserve"> </v>
      </c>
      <c r="BC65" s="276" t="str">
        <f t="shared" si="87"/>
        <v xml:space="preserve"> </v>
      </c>
      <c r="BD65" s="276" t="str">
        <f t="shared" si="87"/>
        <v xml:space="preserve"> </v>
      </c>
      <c r="BE65" s="276" t="str">
        <f t="shared" si="87"/>
        <v xml:space="preserve"> </v>
      </c>
      <c r="BF65" s="276" t="str">
        <f t="shared" si="87"/>
        <v xml:space="preserve"> </v>
      </c>
      <c r="BG65" s="276" t="str">
        <f t="shared" si="87"/>
        <v xml:space="preserve"> </v>
      </c>
      <c r="BH65" s="276" t="str">
        <f t="shared" si="87"/>
        <v xml:space="preserve"> </v>
      </c>
      <c r="BI65" s="276" t="str">
        <f t="shared" si="87"/>
        <v xml:space="preserve"> </v>
      </c>
      <c r="BJ65" s="276" t="str">
        <f t="shared" si="87"/>
        <v xml:space="preserve"> </v>
      </c>
      <c r="BK65" s="276" t="str">
        <f t="shared" si="87"/>
        <v xml:space="preserve"> </v>
      </c>
      <c r="BL65" s="276" t="str">
        <f t="shared" si="87"/>
        <v xml:space="preserve"> </v>
      </c>
      <c r="BM65" s="276" t="str">
        <f t="shared" si="87"/>
        <v xml:space="preserve"> </v>
      </c>
      <c r="BN65" s="276" t="str">
        <f t="shared" si="87"/>
        <v xml:space="preserve"> </v>
      </c>
      <c r="BO65" s="276" t="str">
        <f t="shared" si="85"/>
        <v xml:space="preserve"> </v>
      </c>
      <c r="BP65" s="276" t="str">
        <f t="shared" si="85"/>
        <v xml:space="preserve"> </v>
      </c>
      <c r="BQ65" s="276" t="str">
        <f t="shared" si="85"/>
        <v xml:space="preserve"> </v>
      </c>
      <c r="BR65" s="276" t="str">
        <f t="shared" si="85"/>
        <v xml:space="preserve"> </v>
      </c>
      <c r="BS65" s="276" t="str">
        <f t="shared" si="85"/>
        <v xml:space="preserve"> </v>
      </c>
      <c r="BT65" s="276" t="str">
        <f t="shared" si="85"/>
        <v xml:space="preserve"> </v>
      </c>
      <c r="BU65" s="276" t="str">
        <f t="shared" si="85"/>
        <v xml:space="preserve"> </v>
      </c>
      <c r="BV65" s="276" t="str">
        <f t="shared" si="85"/>
        <v xml:space="preserve"> </v>
      </c>
      <c r="BW65" s="276" t="str">
        <f t="shared" si="85"/>
        <v xml:space="preserve"> </v>
      </c>
      <c r="BX65" s="276" t="str">
        <f t="shared" si="85"/>
        <v xml:space="preserve"> </v>
      </c>
      <c r="BY65" s="276" t="str">
        <f t="shared" si="85"/>
        <v xml:space="preserve"> </v>
      </c>
      <c r="BZ65" s="276" t="str">
        <f t="shared" si="85"/>
        <v xml:space="preserve"> </v>
      </c>
      <c r="CA65" s="276" t="str">
        <f t="shared" ref="CA65" si="90">IF(ISERROR(STANDARDIZE(CA35,CA$3,CA$4))," ",STANDARDIZE(CA35,CA$3,CA$4))</f>
        <v xml:space="preserve"> </v>
      </c>
      <c r="CB65" s="288" t="str">
        <f>IF(INDEX('Raw Data'!$A18:$EA18,MATCH(CB$19,RawData[#Headers],))=""," ",INDEX('Raw Data'!$A18:$EA18,MATCH(CB$19,RawData[#Headers],)))</f>
        <v xml:space="preserve"> </v>
      </c>
      <c r="CD65" s="276" t="str">
        <f>IF(B65=" ",zscores[[#This Row],[Cohesion ROI]],SUMXMY2($B65:$CA65,$B$9:$CA$9))</f>
        <v xml:space="preserve"> </v>
      </c>
      <c r="CE65" s="276" t="str">
        <f>IF(B65=" ",zscores[[#This Row],[Best Fixed Odds]],SUMXMY2($B65:$CA65,$B$10:$CA$10))</f>
        <v xml:space="preserve"> </v>
      </c>
      <c r="CF65" s="276" t="str">
        <f>IF(B65=" ",zscores[[#This Row],[Trainer 12 Months ROI]],SUMXMY2($B65:$CA65,$B$11:$CA$11))</f>
        <v xml:space="preserve"> </v>
      </c>
      <c r="CG65" s="276" t="str">
        <f>IF(B65=" ",zscores[[#This Row],[Jockey This Season ROI]],SUMXMY2($B65:$CA65,$B$12:$CA$12))</f>
        <v xml:space="preserve"> </v>
      </c>
      <c r="CH65" s="276"/>
      <c r="CI65" s="276"/>
      <c r="CJ65" s="276"/>
      <c r="CK65" s="289">
        <f>IF(ISERROR(MIN(dataDistance[#This Row]))," ",MIN(dataDistance[#This Row]))</f>
        <v>0</v>
      </c>
      <c r="CM65" s="290" t="str">
        <f>IFERROR(MATCH(CK65,dataDistance[#This Row],0)," ")</f>
        <v xml:space="preserve"> </v>
      </c>
      <c r="CN65" s="289" t="str">
        <f>IF(CK65=0," ",IF(ISERROR(MIN(dataDistance[#This Row]))," ",MIN(dataDistance[#This Row])))</f>
        <v xml:space="preserve"> </v>
      </c>
      <c r="CO65" s="289" t="str">
        <f>IF(CN65=" "," ",zscores[[#This Row],[Num]])</f>
        <v xml:space="preserve"> </v>
      </c>
    </row>
    <row r="66" spans="1:93" x14ac:dyDescent="0.3">
      <c r="A66" s="255">
        <f>'Raw Data'!A19</f>
        <v>0</v>
      </c>
      <c r="B66" s="276" t="str">
        <f t="shared" si="67"/>
        <v xml:space="preserve"> </v>
      </c>
      <c r="C66" s="276" t="str">
        <f t="shared" si="87"/>
        <v xml:space="preserve"> </v>
      </c>
      <c r="D66" s="276" t="str">
        <f t="shared" si="87"/>
        <v xml:space="preserve"> </v>
      </c>
      <c r="E66" s="276" t="str">
        <f t="shared" si="87"/>
        <v xml:space="preserve"> </v>
      </c>
      <c r="F66" s="276" t="str">
        <f t="shared" si="87"/>
        <v xml:space="preserve"> </v>
      </c>
      <c r="G66" s="276" t="str">
        <f t="shared" si="87"/>
        <v xml:space="preserve"> </v>
      </c>
      <c r="H66" s="276" t="str">
        <f t="shared" si="87"/>
        <v xml:space="preserve"> </v>
      </c>
      <c r="I66" s="276" t="str">
        <f t="shared" si="87"/>
        <v xml:space="preserve"> </v>
      </c>
      <c r="J66" s="276" t="str">
        <f t="shared" si="87"/>
        <v xml:space="preserve"> </v>
      </c>
      <c r="K66" s="276" t="str">
        <f t="shared" si="87"/>
        <v xml:space="preserve"> </v>
      </c>
      <c r="L66" s="276" t="str">
        <f t="shared" si="87"/>
        <v xml:space="preserve"> </v>
      </c>
      <c r="M66" s="276" t="str">
        <f t="shared" si="87"/>
        <v xml:space="preserve"> </v>
      </c>
      <c r="N66" s="276" t="str">
        <f t="shared" si="87"/>
        <v xml:space="preserve"> </v>
      </c>
      <c r="O66" s="276" t="str">
        <f t="shared" si="87"/>
        <v xml:space="preserve"> </v>
      </c>
      <c r="P66" s="276" t="str">
        <f t="shared" si="87"/>
        <v xml:space="preserve"> </v>
      </c>
      <c r="Q66" s="276" t="str">
        <f t="shared" si="87"/>
        <v xml:space="preserve"> </v>
      </c>
      <c r="R66" s="276" t="str">
        <f t="shared" si="87"/>
        <v xml:space="preserve"> </v>
      </c>
      <c r="S66" s="276" t="str">
        <f t="shared" si="87"/>
        <v xml:space="preserve"> </v>
      </c>
      <c r="T66" s="276" t="str">
        <f t="shared" si="87"/>
        <v xml:space="preserve"> </v>
      </c>
      <c r="U66" s="276" t="str">
        <f t="shared" si="87"/>
        <v xml:space="preserve"> </v>
      </c>
      <c r="V66" s="276" t="str">
        <f t="shared" si="87"/>
        <v xml:space="preserve"> </v>
      </c>
      <c r="W66" s="276" t="str">
        <f t="shared" si="87"/>
        <v xml:space="preserve"> </v>
      </c>
      <c r="X66" s="276" t="str">
        <f t="shared" si="87"/>
        <v xml:space="preserve"> </v>
      </c>
      <c r="Y66" s="276" t="str">
        <f t="shared" si="87"/>
        <v xml:space="preserve"> </v>
      </c>
      <c r="Z66" s="276" t="str">
        <f t="shared" si="87"/>
        <v xml:space="preserve"> </v>
      </c>
      <c r="AA66" s="276" t="str">
        <f t="shared" si="87"/>
        <v xml:space="preserve"> </v>
      </c>
      <c r="AB66" s="276" t="str">
        <f t="shared" si="87"/>
        <v xml:space="preserve"> </v>
      </c>
      <c r="AC66" s="276" t="str">
        <f t="shared" si="87"/>
        <v xml:space="preserve"> </v>
      </c>
      <c r="AD66" s="276" t="str">
        <f t="shared" si="87"/>
        <v xml:space="preserve"> </v>
      </c>
      <c r="AE66" s="276" t="str">
        <f t="shared" si="87"/>
        <v xml:space="preserve"> </v>
      </c>
      <c r="AF66" s="276" t="str">
        <f t="shared" si="87"/>
        <v xml:space="preserve"> </v>
      </c>
      <c r="AG66" s="276" t="str">
        <f t="shared" si="87"/>
        <v xml:space="preserve"> </v>
      </c>
      <c r="AH66" s="276" t="str">
        <f t="shared" si="87"/>
        <v xml:space="preserve"> </v>
      </c>
      <c r="AI66" s="276" t="str">
        <f t="shared" si="87"/>
        <v xml:space="preserve"> </v>
      </c>
      <c r="AJ66" s="276" t="str">
        <f t="shared" si="87"/>
        <v xml:space="preserve"> </v>
      </c>
      <c r="AK66" s="276" t="str">
        <f t="shared" si="87"/>
        <v xml:space="preserve"> </v>
      </c>
      <c r="AL66" s="276" t="str">
        <f t="shared" si="87"/>
        <v xml:space="preserve"> </v>
      </c>
      <c r="AM66" s="276" t="str">
        <f t="shared" si="87"/>
        <v xml:space="preserve"> </v>
      </c>
      <c r="AN66" s="276" t="str">
        <f t="shared" si="87"/>
        <v xml:space="preserve"> </v>
      </c>
      <c r="AO66" s="276" t="str">
        <f t="shared" si="87"/>
        <v xml:space="preserve"> </v>
      </c>
      <c r="AP66" s="276" t="str">
        <f t="shared" si="87"/>
        <v xml:space="preserve"> </v>
      </c>
      <c r="AQ66" s="276" t="str">
        <f t="shared" si="87"/>
        <v xml:space="preserve"> </v>
      </c>
      <c r="AR66" s="276" t="str">
        <f t="shared" si="87"/>
        <v xml:space="preserve"> </v>
      </c>
      <c r="AS66" s="276" t="str">
        <f t="shared" si="87"/>
        <v xml:space="preserve"> </v>
      </c>
      <c r="AT66" s="276" t="str">
        <f t="shared" si="87"/>
        <v xml:space="preserve"> </v>
      </c>
      <c r="AU66" s="276" t="str">
        <f t="shared" si="87"/>
        <v xml:space="preserve"> </v>
      </c>
      <c r="AV66" s="276" t="str">
        <f t="shared" si="87"/>
        <v xml:space="preserve"> </v>
      </c>
      <c r="AW66" s="276" t="str">
        <f t="shared" si="87"/>
        <v xml:space="preserve"> </v>
      </c>
      <c r="AX66" s="276" t="str">
        <f t="shared" si="87"/>
        <v xml:space="preserve"> </v>
      </c>
      <c r="AY66" s="276" t="str">
        <f t="shared" si="87"/>
        <v xml:space="preserve"> </v>
      </c>
      <c r="AZ66" s="276" t="str">
        <f t="shared" si="87"/>
        <v xml:space="preserve"> </v>
      </c>
      <c r="BA66" s="276" t="str">
        <f t="shared" si="87"/>
        <v xml:space="preserve"> </v>
      </c>
      <c r="BB66" s="276" t="str">
        <f t="shared" si="87"/>
        <v xml:space="preserve"> </v>
      </c>
      <c r="BC66" s="276" t="str">
        <f t="shared" si="87"/>
        <v xml:space="preserve"> </v>
      </c>
      <c r="BD66" s="276" t="str">
        <f t="shared" si="87"/>
        <v xml:space="preserve"> </v>
      </c>
      <c r="BE66" s="276" t="str">
        <f t="shared" si="87"/>
        <v xml:space="preserve"> </v>
      </c>
      <c r="BF66" s="276" t="str">
        <f t="shared" si="87"/>
        <v xml:space="preserve"> </v>
      </c>
      <c r="BG66" s="276" t="str">
        <f t="shared" si="87"/>
        <v xml:space="preserve"> </v>
      </c>
      <c r="BH66" s="276" t="str">
        <f t="shared" si="87"/>
        <v xml:space="preserve"> </v>
      </c>
      <c r="BI66" s="276" t="str">
        <f t="shared" si="87"/>
        <v xml:space="preserve"> </v>
      </c>
      <c r="BJ66" s="276" t="str">
        <f t="shared" si="87"/>
        <v xml:space="preserve"> </v>
      </c>
      <c r="BK66" s="276" t="str">
        <f t="shared" si="87"/>
        <v xml:space="preserve"> </v>
      </c>
      <c r="BL66" s="276" t="str">
        <f t="shared" si="87"/>
        <v xml:space="preserve"> </v>
      </c>
      <c r="BM66" s="276" t="str">
        <f t="shared" si="87"/>
        <v xml:space="preserve"> </v>
      </c>
      <c r="BN66" s="276" t="str">
        <f t="shared" ref="BN66:BZ69" si="91">IF(ISERROR(STANDARDIZE(BN36,BN$3,BN$4))," ",STANDARDIZE(BN36,BN$3,BN$4))</f>
        <v xml:space="preserve"> </v>
      </c>
      <c r="BO66" s="276" t="str">
        <f t="shared" si="91"/>
        <v xml:space="preserve"> </v>
      </c>
      <c r="BP66" s="276" t="str">
        <f t="shared" si="91"/>
        <v xml:space="preserve"> </v>
      </c>
      <c r="BQ66" s="276" t="str">
        <f t="shared" si="91"/>
        <v xml:space="preserve"> </v>
      </c>
      <c r="BR66" s="276" t="str">
        <f t="shared" si="91"/>
        <v xml:space="preserve"> </v>
      </c>
      <c r="BS66" s="276" t="str">
        <f t="shared" si="91"/>
        <v xml:space="preserve"> </v>
      </c>
      <c r="BT66" s="276" t="str">
        <f t="shared" si="91"/>
        <v xml:space="preserve"> </v>
      </c>
      <c r="BU66" s="276" t="str">
        <f t="shared" si="91"/>
        <v xml:space="preserve"> </v>
      </c>
      <c r="BV66" s="276" t="str">
        <f t="shared" si="91"/>
        <v xml:space="preserve"> </v>
      </c>
      <c r="BW66" s="276" t="str">
        <f t="shared" si="91"/>
        <v xml:space="preserve"> </v>
      </c>
      <c r="BX66" s="276" t="str">
        <f t="shared" si="91"/>
        <v xml:space="preserve"> </v>
      </c>
      <c r="BY66" s="276" t="str">
        <f t="shared" si="91"/>
        <v xml:space="preserve"> </v>
      </c>
      <c r="BZ66" s="276" t="str">
        <f t="shared" si="91"/>
        <v xml:space="preserve"> </v>
      </c>
      <c r="CA66" s="276" t="str">
        <f t="shared" ref="CA66" si="92">IF(ISERROR(STANDARDIZE(CA36,CA$3,CA$4))," ",STANDARDIZE(CA36,CA$3,CA$4))</f>
        <v xml:space="preserve"> </v>
      </c>
      <c r="CB66" s="288" t="str">
        <f>IF(INDEX('Raw Data'!$A19:$EA19,MATCH(CB$19,RawData[#Headers],))=""," ",INDEX('Raw Data'!$A19:$EA19,MATCH(CB$19,RawData[#Headers],)))</f>
        <v xml:space="preserve"> </v>
      </c>
      <c r="CD66" s="276" t="str">
        <f>IF(B66=" ",zscores[[#This Row],[Cohesion ROI]],SUMXMY2($B66:$CA66,$B$9:$CA$9))</f>
        <v xml:space="preserve"> </v>
      </c>
      <c r="CE66" s="276" t="str">
        <f>IF(B66=" ",zscores[[#This Row],[Best Fixed Odds]],SUMXMY2($B66:$CA66,$B$10:$CA$10))</f>
        <v xml:space="preserve"> </v>
      </c>
      <c r="CF66" s="276" t="str">
        <f>IF(B66=" ",zscores[[#This Row],[Trainer 12 Months ROI]],SUMXMY2($B66:$CA66,$B$11:$CA$11))</f>
        <v xml:space="preserve"> </v>
      </c>
      <c r="CG66" s="276" t="str">
        <f>IF(B66=" ",zscores[[#This Row],[Jockey This Season ROI]],SUMXMY2($B66:$CA66,$B$12:$CA$12))</f>
        <v xml:space="preserve"> </v>
      </c>
      <c r="CH66" s="276"/>
      <c r="CI66" s="276"/>
      <c r="CJ66" s="276"/>
      <c r="CK66" s="289">
        <f>IF(ISERROR(MIN(dataDistance[#This Row]))," ",MIN(dataDistance[#This Row]))</f>
        <v>0</v>
      </c>
      <c r="CM66" s="290" t="str">
        <f>IFERROR(MATCH(CK66,dataDistance[#This Row],0)," ")</f>
        <v xml:space="preserve"> </v>
      </c>
      <c r="CN66" s="289" t="str">
        <f>IF(CK66=0," ",IF(ISERROR(MIN(dataDistance[#This Row]))," ",MIN(dataDistance[#This Row])))</f>
        <v xml:space="preserve"> </v>
      </c>
      <c r="CO66" s="289" t="str">
        <f>IF(CN66=" "," ",zscores[[#This Row],[Num]])</f>
        <v xml:space="preserve"> </v>
      </c>
    </row>
    <row r="67" spans="1:93" x14ac:dyDescent="0.3">
      <c r="A67" s="255">
        <f>'Raw Data'!A20</f>
        <v>0</v>
      </c>
      <c r="B67" s="276" t="str">
        <f t="shared" si="67"/>
        <v xml:space="preserve"> </v>
      </c>
      <c r="C67" s="276" t="str">
        <f t="shared" ref="C67:BN70" si="93">IF(ISERROR(STANDARDIZE(C37,C$3,C$4))," ",STANDARDIZE(C37,C$3,C$4))</f>
        <v xml:space="preserve"> </v>
      </c>
      <c r="D67" s="276" t="str">
        <f t="shared" si="93"/>
        <v xml:space="preserve"> </v>
      </c>
      <c r="E67" s="276" t="str">
        <f t="shared" si="93"/>
        <v xml:space="preserve"> </v>
      </c>
      <c r="F67" s="276" t="str">
        <f t="shared" si="93"/>
        <v xml:space="preserve"> </v>
      </c>
      <c r="G67" s="276" t="str">
        <f t="shared" si="93"/>
        <v xml:space="preserve"> </v>
      </c>
      <c r="H67" s="276" t="str">
        <f t="shared" si="93"/>
        <v xml:space="preserve"> </v>
      </c>
      <c r="I67" s="276" t="str">
        <f t="shared" si="93"/>
        <v xml:space="preserve"> </v>
      </c>
      <c r="J67" s="276" t="str">
        <f t="shared" si="93"/>
        <v xml:space="preserve"> </v>
      </c>
      <c r="K67" s="276" t="str">
        <f t="shared" si="93"/>
        <v xml:space="preserve"> </v>
      </c>
      <c r="L67" s="276" t="str">
        <f t="shared" si="93"/>
        <v xml:space="preserve"> </v>
      </c>
      <c r="M67" s="276" t="str">
        <f t="shared" si="93"/>
        <v xml:space="preserve"> </v>
      </c>
      <c r="N67" s="276" t="str">
        <f t="shared" si="93"/>
        <v xml:space="preserve"> </v>
      </c>
      <c r="O67" s="276" t="str">
        <f t="shared" si="93"/>
        <v xml:space="preserve"> </v>
      </c>
      <c r="P67" s="276" t="str">
        <f t="shared" si="93"/>
        <v xml:space="preserve"> </v>
      </c>
      <c r="Q67" s="276" t="str">
        <f t="shared" si="93"/>
        <v xml:space="preserve"> </v>
      </c>
      <c r="R67" s="276" t="str">
        <f t="shared" si="93"/>
        <v xml:space="preserve"> </v>
      </c>
      <c r="S67" s="276" t="str">
        <f t="shared" si="93"/>
        <v xml:space="preserve"> </v>
      </c>
      <c r="T67" s="276" t="str">
        <f t="shared" si="93"/>
        <v xml:space="preserve"> </v>
      </c>
      <c r="U67" s="276" t="str">
        <f t="shared" si="93"/>
        <v xml:space="preserve"> </v>
      </c>
      <c r="V67" s="276" t="str">
        <f t="shared" si="93"/>
        <v xml:space="preserve"> </v>
      </c>
      <c r="W67" s="276" t="str">
        <f t="shared" si="93"/>
        <v xml:space="preserve"> </v>
      </c>
      <c r="X67" s="276" t="str">
        <f t="shared" si="93"/>
        <v xml:space="preserve"> </v>
      </c>
      <c r="Y67" s="276" t="str">
        <f t="shared" si="93"/>
        <v xml:space="preserve"> </v>
      </c>
      <c r="Z67" s="276" t="str">
        <f t="shared" si="93"/>
        <v xml:space="preserve"> </v>
      </c>
      <c r="AA67" s="276" t="str">
        <f t="shared" si="93"/>
        <v xml:space="preserve"> </v>
      </c>
      <c r="AB67" s="276" t="str">
        <f t="shared" si="93"/>
        <v xml:space="preserve"> </v>
      </c>
      <c r="AC67" s="276" t="str">
        <f t="shared" si="93"/>
        <v xml:space="preserve"> </v>
      </c>
      <c r="AD67" s="276" t="str">
        <f t="shared" si="93"/>
        <v xml:space="preserve"> </v>
      </c>
      <c r="AE67" s="276" t="str">
        <f t="shared" si="93"/>
        <v xml:space="preserve"> </v>
      </c>
      <c r="AF67" s="276" t="str">
        <f t="shared" si="93"/>
        <v xml:space="preserve"> </v>
      </c>
      <c r="AG67" s="276" t="str">
        <f t="shared" si="93"/>
        <v xml:space="preserve"> </v>
      </c>
      <c r="AH67" s="276" t="str">
        <f t="shared" si="93"/>
        <v xml:space="preserve"> </v>
      </c>
      <c r="AI67" s="276" t="str">
        <f t="shared" si="93"/>
        <v xml:space="preserve"> </v>
      </c>
      <c r="AJ67" s="276" t="str">
        <f t="shared" si="93"/>
        <v xml:space="preserve"> </v>
      </c>
      <c r="AK67" s="276" t="str">
        <f t="shared" si="93"/>
        <v xml:space="preserve"> </v>
      </c>
      <c r="AL67" s="276" t="str">
        <f t="shared" si="93"/>
        <v xml:space="preserve"> </v>
      </c>
      <c r="AM67" s="276" t="str">
        <f t="shared" si="93"/>
        <v xml:space="preserve"> </v>
      </c>
      <c r="AN67" s="276" t="str">
        <f t="shared" si="93"/>
        <v xml:space="preserve"> </v>
      </c>
      <c r="AO67" s="276" t="str">
        <f t="shared" si="93"/>
        <v xml:space="preserve"> </v>
      </c>
      <c r="AP67" s="276" t="str">
        <f t="shared" si="93"/>
        <v xml:space="preserve"> </v>
      </c>
      <c r="AQ67" s="276" t="str">
        <f t="shared" si="93"/>
        <v xml:space="preserve"> </v>
      </c>
      <c r="AR67" s="276" t="str">
        <f t="shared" si="93"/>
        <v xml:space="preserve"> </v>
      </c>
      <c r="AS67" s="276" t="str">
        <f t="shared" si="93"/>
        <v xml:space="preserve"> </v>
      </c>
      <c r="AT67" s="276" t="str">
        <f t="shared" si="93"/>
        <v xml:space="preserve"> </v>
      </c>
      <c r="AU67" s="276" t="str">
        <f t="shared" si="93"/>
        <v xml:space="preserve"> </v>
      </c>
      <c r="AV67" s="276" t="str">
        <f t="shared" si="93"/>
        <v xml:space="preserve"> </v>
      </c>
      <c r="AW67" s="276" t="str">
        <f t="shared" si="93"/>
        <v xml:space="preserve"> </v>
      </c>
      <c r="AX67" s="276" t="str">
        <f t="shared" si="93"/>
        <v xml:space="preserve"> </v>
      </c>
      <c r="AY67" s="276" t="str">
        <f t="shared" si="93"/>
        <v xml:space="preserve"> </v>
      </c>
      <c r="AZ67" s="276" t="str">
        <f t="shared" si="93"/>
        <v xml:space="preserve"> </v>
      </c>
      <c r="BA67" s="276" t="str">
        <f t="shared" si="93"/>
        <v xml:space="preserve"> </v>
      </c>
      <c r="BB67" s="276" t="str">
        <f t="shared" si="93"/>
        <v xml:space="preserve"> </v>
      </c>
      <c r="BC67" s="276" t="str">
        <f t="shared" si="93"/>
        <v xml:space="preserve"> </v>
      </c>
      <c r="BD67" s="276" t="str">
        <f t="shared" si="93"/>
        <v xml:space="preserve"> </v>
      </c>
      <c r="BE67" s="276" t="str">
        <f t="shared" si="93"/>
        <v xml:space="preserve"> </v>
      </c>
      <c r="BF67" s="276" t="str">
        <f t="shared" si="93"/>
        <v xml:space="preserve"> </v>
      </c>
      <c r="BG67" s="276" t="str">
        <f t="shared" si="93"/>
        <v xml:space="preserve"> </v>
      </c>
      <c r="BH67" s="276" t="str">
        <f t="shared" si="93"/>
        <v xml:space="preserve"> </v>
      </c>
      <c r="BI67" s="276" t="str">
        <f t="shared" si="93"/>
        <v xml:space="preserve"> </v>
      </c>
      <c r="BJ67" s="276" t="str">
        <f t="shared" si="93"/>
        <v xml:space="preserve"> </v>
      </c>
      <c r="BK67" s="276" t="str">
        <f t="shared" si="93"/>
        <v xml:space="preserve"> </v>
      </c>
      <c r="BL67" s="276" t="str">
        <f t="shared" si="93"/>
        <v xml:space="preserve"> </v>
      </c>
      <c r="BM67" s="276" t="str">
        <f t="shared" si="93"/>
        <v xml:space="preserve"> </v>
      </c>
      <c r="BN67" s="276" t="str">
        <f t="shared" si="93"/>
        <v xml:space="preserve"> </v>
      </c>
      <c r="BO67" s="276" t="str">
        <f t="shared" si="91"/>
        <v xml:space="preserve"> </v>
      </c>
      <c r="BP67" s="276" t="str">
        <f t="shared" si="91"/>
        <v xml:space="preserve"> </v>
      </c>
      <c r="BQ67" s="276" t="str">
        <f t="shared" si="91"/>
        <v xml:space="preserve"> </v>
      </c>
      <c r="BR67" s="276" t="str">
        <f t="shared" si="91"/>
        <v xml:space="preserve"> </v>
      </c>
      <c r="BS67" s="276" t="str">
        <f t="shared" si="91"/>
        <v xml:space="preserve"> </v>
      </c>
      <c r="BT67" s="276" t="str">
        <f t="shared" si="91"/>
        <v xml:space="preserve"> </v>
      </c>
      <c r="BU67" s="276" t="str">
        <f t="shared" si="91"/>
        <v xml:space="preserve"> </v>
      </c>
      <c r="BV67" s="276" t="str">
        <f t="shared" si="91"/>
        <v xml:space="preserve"> </v>
      </c>
      <c r="BW67" s="276" t="str">
        <f t="shared" si="91"/>
        <v xml:space="preserve"> </v>
      </c>
      <c r="BX67" s="276" t="str">
        <f t="shared" si="91"/>
        <v xml:space="preserve"> </v>
      </c>
      <c r="BY67" s="276" t="str">
        <f t="shared" si="91"/>
        <v xml:space="preserve"> </v>
      </c>
      <c r="BZ67" s="276" t="str">
        <f t="shared" si="91"/>
        <v xml:space="preserve"> </v>
      </c>
      <c r="CA67" s="276" t="str">
        <f t="shared" ref="CA67" si="94">IF(ISERROR(STANDARDIZE(CA37,CA$3,CA$4))," ",STANDARDIZE(CA37,CA$3,CA$4))</f>
        <v xml:space="preserve"> </v>
      </c>
      <c r="CB67" s="288" t="str">
        <f>IF(INDEX('Raw Data'!$A20:$EA20,MATCH(CB$19,RawData[#Headers],))=""," ",INDEX('Raw Data'!$A20:$EA20,MATCH(CB$19,RawData[#Headers],)))</f>
        <v xml:space="preserve"> </v>
      </c>
      <c r="CD67" s="276" t="str">
        <f>IF(B67=" ",zscores[[#This Row],[Cohesion ROI]],SUMXMY2($B67:$CA67,$B$9:$CA$9))</f>
        <v xml:space="preserve"> </v>
      </c>
      <c r="CE67" s="276" t="str">
        <f>IF(B67=" ",zscores[[#This Row],[Best Fixed Odds]],SUMXMY2($B67:$CA67,$B$10:$CA$10))</f>
        <v xml:space="preserve"> </v>
      </c>
      <c r="CF67" s="276" t="str">
        <f>IF(B67=" ",zscores[[#This Row],[Trainer 12 Months ROI]],SUMXMY2($B67:$CA67,$B$11:$CA$11))</f>
        <v xml:space="preserve"> </v>
      </c>
      <c r="CG67" s="276" t="str">
        <f>IF(B67=" ",zscores[[#This Row],[Jockey This Season ROI]],SUMXMY2($B67:$CA67,$B$12:$CA$12))</f>
        <v xml:space="preserve"> </v>
      </c>
      <c r="CH67" s="276"/>
      <c r="CI67" s="276"/>
      <c r="CJ67" s="276"/>
      <c r="CK67" s="289">
        <f>IF(ISERROR(MIN(dataDistance[#This Row]))," ",MIN(dataDistance[#This Row]))</f>
        <v>0</v>
      </c>
      <c r="CM67" s="290" t="str">
        <f>IFERROR(MATCH(CK67,dataDistance[#This Row],0)," ")</f>
        <v xml:space="preserve"> </v>
      </c>
      <c r="CN67" s="289" t="str">
        <f>IF(CK67=0," ",IF(ISERROR(MIN(dataDistance[#This Row]))," ",MIN(dataDistance[#This Row])))</f>
        <v xml:space="preserve"> </v>
      </c>
      <c r="CO67" s="289" t="str">
        <f>IF(CN67=" "," ",zscores[[#This Row],[Num]])</f>
        <v xml:space="preserve"> </v>
      </c>
    </row>
    <row r="68" spans="1:93" x14ac:dyDescent="0.3">
      <c r="A68" s="255">
        <f>'Raw Data'!A21</f>
        <v>0</v>
      </c>
      <c r="B68" s="276" t="str">
        <f t="shared" si="67"/>
        <v xml:space="preserve"> </v>
      </c>
      <c r="C68" s="276" t="str">
        <f t="shared" si="93"/>
        <v xml:space="preserve"> </v>
      </c>
      <c r="D68" s="276" t="str">
        <f t="shared" si="93"/>
        <v xml:space="preserve"> </v>
      </c>
      <c r="E68" s="276" t="str">
        <f t="shared" si="93"/>
        <v xml:space="preserve"> </v>
      </c>
      <c r="F68" s="276" t="str">
        <f t="shared" si="93"/>
        <v xml:space="preserve"> </v>
      </c>
      <c r="G68" s="276" t="str">
        <f t="shared" si="93"/>
        <v xml:space="preserve"> </v>
      </c>
      <c r="H68" s="276" t="str">
        <f t="shared" si="93"/>
        <v xml:space="preserve"> </v>
      </c>
      <c r="I68" s="276" t="str">
        <f t="shared" si="93"/>
        <v xml:space="preserve"> </v>
      </c>
      <c r="J68" s="276" t="str">
        <f t="shared" si="93"/>
        <v xml:space="preserve"> </v>
      </c>
      <c r="K68" s="276" t="str">
        <f t="shared" si="93"/>
        <v xml:space="preserve"> </v>
      </c>
      <c r="L68" s="276" t="str">
        <f t="shared" si="93"/>
        <v xml:space="preserve"> </v>
      </c>
      <c r="M68" s="276" t="str">
        <f t="shared" si="93"/>
        <v xml:space="preserve"> </v>
      </c>
      <c r="N68" s="276" t="str">
        <f t="shared" si="93"/>
        <v xml:space="preserve"> </v>
      </c>
      <c r="O68" s="276" t="str">
        <f t="shared" si="93"/>
        <v xml:space="preserve"> </v>
      </c>
      <c r="P68" s="276" t="str">
        <f t="shared" si="93"/>
        <v xml:space="preserve"> </v>
      </c>
      <c r="Q68" s="276" t="str">
        <f t="shared" si="93"/>
        <v xml:space="preserve"> </v>
      </c>
      <c r="R68" s="276" t="str">
        <f t="shared" si="93"/>
        <v xml:space="preserve"> </v>
      </c>
      <c r="S68" s="276" t="str">
        <f t="shared" si="93"/>
        <v xml:space="preserve"> </v>
      </c>
      <c r="T68" s="276" t="str">
        <f t="shared" si="93"/>
        <v xml:space="preserve"> </v>
      </c>
      <c r="U68" s="276" t="str">
        <f t="shared" si="93"/>
        <v xml:space="preserve"> </v>
      </c>
      <c r="V68" s="276" t="str">
        <f t="shared" si="93"/>
        <v xml:space="preserve"> </v>
      </c>
      <c r="W68" s="276" t="str">
        <f t="shared" si="93"/>
        <v xml:space="preserve"> </v>
      </c>
      <c r="X68" s="276" t="str">
        <f t="shared" si="93"/>
        <v xml:space="preserve"> </v>
      </c>
      <c r="Y68" s="276" t="str">
        <f t="shared" si="93"/>
        <v xml:space="preserve"> </v>
      </c>
      <c r="Z68" s="276" t="str">
        <f t="shared" si="93"/>
        <v xml:space="preserve"> </v>
      </c>
      <c r="AA68" s="276" t="str">
        <f t="shared" si="93"/>
        <v xml:space="preserve"> </v>
      </c>
      <c r="AB68" s="276" t="str">
        <f t="shared" si="93"/>
        <v xml:space="preserve"> </v>
      </c>
      <c r="AC68" s="276" t="str">
        <f t="shared" si="93"/>
        <v xml:space="preserve"> </v>
      </c>
      <c r="AD68" s="276" t="str">
        <f t="shared" si="93"/>
        <v xml:space="preserve"> </v>
      </c>
      <c r="AE68" s="276" t="str">
        <f t="shared" si="93"/>
        <v xml:space="preserve"> </v>
      </c>
      <c r="AF68" s="276" t="str">
        <f t="shared" si="93"/>
        <v xml:space="preserve"> </v>
      </c>
      <c r="AG68" s="276" t="str">
        <f t="shared" si="93"/>
        <v xml:space="preserve"> </v>
      </c>
      <c r="AH68" s="276" t="str">
        <f t="shared" si="93"/>
        <v xml:space="preserve"> </v>
      </c>
      <c r="AI68" s="276" t="str">
        <f t="shared" si="93"/>
        <v xml:space="preserve"> </v>
      </c>
      <c r="AJ68" s="276" t="str">
        <f t="shared" si="93"/>
        <v xml:space="preserve"> </v>
      </c>
      <c r="AK68" s="276" t="str">
        <f t="shared" si="93"/>
        <v xml:space="preserve"> </v>
      </c>
      <c r="AL68" s="276" t="str">
        <f t="shared" si="93"/>
        <v xml:space="preserve"> </v>
      </c>
      <c r="AM68" s="276" t="str">
        <f t="shared" si="93"/>
        <v xml:space="preserve"> </v>
      </c>
      <c r="AN68" s="276" t="str">
        <f t="shared" si="93"/>
        <v xml:space="preserve"> </v>
      </c>
      <c r="AO68" s="276" t="str">
        <f t="shared" si="93"/>
        <v xml:space="preserve"> </v>
      </c>
      <c r="AP68" s="276" t="str">
        <f t="shared" si="93"/>
        <v xml:space="preserve"> </v>
      </c>
      <c r="AQ68" s="276" t="str">
        <f t="shared" si="93"/>
        <v xml:space="preserve"> </v>
      </c>
      <c r="AR68" s="276" t="str">
        <f t="shared" si="93"/>
        <v xml:space="preserve"> </v>
      </c>
      <c r="AS68" s="276" t="str">
        <f t="shared" si="93"/>
        <v xml:space="preserve"> </v>
      </c>
      <c r="AT68" s="276" t="str">
        <f t="shared" si="93"/>
        <v xml:space="preserve"> </v>
      </c>
      <c r="AU68" s="276" t="str">
        <f t="shared" si="93"/>
        <v xml:space="preserve"> </v>
      </c>
      <c r="AV68" s="276" t="str">
        <f t="shared" si="93"/>
        <v xml:space="preserve"> </v>
      </c>
      <c r="AW68" s="276" t="str">
        <f t="shared" si="93"/>
        <v xml:space="preserve"> </v>
      </c>
      <c r="AX68" s="276" t="str">
        <f t="shared" si="93"/>
        <v xml:space="preserve"> </v>
      </c>
      <c r="AY68" s="276" t="str">
        <f t="shared" si="93"/>
        <v xml:space="preserve"> </v>
      </c>
      <c r="AZ68" s="276" t="str">
        <f t="shared" si="93"/>
        <v xml:space="preserve"> </v>
      </c>
      <c r="BA68" s="276" t="str">
        <f t="shared" si="93"/>
        <v xml:space="preserve"> </v>
      </c>
      <c r="BB68" s="276" t="str">
        <f t="shared" si="93"/>
        <v xml:space="preserve"> </v>
      </c>
      <c r="BC68" s="276" t="str">
        <f t="shared" si="93"/>
        <v xml:space="preserve"> </v>
      </c>
      <c r="BD68" s="276" t="str">
        <f t="shared" si="93"/>
        <v xml:space="preserve"> </v>
      </c>
      <c r="BE68" s="276" t="str">
        <f t="shared" si="93"/>
        <v xml:space="preserve"> </v>
      </c>
      <c r="BF68" s="276" t="str">
        <f t="shared" si="93"/>
        <v xml:space="preserve"> </v>
      </c>
      <c r="BG68" s="276" t="str">
        <f t="shared" si="93"/>
        <v xml:space="preserve"> </v>
      </c>
      <c r="BH68" s="276" t="str">
        <f t="shared" si="93"/>
        <v xml:space="preserve"> </v>
      </c>
      <c r="BI68" s="276" t="str">
        <f t="shared" si="93"/>
        <v xml:space="preserve"> </v>
      </c>
      <c r="BJ68" s="276" t="str">
        <f t="shared" si="93"/>
        <v xml:space="preserve"> </v>
      </c>
      <c r="BK68" s="276" t="str">
        <f t="shared" si="93"/>
        <v xml:space="preserve"> </v>
      </c>
      <c r="BL68" s="276" t="str">
        <f t="shared" si="93"/>
        <v xml:space="preserve"> </v>
      </c>
      <c r="BM68" s="276" t="str">
        <f t="shared" si="93"/>
        <v xml:space="preserve"> </v>
      </c>
      <c r="BN68" s="276" t="str">
        <f t="shared" si="93"/>
        <v xml:space="preserve"> </v>
      </c>
      <c r="BO68" s="276" t="str">
        <f t="shared" si="91"/>
        <v xml:space="preserve"> </v>
      </c>
      <c r="BP68" s="276" t="str">
        <f t="shared" si="91"/>
        <v xml:space="preserve"> </v>
      </c>
      <c r="BQ68" s="276" t="str">
        <f t="shared" si="91"/>
        <v xml:space="preserve"> </v>
      </c>
      <c r="BR68" s="276" t="str">
        <f t="shared" si="91"/>
        <v xml:space="preserve"> </v>
      </c>
      <c r="BS68" s="276" t="str">
        <f t="shared" si="91"/>
        <v xml:space="preserve"> </v>
      </c>
      <c r="BT68" s="276" t="str">
        <f t="shared" si="91"/>
        <v xml:space="preserve"> </v>
      </c>
      <c r="BU68" s="276" t="str">
        <f t="shared" si="91"/>
        <v xml:space="preserve"> </v>
      </c>
      <c r="BV68" s="276" t="str">
        <f t="shared" si="91"/>
        <v xml:space="preserve"> </v>
      </c>
      <c r="BW68" s="276" t="str">
        <f t="shared" si="91"/>
        <v xml:space="preserve"> </v>
      </c>
      <c r="BX68" s="276" t="str">
        <f t="shared" si="91"/>
        <v xml:space="preserve"> </v>
      </c>
      <c r="BY68" s="276" t="str">
        <f t="shared" si="91"/>
        <v xml:space="preserve"> </v>
      </c>
      <c r="BZ68" s="276" t="str">
        <f t="shared" si="91"/>
        <v xml:space="preserve"> </v>
      </c>
      <c r="CA68" s="276" t="str">
        <f t="shared" ref="CA68" si="95">IF(ISERROR(STANDARDIZE(CA38,CA$3,CA$4))," ",STANDARDIZE(CA38,CA$3,CA$4))</f>
        <v xml:space="preserve"> </v>
      </c>
      <c r="CB68" s="288" t="str">
        <f>IF(INDEX('Raw Data'!$A21:$EA21,MATCH(CB$19,RawData[#Headers],))=""," ",INDEX('Raw Data'!$A21:$EA21,MATCH(CB$19,RawData[#Headers],)))</f>
        <v xml:space="preserve"> </v>
      </c>
      <c r="CD68" s="276" t="str">
        <f>IF(B68=" ",zscores[[#This Row],[Cohesion ROI]],SUMXMY2($B68:$CA68,$B$9:$CA$9))</f>
        <v xml:space="preserve"> </v>
      </c>
      <c r="CE68" s="276" t="str">
        <f>IF(B68=" ",zscores[[#This Row],[Best Fixed Odds]],SUMXMY2($B68:$CA68,$B$10:$CA$10))</f>
        <v xml:space="preserve"> </v>
      </c>
      <c r="CF68" s="276" t="str">
        <f>IF(B68=" ",zscores[[#This Row],[Trainer 12 Months ROI]],SUMXMY2($B68:$CA68,$B$11:$CA$11))</f>
        <v xml:space="preserve"> </v>
      </c>
      <c r="CG68" s="276" t="str">
        <f>IF(B68=" ",zscores[[#This Row],[Jockey This Season ROI]],SUMXMY2($B68:$CA68,$B$12:$CA$12))</f>
        <v xml:space="preserve"> </v>
      </c>
      <c r="CH68" s="276"/>
      <c r="CI68" s="276"/>
      <c r="CJ68" s="276"/>
      <c r="CK68" s="289">
        <f>IF(ISERROR(MIN(dataDistance[#This Row]))," ",MIN(dataDistance[#This Row]))</f>
        <v>0</v>
      </c>
      <c r="CM68" s="290" t="str">
        <f>IFERROR(MATCH(CK68,dataDistance[#This Row],0)," ")</f>
        <v xml:space="preserve"> </v>
      </c>
      <c r="CN68" s="289" t="str">
        <f>IF(CK68=0," ",IF(ISERROR(MIN(dataDistance[#This Row]))," ",MIN(dataDistance[#This Row])))</f>
        <v xml:space="preserve"> </v>
      </c>
      <c r="CO68" s="289" t="str">
        <f>IF(CN68=" "," ",zscores[[#This Row],[Num]])</f>
        <v xml:space="preserve"> </v>
      </c>
    </row>
    <row r="69" spans="1:93" x14ac:dyDescent="0.3">
      <c r="A69" s="255">
        <f>'Raw Data'!A22</f>
        <v>0</v>
      </c>
      <c r="B69" s="276" t="str">
        <f t="shared" si="67"/>
        <v xml:space="preserve"> </v>
      </c>
      <c r="C69" s="276" t="str">
        <f t="shared" si="93"/>
        <v xml:space="preserve"> </v>
      </c>
      <c r="D69" s="276" t="str">
        <f t="shared" si="93"/>
        <v xml:space="preserve"> </v>
      </c>
      <c r="E69" s="276" t="str">
        <f t="shared" si="93"/>
        <v xml:space="preserve"> </v>
      </c>
      <c r="F69" s="276" t="str">
        <f t="shared" si="93"/>
        <v xml:space="preserve"> </v>
      </c>
      <c r="G69" s="276" t="str">
        <f t="shared" si="93"/>
        <v xml:space="preserve"> </v>
      </c>
      <c r="H69" s="276" t="str">
        <f t="shared" si="93"/>
        <v xml:space="preserve"> </v>
      </c>
      <c r="I69" s="276" t="str">
        <f t="shared" si="93"/>
        <v xml:space="preserve"> </v>
      </c>
      <c r="J69" s="276" t="str">
        <f t="shared" si="93"/>
        <v xml:space="preserve"> </v>
      </c>
      <c r="K69" s="276" t="str">
        <f t="shared" si="93"/>
        <v xml:space="preserve"> </v>
      </c>
      <c r="L69" s="276" t="str">
        <f t="shared" si="93"/>
        <v xml:space="preserve"> </v>
      </c>
      <c r="M69" s="276" t="str">
        <f t="shared" si="93"/>
        <v xml:space="preserve"> </v>
      </c>
      <c r="N69" s="276" t="str">
        <f t="shared" si="93"/>
        <v xml:space="preserve"> </v>
      </c>
      <c r="O69" s="276" t="str">
        <f t="shared" si="93"/>
        <v xml:space="preserve"> </v>
      </c>
      <c r="P69" s="276" t="str">
        <f t="shared" si="93"/>
        <v xml:space="preserve"> </v>
      </c>
      <c r="Q69" s="276" t="str">
        <f t="shared" si="93"/>
        <v xml:space="preserve"> </v>
      </c>
      <c r="R69" s="276" t="str">
        <f t="shared" si="93"/>
        <v xml:space="preserve"> </v>
      </c>
      <c r="S69" s="276" t="str">
        <f t="shared" si="93"/>
        <v xml:space="preserve"> </v>
      </c>
      <c r="T69" s="276" t="str">
        <f t="shared" si="93"/>
        <v xml:space="preserve"> </v>
      </c>
      <c r="U69" s="276" t="str">
        <f t="shared" si="93"/>
        <v xml:space="preserve"> </v>
      </c>
      <c r="V69" s="276" t="str">
        <f t="shared" si="93"/>
        <v xml:space="preserve"> </v>
      </c>
      <c r="W69" s="276" t="str">
        <f t="shared" si="93"/>
        <v xml:space="preserve"> </v>
      </c>
      <c r="X69" s="276" t="str">
        <f t="shared" si="93"/>
        <v xml:space="preserve"> </v>
      </c>
      <c r="Y69" s="276" t="str">
        <f t="shared" si="93"/>
        <v xml:space="preserve"> </v>
      </c>
      <c r="Z69" s="276" t="str">
        <f t="shared" si="93"/>
        <v xml:space="preserve"> </v>
      </c>
      <c r="AA69" s="276" t="str">
        <f t="shared" si="93"/>
        <v xml:space="preserve"> </v>
      </c>
      <c r="AB69" s="276" t="str">
        <f t="shared" si="93"/>
        <v xml:space="preserve"> </v>
      </c>
      <c r="AC69" s="276" t="str">
        <f t="shared" si="93"/>
        <v xml:space="preserve"> </v>
      </c>
      <c r="AD69" s="276" t="str">
        <f t="shared" si="93"/>
        <v xml:space="preserve"> </v>
      </c>
      <c r="AE69" s="276" t="str">
        <f t="shared" si="93"/>
        <v xml:space="preserve"> </v>
      </c>
      <c r="AF69" s="276" t="str">
        <f t="shared" si="93"/>
        <v xml:space="preserve"> </v>
      </c>
      <c r="AG69" s="276" t="str">
        <f t="shared" si="93"/>
        <v xml:space="preserve"> </v>
      </c>
      <c r="AH69" s="276" t="str">
        <f t="shared" si="93"/>
        <v xml:space="preserve"> </v>
      </c>
      <c r="AI69" s="276" t="str">
        <f t="shared" si="93"/>
        <v xml:space="preserve"> </v>
      </c>
      <c r="AJ69" s="276" t="str">
        <f t="shared" si="93"/>
        <v xml:space="preserve"> </v>
      </c>
      <c r="AK69" s="276" t="str">
        <f t="shared" si="93"/>
        <v xml:space="preserve"> </v>
      </c>
      <c r="AL69" s="276" t="str">
        <f t="shared" si="93"/>
        <v xml:space="preserve"> </v>
      </c>
      <c r="AM69" s="276" t="str">
        <f t="shared" si="93"/>
        <v xml:space="preserve"> </v>
      </c>
      <c r="AN69" s="276" t="str">
        <f t="shared" si="93"/>
        <v xml:space="preserve"> </v>
      </c>
      <c r="AO69" s="276" t="str">
        <f t="shared" si="93"/>
        <v xml:space="preserve"> </v>
      </c>
      <c r="AP69" s="276" t="str">
        <f t="shared" si="93"/>
        <v xml:space="preserve"> </v>
      </c>
      <c r="AQ69" s="276" t="str">
        <f t="shared" si="93"/>
        <v xml:space="preserve"> </v>
      </c>
      <c r="AR69" s="276" t="str">
        <f t="shared" si="93"/>
        <v xml:space="preserve"> </v>
      </c>
      <c r="AS69" s="276" t="str">
        <f t="shared" si="93"/>
        <v xml:space="preserve"> </v>
      </c>
      <c r="AT69" s="276" t="str">
        <f t="shared" si="93"/>
        <v xml:space="preserve"> </v>
      </c>
      <c r="AU69" s="276" t="str">
        <f t="shared" si="93"/>
        <v xml:space="preserve"> </v>
      </c>
      <c r="AV69" s="276" t="str">
        <f t="shared" si="93"/>
        <v xml:space="preserve"> </v>
      </c>
      <c r="AW69" s="276" t="str">
        <f t="shared" si="93"/>
        <v xml:space="preserve"> </v>
      </c>
      <c r="AX69" s="276" t="str">
        <f t="shared" si="93"/>
        <v xml:space="preserve"> </v>
      </c>
      <c r="AY69" s="276" t="str">
        <f t="shared" si="93"/>
        <v xml:space="preserve"> </v>
      </c>
      <c r="AZ69" s="276" t="str">
        <f t="shared" si="93"/>
        <v xml:space="preserve"> </v>
      </c>
      <c r="BA69" s="276" t="str">
        <f t="shared" si="93"/>
        <v xml:space="preserve"> </v>
      </c>
      <c r="BB69" s="276" t="str">
        <f t="shared" si="93"/>
        <v xml:space="preserve"> </v>
      </c>
      <c r="BC69" s="276" t="str">
        <f t="shared" si="93"/>
        <v xml:space="preserve"> </v>
      </c>
      <c r="BD69" s="276" t="str">
        <f t="shared" si="93"/>
        <v xml:space="preserve"> </v>
      </c>
      <c r="BE69" s="276" t="str">
        <f t="shared" si="93"/>
        <v xml:space="preserve"> </v>
      </c>
      <c r="BF69" s="276" t="str">
        <f t="shared" si="93"/>
        <v xml:space="preserve"> </v>
      </c>
      <c r="BG69" s="276" t="str">
        <f t="shared" si="93"/>
        <v xml:space="preserve"> </v>
      </c>
      <c r="BH69" s="276" t="str">
        <f t="shared" si="93"/>
        <v xml:space="preserve"> </v>
      </c>
      <c r="BI69" s="276" t="str">
        <f t="shared" si="93"/>
        <v xml:space="preserve"> </v>
      </c>
      <c r="BJ69" s="276" t="str">
        <f t="shared" si="93"/>
        <v xml:space="preserve"> </v>
      </c>
      <c r="BK69" s="276" t="str">
        <f t="shared" si="93"/>
        <v xml:space="preserve"> </v>
      </c>
      <c r="BL69" s="276" t="str">
        <f t="shared" si="93"/>
        <v xml:space="preserve"> </v>
      </c>
      <c r="BM69" s="276" t="str">
        <f t="shared" si="93"/>
        <v xml:space="preserve"> </v>
      </c>
      <c r="BN69" s="276" t="str">
        <f t="shared" si="93"/>
        <v xml:space="preserve"> </v>
      </c>
      <c r="BO69" s="276" t="str">
        <f t="shared" si="91"/>
        <v xml:space="preserve"> </v>
      </c>
      <c r="BP69" s="276" t="str">
        <f t="shared" si="91"/>
        <v xml:space="preserve"> </v>
      </c>
      <c r="BQ69" s="276" t="str">
        <f t="shared" si="91"/>
        <v xml:space="preserve"> </v>
      </c>
      <c r="BR69" s="276" t="str">
        <f t="shared" si="91"/>
        <v xml:space="preserve"> </v>
      </c>
      <c r="BS69" s="276" t="str">
        <f t="shared" si="91"/>
        <v xml:space="preserve"> </v>
      </c>
      <c r="BT69" s="276" t="str">
        <f t="shared" si="91"/>
        <v xml:space="preserve"> </v>
      </c>
      <c r="BU69" s="276" t="str">
        <f t="shared" si="91"/>
        <v xml:space="preserve"> </v>
      </c>
      <c r="BV69" s="276" t="str">
        <f t="shared" si="91"/>
        <v xml:space="preserve"> </v>
      </c>
      <c r="BW69" s="276" t="str">
        <f t="shared" si="91"/>
        <v xml:space="preserve"> </v>
      </c>
      <c r="BX69" s="276" t="str">
        <f t="shared" si="91"/>
        <v xml:space="preserve"> </v>
      </c>
      <c r="BY69" s="276" t="str">
        <f t="shared" si="91"/>
        <v xml:space="preserve"> </v>
      </c>
      <c r="BZ69" s="276" t="str">
        <f t="shared" si="91"/>
        <v xml:space="preserve"> </v>
      </c>
      <c r="CA69" s="276" t="str">
        <f t="shared" ref="CA69" si="96">IF(ISERROR(STANDARDIZE(CA39,CA$3,CA$4))," ",STANDARDIZE(CA39,CA$3,CA$4))</f>
        <v xml:space="preserve"> </v>
      </c>
      <c r="CB69" s="288" t="str">
        <f>IF(INDEX('Raw Data'!$A22:$EA22,MATCH(CB$19,RawData[#Headers],))=""," ",INDEX('Raw Data'!$A22:$EA22,MATCH(CB$19,RawData[#Headers],)))</f>
        <v xml:space="preserve"> </v>
      </c>
      <c r="CD69" s="276" t="str">
        <f>IF(B69=" ",zscores[[#This Row],[Cohesion ROI]],SUMXMY2($B69:$CA69,$B$9:$CA$9))</f>
        <v xml:space="preserve"> </v>
      </c>
      <c r="CE69" s="276" t="str">
        <f>IF(B69=" ",zscores[[#This Row],[Best Fixed Odds]],SUMXMY2($B69:$CA69,$B$10:$CA$10))</f>
        <v xml:space="preserve"> </v>
      </c>
      <c r="CF69" s="276" t="str">
        <f>IF(B69=" ",zscores[[#This Row],[Trainer 12 Months ROI]],SUMXMY2($B69:$CA69,$B$11:$CA$11))</f>
        <v xml:space="preserve"> </v>
      </c>
      <c r="CG69" s="276" t="str">
        <f>IF(B69=" ",zscores[[#This Row],[Jockey This Season ROI]],SUMXMY2($B69:$CA69,$B$12:$CA$12))</f>
        <v xml:space="preserve"> </v>
      </c>
      <c r="CH69" s="276"/>
      <c r="CI69" s="276"/>
      <c r="CJ69" s="276"/>
      <c r="CK69" s="289">
        <f>IF(ISERROR(MIN(dataDistance[#This Row]))," ",MIN(dataDistance[#This Row]))</f>
        <v>0</v>
      </c>
      <c r="CM69" s="290" t="str">
        <f>IFERROR(MATCH(CK69,dataDistance[#This Row],0)," ")</f>
        <v xml:space="preserve"> </v>
      </c>
      <c r="CN69" s="289" t="str">
        <f>IF(CK69=0," ",IF(ISERROR(MIN(dataDistance[#This Row]))," ",MIN(dataDistance[#This Row])))</f>
        <v xml:space="preserve"> </v>
      </c>
      <c r="CO69" s="289" t="str">
        <f>IF(CN69=" "," ",zscores[[#This Row],[Num]])</f>
        <v xml:space="preserve"> </v>
      </c>
    </row>
    <row r="70" spans="1:93" x14ac:dyDescent="0.3">
      <c r="A70" s="255">
        <f>'Raw Data'!A23</f>
        <v>0</v>
      </c>
      <c r="B70" s="276" t="str">
        <f t="shared" si="67"/>
        <v xml:space="preserve"> </v>
      </c>
      <c r="C70" s="276" t="str">
        <f t="shared" si="93"/>
        <v xml:space="preserve"> </v>
      </c>
      <c r="D70" s="276" t="str">
        <f t="shared" si="93"/>
        <v xml:space="preserve"> </v>
      </c>
      <c r="E70" s="276" t="str">
        <f t="shared" si="93"/>
        <v xml:space="preserve"> </v>
      </c>
      <c r="F70" s="276" t="str">
        <f t="shared" si="93"/>
        <v xml:space="preserve"> </v>
      </c>
      <c r="G70" s="276" t="str">
        <f t="shared" si="93"/>
        <v xml:space="preserve"> </v>
      </c>
      <c r="H70" s="276" t="str">
        <f t="shared" si="93"/>
        <v xml:space="preserve"> </v>
      </c>
      <c r="I70" s="276" t="str">
        <f t="shared" si="93"/>
        <v xml:space="preserve"> </v>
      </c>
      <c r="J70" s="276" t="str">
        <f t="shared" si="93"/>
        <v xml:space="preserve"> </v>
      </c>
      <c r="K70" s="276" t="str">
        <f t="shared" si="93"/>
        <v xml:space="preserve"> </v>
      </c>
      <c r="L70" s="276" t="str">
        <f t="shared" si="93"/>
        <v xml:space="preserve"> </v>
      </c>
      <c r="M70" s="276" t="str">
        <f t="shared" si="93"/>
        <v xml:space="preserve"> </v>
      </c>
      <c r="N70" s="276" t="str">
        <f t="shared" si="93"/>
        <v xml:space="preserve"> </v>
      </c>
      <c r="O70" s="276" t="str">
        <f t="shared" si="93"/>
        <v xml:space="preserve"> </v>
      </c>
      <c r="P70" s="276" t="str">
        <f t="shared" si="93"/>
        <v xml:space="preserve"> </v>
      </c>
      <c r="Q70" s="276" t="str">
        <f t="shared" si="93"/>
        <v xml:space="preserve"> </v>
      </c>
      <c r="R70" s="276" t="str">
        <f t="shared" si="93"/>
        <v xml:space="preserve"> </v>
      </c>
      <c r="S70" s="276" t="str">
        <f t="shared" si="93"/>
        <v xml:space="preserve"> </v>
      </c>
      <c r="T70" s="276" t="str">
        <f t="shared" si="93"/>
        <v xml:space="preserve"> </v>
      </c>
      <c r="U70" s="276" t="str">
        <f t="shared" si="93"/>
        <v xml:space="preserve"> </v>
      </c>
      <c r="V70" s="276" t="str">
        <f t="shared" si="93"/>
        <v xml:space="preserve"> </v>
      </c>
      <c r="W70" s="276" t="str">
        <f t="shared" si="93"/>
        <v xml:space="preserve"> </v>
      </c>
      <c r="X70" s="276" t="str">
        <f t="shared" si="93"/>
        <v xml:space="preserve"> </v>
      </c>
      <c r="Y70" s="276" t="str">
        <f t="shared" si="93"/>
        <v xml:space="preserve"> </v>
      </c>
      <c r="Z70" s="276" t="str">
        <f t="shared" si="93"/>
        <v xml:space="preserve"> </v>
      </c>
      <c r="AA70" s="276" t="str">
        <f t="shared" si="93"/>
        <v xml:space="preserve"> </v>
      </c>
      <c r="AB70" s="276" t="str">
        <f t="shared" si="93"/>
        <v xml:space="preserve"> </v>
      </c>
      <c r="AC70" s="276" t="str">
        <f t="shared" si="93"/>
        <v xml:space="preserve"> </v>
      </c>
      <c r="AD70" s="276" t="str">
        <f t="shared" si="93"/>
        <v xml:space="preserve"> </v>
      </c>
      <c r="AE70" s="276" t="str">
        <f t="shared" si="93"/>
        <v xml:space="preserve"> </v>
      </c>
      <c r="AF70" s="276" t="str">
        <f t="shared" si="93"/>
        <v xml:space="preserve"> </v>
      </c>
      <c r="AG70" s="276" t="str">
        <f t="shared" si="93"/>
        <v xml:space="preserve"> </v>
      </c>
      <c r="AH70" s="276" t="str">
        <f t="shared" si="93"/>
        <v xml:space="preserve"> </v>
      </c>
      <c r="AI70" s="276" t="str">
        <f t="shared" si="93"/>
        <v xml:space="preserve"> </v>
      </c>
      <c r="AJ70" s="276" t="str">
        <f t="shared" si="93"/>
        <v xml:space="preserve"> </v>
      </c>
      <c r="AK70" s="276" t="str">
        <f t="shared" si="93"/>
        <v xml:space="preserve"> </v>
      </c>
      <c r="AL70" s="276" t="str">
        <f t="shared" si="93"/>
        <v xml:space="preserve"> </v>
      </c>
      <c r="AM70" s="276" t="str">
        <f t="shared" si="93"/>
        <v xml:space="preserve"> </v>
      </c>
      <c r="AN70" s="276" t="str">
        <f t="shared" si="93"/>
        <v xml:space="preserve"> </v>
      </c>
      <c r="AO70" s="276" t="str">
        <f t="shared" si="93"/>
        <v xml:space="preserve"> </v>
      </c>
      <c r="AP70" s="276" t="str">
        <f t="shared" si="93"/>
        <v xml:space="preserve"> </v>
      </c>
      <c r="AQ70" s="276" t="str">
        <f t="shared" si="93"/>
        <v xml:space="preserve"> </v>
      </c>
      <c r="AR70" s="276" t="str">
        <f t="shared" si="93"/>
        <v xml:space="preserve"> </v>
      </c>
      <c r="AS70" s="276" t="str">
        <f t="shared" si="93"/>
        <v xml:space="preserve"> </v>
      </c>
      <c r="AT70" s="276" t="str">
        <f t="shared" si="93"/>
        <v xml:space="preserve"> </v>
      </c>
      <c r="AU70" s="276" t="str">
        <f t="shared" si="93"/>
        <v xml:space="preserve"> </v>
      </c>
      <c r="AV70" s="276" t="str">
        <f t="shared" si="93"/>
        <v xml:space="preserve"> </v>
      </c>
      <c r="AW70" s="276" t="str">
        <f t="shared" si="93"/>
        <v xml:space="preserve"> </v>
      </c>
      <c r="AX70" s="276" t="str">
        <f t="shared" si="93"/>
        <v xml:space="preserve"> </v>
      </c>
      <c r="AY70" s="276" t="str">
        <f t="shared" si="93"/>
        <v xml:space="preserve"> </v>
      </c>
      <c r="AZ70" s="276" t="str">
        <f t="shared" si="93"/>
        <v xml:space="preserve"> </v>
      </c>
      <c r="BA70" s="276" t="str">
        <f t="shared" si="93"/>
        <v xml:space="preserve"> </v>
      </c>
      <c r="BB70" s="276" t="str">
        <f t="shared" si="93"/>
        <v xml:space="preserve"> </v>
      </c>
      <c r="BC70" s="276" t="str">
        <f t="shared" si="93"/>
        <v xml:space="preserve"> </v>
      </c>
      <c r="BD70" s="276" t="str">
        <f t="shared" si="93"/>
        <v xml:space="preserve"> </v>
      </c>
      <c r="BE70" s="276" t="str">
        <f t="shared" si="93"/>
        <v xml:space="preserve"> </v>
      </c>
      <c r="BF70" s="276" t="str">
        <f t="shared" si="93"/>
        <v xml:space="preserve"> </v>
      </c>
      <c r="BG70" s="276" t="str">
        <f t="shared" si="93"/>
        <v xml:space="preserve"> </v>
      </c>
      <c r="BH70" s="276" t="str">
        <f t="shared" si="93"/>
        <v xml:space="preserve"> </v>
      </c>
      <c r="BI70" s="276" t="str">
        <f t="shared" si="93"/>
        <v xml:space="preserve"> </v>
      </c>
      <c r="BJ70" s="276" t="str">
        <f t="shared" si="93"/>
        <v xml:space="preserve"> </v>
      </c>
      <c r="BK70" s="276" t="str">
        <f t="shared" si="93"/>
        <v xml:space="preserve"> </v>
      </c>
      <c r="BL70" s="276" t="str">
        <f t="shared" si="93"/>
        <v xml:space="preserve"> </v>
      </c>
      <c r="BM70" s="276" t="str">
        <f t="shared" si="93"/>
        <v xml:space="preserve"> </v>
      </c>
      <c r="BN70" s="276" t="str">
        <f t="shared" ref="BN70:BZ73" si="97">IF(ISERROR(STANDARDIZE(BN40,BN$3,BN$4))," ",STANDARDIZE(BN40,BN$3,BN$4))</f>
        <v xml:space="preserve"> </v>
      </c>
      <c r="BO70" s="276" t="str">
        <f t="shared" si="97"/>
        <v xml:space="preserve"> </v>
      </c>
      <c r="BP70" s="276" t="str">
        <f t="shared" si="97"/>
        <v xml:space="preserve"> </v>
      </c>
      <c r="BQ70" s="276" t="str">
        <f t="shared" si="97"/>
        <v xml:space="preserve"> </v>
      </c>
      <c r="BR70" s="276" t="str">
        <f t="shared" si="97"/>
        <v xml:space="preserve"> </v>
      </c>
      <c r="BS70" s="276" t="str">
        <f t="shared" si="97"/>
        <v xml:space="preserve"> </v>
      </c>
      <c r="BT70" s="276" t="str">
        <f t="shared" si="97"/>
        <v xml:space="preserve"> </v>
      </c>
      <c r="BU70" s="276" t="str">
        <f t="shared" si="97"/>
        <v xml:space="preserve"> </v>
      </c>
      <c r="BV70" s="276" t="str">
        <f t="shared" si="97"/>
        <v xml:space="preserve"> </v>
      </c>
      <c r="BW70" s="276" t="str">
        <f t="shared" si="97"/>
        <v xml:space="preserve"> </v>
      </c>
      <c r="BX70" s="276" t="str">
        <f t="shared" si="97"/>
        <v xml:space="preserve"> </v>
      </c>
      <c r="BY70" s="276" t="str">
        <f t="shared" si="97"/>
        <v xml:space="preserve"> </v>
      </c>
      <c r="BZ70" s="276" t="str">
        <f t="shared" si="97"/>
        <v xml:space="preserve"> </v>
      </c>
      <c r="CA70" s="276" t="str">
        <f t="shared" ref="CA70" si="98">IF(ISERROR(STANDARDIZE(CA40,CA$3,CA$4))," ",STANDARDIZE(CA40,CA$3,CA$4))</f>
        <v xml:space="preserve"> </v>
      </c>
      <c r="CB70" s="288" t="str">
        <f>IF(INDEX('Raw Data'!$A23:$EA23,MATCH(CB$19,RawData[#Headers],))=""," ",INDEX('Raw Data'!$A23:$EA23,MATCH(CB$19,RawData[#Headers],)))</f>
        <v xml:space="preserve"> </v>
      </c>
      <c r="CD70" s="276" t="str">
        <f>IF(B70=" ",zscores[[#This Row],[Cohesion ROI]],SUMXMY2($B70:$CA70,$B$9:$CA$9))</f>
        <v xml:space="preserve"> </v>
      </c>
      <c r="CE70" s="276" t="str">
        <f>IF(B70=" ",zscores[[#This Row],[Best Fixed Odds]],SUMXMY2($B70:$CA70,$B$10:$CA$10))</f>
        <v xml:space="preserve"> </v>
      </c>
      <c r="CF70" s="276" t="str">
        <f>IF(B70=" ",zscores[[#This Row],[Trainer 12 Months ROI]],SUMXMY2($B70:$CA70,$B$11:$CA$11))</f>
        <v xml:space="preserve"> </v>
      </c>
      <c r="CG70" s="276" t="str">
        <f>IF(B70=" ",zscores[[#This Row],[Jockey This Season ROI]],SUMXMY2($B70:$CA70,$B$12:$CA$12))</f>
        <v xml:space="preserve"> </v>
      </c>
      <c r="CH70" s="276"/>
      <c r="CI70" s="276"/>
      <c r="CJ70" s="276"/>
      <c r="CK70" s="289">
        <f>IF(ISERROR(MIN(dataDistance[#This Row]))," ",MIN(dataDistance[#This Row]))</f>
        <v>0</v>
      </c>
      <c r="CM70" s="290" t="str">
        <f>IFERROR(MATCH(CK70,dataDistance[#This Row],0)," ")</f>
        <v xml:space="preserve"> </v>
      </c>
      <c r="CN70" s="289" t="str">
        <f>IF(CK70=0," ",IF(ISERROR(MIN(dataDistance[#This Row]))," ",MIN(dataDistance[#This Row])))</f>
        <v xml:space="preserve"> </v>
      </c>
      <c r="CO70" s="289" t="str">
        <f>IF(CN70=" "," ",zscores[[#This Row],[Num]])</f>
        <v xml:space="preserve"> </v>
      </c>
    </row>
    <row r="71" spans="1:93" x14ac:dyDescent="0.3">
      <c r="A71" s="255">
        <f>'Raw Data'!A24</f>
        <v>0</v>
      </c>
      <c r="B71" s="276" t="str">
        <f t="shared" si="67"/>
        <v xml:space="preserve"> </v>
      </c>
      <c r="C71" s="276" t="str">
        <f t="shared" ref="C71:BN74" si="99">IF(ISERROR(STANDARDIZE(C41,C$3,C$4))," ",STANDARDIZE(C41,C$3,C$4))</f>
        <v xml:space="preserve"> </v>
      </c>
      <c r="D71" s="276" t="str">
        <f t="shared" si="99"/>
        <v xml:space="preserve"> </v>
      </c>
      <c r="E71" s="276" t="str">
        <f t="shared" si="99"/>
        <v xml:space="preserve"> </v>
      </c>
      <c r="F71" s="276" t="str">
        <f t="shared" si="99"/>
        <v xml:space="preserve"> </v>
      </c>
      <c r="G71" s="276" t="str">
        <f t="shared" si="99"/>
        <v xml:space="preserve"> </v>
      </c>
      <c r="H71" s="276" t="str">
        <f t="shared" si="99"/>
        <v xml:space="preserve"> </v>
      </c>
      <c r="I71" s="276" t="str">
        <f t="shared" si="99"/>
        <v xml:space="preserve"> </v>
      </c>
      <c r="J71" s="276" t="str">
        <f t="shared" si="99"/>
        <v xml:space="preserve"> </v>
      </c>
      <c r="K71" s="276" t="str">
        <f t="shared" si="99"/>
        <v xml:space="preserve"> </v>
      </c>
      <c r="L71" s="276" t="str">
        <f t="shared" si="99"/>
        <v xml:space="preserve"> </v>
      </c>
      <c r="M71" s="276" t="str">
        <f t="shared" si="99"/>
        <v xml:space="preserve"> </v>
      </c>
      <c r="N71" s="276" t="str">
        <f t="shared" si="99"/>
        <v xml:space="preserve"> </v>
      </c>
      <c r="O71" s="276" t="str">
        <f t="shared" si="99"/>
        <v xml:space="preserve"> </v>
      </c>
      <c r="P71" s="276" t="str">
        <f t="shared" si="99"/>
        <v xml:space="preserve"> </v>
      </c>
      <c r="Q71" s="276" t="str">
        <f t="shared" si="99"/>
        <v xml:space="preserve"> </v>
      </c>
      <c r="R71" s="276" t="str">
        <f t="shared" si="99"/>
        <v xml:space="preserve"> </v>
      </c>
      <c r="S71" s="276" t="str">
        <f t="shared" si="99"/>
        <v xml:space="preserve"> </v>
      </c>
      <c r="T71" s="276" t="str">
        <f t="shared" si="99"/>
        <v xml:space="preserve"> </v>
      </c>
      <c r="U71" s="276" t="str">
        <f t="shared" si="99"/>
        <v xml:space="preserve"> </v>
      </c>
      <c r="V71" s="276" t="str">
        <f t="shared" si="99"/>
        <v xml:space="preserve"> </v>
      </c>
      <c r="W71" s="276" t="str">
        <f t="shared" si="99"/>
        <v xml:space="preserve"> </v>
      </c>
      <c r="X71" s="276" t="str">
        <f t="shared" si="99"/>
        <v xml:space="preserve"> </v>
      </c>
      <c r="Y71" s="276" t="str">
        <f t="shared" si="99"/>
        <v xml:space="preserve"> </v>
      </c>
      <c r="Z71" s="276" t="str">
        <f t="shared" si="99"/>
        <v xml:space="preserve"> </v>
      </c>
      <c r="AA71" s="276" t="str">
        <f t="shared" si="99"/>
        <v xml:space="preserve"> </v>
      </c>
      <c r="AB71" s="276" t="str">
        <f t="shared" si="99"/>
        <v xml:space="preserve"> </v>
      </c>
      <c r="AC71" s="276" t="str">
        <f t="shared" si="99"/>
        <v xml:space="preserve"> </v>
      </c>
      <c r="AD71" s="276" t="str">
        <f t="shared" si="99"/>
        <v xml:space="preserve"> </v>
      </c>
      <c r="AE71" s="276" t="str">
        <f t="shared" si="99"/>
        <v xml:space="preserve"> </v>
      </c>
      <c r="AF71" s="276" t="str">
        <f t="shared" si="99"/>
        <v xml:space="preserve"> </v>
      </c>
      <c r="AG71" s="276" t="str">
        <f t="shared" si="99"/>
        <v xml:space="preserve"> </v>
      </c>
      <c r="AH71" s="276" t="str">
        <f t="shared" si="99"/>
        <v xml:space="preserve"> </v>
      </c>
      <c r="AI71" s="276" t="str">
        <f t="shared" si="99"/>
        <v xml:space="preserve"> </v>
      </c>
      <c r="AJ71" s="276" t="str">
        <f t="shared" si="99"/>
        <v xml:space="preserve"> </v>
      </c>
      <c r="AK71" s="276" t="str">
        <f t="shared" si="99"/>
        <v xml:space="preserve"> </v>
      </c>
      <c r="AL71" s="276" t="str">
        <f t="shared" si="99"/>
        <v xml:space="preserve"> </v>
      </c>
      <c r="AM71" s="276" t="str">
        <f t="shared" si="99"/>
        <v xml:space="preserve"> </v>
      </c>
      <c r="AN71" s="276" t="str">
        <f t="shared" si="99"/>
        <v xml:space="preserve"> </v>
      </c>
      <c r="AO71" s="276" t="str">
        <f t="shared" si="99"/>
        <v xml:space="preserve"> </v>
      </c>
      <c r="AP71" s="276" t="str">
        <f t="shared" si="99"/>
        <v xml:space="preserve"> </v>
      </c>
      <c r="AQ71" s="276" t="str">
        <f t="shared" si="99"/>
        <v xml:space="preserve"> </v>
      </c>
      <c r="AR71" s="276" t="str">
        <f t="shared" si="99"/>
        <v xml:space="preserve"> </v>
      </c>
      <c r="AS71" s="276" t="str">
        <f t="shared" si="99"/>
        <v xml:space="preserve"> </v>
      </c>
      <c r="AT71" s="276" t="str">
        <f t="shared" si="99"/>
        <v xml:space="preserve"> </v>
      </c>
      <c r="AU71" s="276" t="str">
        <f t="shared" si="99"/>
        <v xml:space="preserve"> </v>
      </c>
      <c r="AV71" s="276" t="str">
        <f t="shared" si="99"/>
        <v xml:space="preserve"> </v>
      </c>
      <c r="AW71" s="276" t="str">
        <f t="shared" si="99"/>
        <v xml:space="preserve"> </v>
      </c>
      <c r="AX71" s="276" t="str">
        <f t="shared" si="99"/>
        <v xml:space="preserve"> </v>
      </c>
      <c r="AY71" s="276" t="str">
        <f t="shared" si="99"/>
        <v xml:space="preserve"> </v>
      </c>
      <c r="AZ71" s="276" t="str">
        <f t="shared" si="99"/>
        <v xml:space="preserve"> </v>
      </c>
      <c r="BA71" s="276" t="str">
        <f t="shared" si="99"/>
        <v xml:space="preserve"> </v>
      </c>
      <c r="BB71" s="276" t="str">
        <f t="shared" si="99"/>
        <v xml:space="preserve"> </v>
      </c>
      <c r="BC71" s="276" t="str">
        <f t="shared" si="99"/>
        <v xml:space="preserve"> </v>
      </c>
      <c r="BD71" s="276" t="str">
        <f t="shared" si="99"/>
        <v xml:space="preserve"> </v>
      </c>
      <c r="BE71" s="276" t="str">
        <f t="shared" si="99"/>
        <v xml:space="preserve"> </v>
      </c>
      <c r="BF71" s="276" t="str">
        <f t="shared" si="99"/>
        <v xml:space="preserve"> </v>
      </c>
      <c r="BG71" s="276" t="str">
        <f t="shared" si="99"/>
        <v xml:space="preserve"> </v>
      </c>
      <c r="BH71" s="276" t="str">
        <f t="shared" si="99"/>
        <v xml:space="preserve"> </v>
      </c>
      <c r="BI71" s="276" t="str">
        <f t="shared" si="99"/>
        <v xml:space="preserve"> </v>
      </c>
      <c r="BJ71" s="276" t="str">
        <f t="shared" si="99"/>
        <v xml:space="preserve"> </v>
      </c>
      <c r="BK71" s="276" t="str">
        <f t="shared" si="99"/>
        <v xml:space="preserve"> </v>
      </c>
      <c r="BL71" s="276" t="str">
        <f t="shared" si="99"/>
        <v xml:space="preserve"> </v>
      </c>
      <c r="BM71" s="276" t="str">
        <f t="shared" si="99"/>
        <v xml:space="preserve"> </v>
      </c>
      <c r="BN71" s="276" t="str">
        <f t="shared" si="99"/>
        <v xml:space="preserve"> </v>
      </c>
      <c r="BO71" s="276" t="str">
        <f t="shared" si="97"/>
        <v xml:space="preserve"> </v>
      </c>
      <c r="BP71" s="276" t="str">
        <f t="shared" si="97"/>
        <v xml:space="preserve"> </v>
      </c>
      <c r="BQ71" s="276" t="str">
        <f t="shared" si="97"/>
        <v xml:space="preserve"> </v>
      </c>
      <c r="BR71" s="276" t="str">
        <f t="shared" si="97"/>
        <v xml:space="preserve"> </v>
      </c>
      <c r="BS71" s="276" t="str">
        <f t="shared" si="97"/>
        <v xml:space="preserve"> </v>
      </c>
      <c r="BT71" s="276" t="str">
        <f t="shared" si="97"/>
        <v xml:space="preserve"> </v>
      </c>
      <c r="BU71" s="276" t="str">
        <f t="shared" si="97"/>
        <v xml:space="preserve"> </v>
      </c>
      <c r="BV71" s="276" t="str">
        <f t="shared" si="97"/>
        <v xml:space="preserve"> </v>
      </c>
      <c r="BW71" s="276" t="str">
        <f t="shared" si="97"/>
        <v xml:space="preserve"> </v>
      </c>
      <c r="BX71" s="276" t="str">
        <f t="shared" si="97"/>
        <v xml:space="preserve"> </v>
      </c>
      <c r="BY71" s="276" t="str">
        <f t="shared" si="97"/>
        <v xml:space="preserve"> </v>
      </c>
      <c r="BZ71" s="276" t="str">
        <f t="shared" si="97"/>
        <v xml:space="preserve"> </v>
      </c>
      <c r="CA71" s="276" t="str">
        <f t="shared" ref="CA71" si="100">IF(ISERROR(STANDARDIZE(CA41,CA$3,CA$4))," ",STANDARDIZE(CA41,CA$3,CA$4))</f>
        <v xml:space="preserve"> </v>
      </c>
      <c r="CB71" s="288" t="str">
        <f>IF(INDEX('Raw Data'!$A24:$EA24,MATCH(CB$19,RawData[#Headers],))=""," ",INDEX('Raw Data'!$A24:$EA24,MATCH(CB$19,RawData[#Headers],)))</f>
        <v xml:space="preserve"> </v>
      </c>
      <c r="CD71" s="276" t="str">
        <f>IF(B71=" ",zscores[[#This Row],[Cohesion ROI]],SUMXMY2($B71:$CA71,$B$9:$CA$9))</f>
        <v xml:space="preserve"> </v>
      </c>
      <c r="CE71" s="276" t="str">
        <f>IF(B71=" ",zscores[[#This Row],[Best Fixed Odds]],SUMXMY2($B71:$CA71,$B$10:$CA$10))</f>
        <v xml:space="preserve"> </v>
      </c>
      <c r="CF71" s="276" t="str">
        <f>IF(B71=" ",zscores[[#This Row],[Trainer 12 Months ROI]],SUMXMY2($B71:$CA71,$B$11:$CA$11))</f>
        <v xml:space="preserve"> </v>
      </c>
      <c r="CG71" s="276" t="str">
        <f>IF(B71=" ",zscores[[#This Row],[Jockey This Season ROI]],SUMXMY2($B71:$CA71,$B$12:$CA$12))</f>
        <v xml:space="preserve"> </v>
      </c>
      <c r="CH71" s="276"/>
      <c r="CI71" s="276"/>
      <c r="CJ71" s="276"/>
      <c r="CK71" s="289">
        <f>IF(ISERROR(MIN(dataDistance[#This Row]))," ",MIN(dataDistance[#This Row]))</f>
        <v>0</v>
      </c>
      <c r="CM71" s="290" t="str">
        <f>IFERROR(MATCH(CK71,dataDistance[#This Row],0)," ")</f>
        <v xml:space="preserve"> </v>
      </c>
      <c r="CN71" s="289" t="str">
        <f>IF(CK71=0," ",IF(ISERROR(MIN(dataDistance[#This Row]))," ",MIN(dataDistance[#This Row])))</f>
        <v xml:space="preserve"> </v>
      </c>
      <c r="CO71" s="289" t="str">
        <f>IF(CN71=" "," ",zscores[[#This Row],[Num]])</f>
        <v xml:space="preserve"> </v>
      </c>
    </row>
    <row r="72" spans="1:93" x14ac:dyDescent="0.3">
      <c r="A72" s="255">
        <f>'Raw Data'!A25</f>
        <v>0</v>
      </c>
      <c r="B72" s="276" t="str">
        <f t="shared" si="67"/>
        <v xml:space="preserve"> </v>
      </c>
      <c r="C72" s="276" t="str">
        <f t="shared" si="99"/>
        <v xml:space="preserve"> </v>
      </c>
      <c r="D72" s="276" t="str">
        <f t="shared" si="99"/>
        <v xml:space="preserve"> </v>
      </c>
      <c r="E72" s="276" t="str">
        <f t="shared" si="99"/>
        <v xml:space="preserve"> </v>
      </c>
      <c r="F72" s="276" t="str">
        <f t="shared" si="99"/>
        <v xml:space="preserve"> </v>
      </c>
      <c r="G72" s="276" t="str">
        <f t="shared" si="99"/>
        <v xml:space="preserve"> </v>
      </c>
      <c r="H72" s="276" t="str">
        <f t="shared" si="99"/>
        <v xml:space="preserve"> </v>
      </c>
      <c r="I72" s="276" t="str">
        <f t="shared" si="99"/>
        <v xml:space="preserve"> </v>
      </c>
      <c r="J72" s="276" t="str">
        <f t="shared" si="99"/>
        <v xml:space="preserve"> </v>
      </c>
      <c r="K72" s="276" t="str">
        <f t="shared" si="99"/>
        <v xml:space="preserve"> </v>
      </c>
      <c r="L72" s="276" t="str">
        <f t="shared" si="99"/>
        <v xml:space="preserve"> </v>
      </c>
      <c r="M72" s="276" t="str">
        <f t="shared" si="99"/>
        <v xml:space="preserve"> </v>
      </c>
      <c r="N72" s="276" t="str">
        <f t="shared" si="99"/>
        <v xml:space="preserve"> </v>
      </c>
      <c r="O72" s="276" t="str">
        <f t="shared" si="99"/>
        <v xml:space="preserve"> </v>
      </c>
      <c r="P72" s="276" t="str">
        <f t="shared" si="99"/>
        <v xml:space="preserve"> </v>
      </c>
      <c r="Q72" s="276" t="str">
        <f t="shared" si="99"/>
        <v xml:space="preserve"> </v>
      </c>
      <c r="R72" s="276" t="str">
        <f t="shared" si="99"/>
        <v xml:space="preserve"> </v>
      </c>
      <c r="S72" s="276" t="str">
        <f t="shared" si="99"/>
        <v xml:space="preserve"> </v>
      </c>
      <c r="T72" s="276" t="str">
        <f t="shared" si="99"/>
        <v xml:space="preserve"> </v>
      </c>
      <c r="U72" s="276" t="str">
        <f t="shared" si="99"/>
        <v xml:space="preserve"> </v>
      </c>
      <c r="V72" s="276" t="str">
        <f t="shared" si="99"/>
        <v xml:space="preserve"> </v>
      </c>
      <c r="W72" s="276" t="str">
        <f t="shared" si="99"/>
        <v xml:space="preserve"> </v>
      </c>
      <c r="X72" s="276" t="str">
        <f t="shared" si="99"/>
        <v xml:space="preserve"> </v>
      </c>
      <c r="Y72" s="276" t="str">
        <f t="shared" si="99"/>
        <v xml:space="preserve"> </v>
      </c>
      <c r="Z72" s="276" t="str">
        <f t="shared" si="99"/>
        <v xml:space="preserve"> </v>
      </c>
      <c r="AA72" s="276" t="str">
        <f t="shared" si="99"/>
        <v xml:space="preserve"> </v>
      </c>
      <c r="AB72" s="276" t="str">
        <f t="shared" si="99"/>
        <v xml:space="preserve"> </v>
      </c>
      <c r="AC72" s="276" t="str">
        <f t="shared" si="99"/>
        <v xml:space="preserve"> </v>
      </c>
      <c r="AD72" s="276" t="str">
        <f t="shared" si="99"/>
        <v xml:space="preserve"> </v>
      </c>
      <c r="AE72" s="276" t="str">
        <f t="shared" si="99"/>
        <v xml:space="preserve"> </v>
      </c>
      <c r="AF72" s="276" t="str">
        <f t="shared" si="99"/>
        <v xml:space="preserve"> </v>
      </c>
      <c r="AG72" s="276" t="str">
        <f t="shared" si="99"/>
        <v xml:space="preserve"> </v>
      </c>
      <c r="AH72" s="276" t="str">
        <f t="shared" si="99"/>
        <v xml:space="preserve"> </v>
      </c>
      <c r="AI72" s="276" t="str">
        <f t="shared" si="99"/>
        <v xml:space="preserve"> </v>
      </c>
      <c r="AJ72" s="276" t="str">
        <f t="shared" si="99"/>
        <v xml:space="preserve"> </v>
      </c>
      <c r="AK72" s="276" t="str">
        <f t="shared" si="99"/>
        <v xml:space="preserve"> </v>
      </c>
      <c r="AL72" s="276" t="str">
        <f t="shared" si="99"/>
        <v xml:space="preserve"> </v>
      </c>
      <c r="AM72" s="276" t="str">
        <f t="shared" si="99"/>
        <v xml:space="preserve"> </v>
      </c>
      <c r="AN72" s="276" t="str">
        <f t="shared" si="99"/>
        <v xml:space="preserve"> </v>
      </c>
      <c r="AO72" s="276" t="str">
        <f t="shared" si="99"/>
        <v xml:space="preserve"> </v>
      </c>
      <c r="AP72" s="276" t="str">
        <f t="shared" si="99"/>
        <v xml:space="preserve"> </v>
      </c>
      <c r="AQ72" s="276" t="str">
        <f t="shared" si="99"/>
        <v xml:space="preserve"> </v>
      </c>
      <c r="AR72" s="276" t="str">
        <f t="shared" si="99"/>
        <v xml:space="preserve"> </v>
      </c>
      <c r="AS72" s="276" t="str">
        <f t="shared" si="99"/>
        <v xml:space="preserve"> </v>
      </c>
      <c r="AT72" s="276" t="str">
        <f t="shared" si="99"/>
        <v xml:space="preserve"> </v>
      </c>
      <c r="AU72" s="276" t="str">
        <f t="shared" si="99"/>
        <v xml:space="preserve"> </v>
      </c>
      <c r="AV72" s="276" t="str">
        <f t="shared" si="99"/>
        <v xml:space="preserve"> </v>
      </c>
      <c r="AW72" s="276" t="str">
        <f t="shared" si="99"/>
        <v xml:space="preserve"> </v>
      </c>
      <c r="AX72" s="276" t="str">
        <f t="shared" si="99"/>
        <v xml:space="preserve"> </v>
      </c>
      <c r="AY72" s="276" t="str">
        <f t="shared" si="99"/>
        <v xml:space="preserve"> </v>
      </c>
      <c r="AZ72" s="276" t="str">
        <f t="shared" si="99"/>
        <v xml:space="preserve"> </v>
      </c>
      <c r="BA72" s="276" t="str">
        <f t="shared" si="99"/>
        <v xml:space="preserve"> </v>
      </c>
      <c r="BB72" s="276" t="str">
        <f t="shared" si="99"/>
        <v xml:space="preserve"> </v>
      </c>
      <c r="BC72" s="276" t="str">
        <f t="shared" si="99"/>
        <v xml:space="preserve"> </v>
      </c>
      <c r="BD72" s="276" t="str">
        <f t="shared" si="99"/>
        <v xml:space="preserve"> </v>
      </c>
      <c r="BE72" s="276" t="str">
        <f t="shared" si="99"/>
        <v xml:space="preserve"> </v>
      </c>
      <c r="BF72" s="276" t="str">
        <f t="shared" si="99"/>
        <v xml:space="preserve"> </v>
      </c>
      <c r="BG72" s="276" t="str">
        <f t="shared" si="99"/>
        <v xml:space="preserve"> </v>
      </c>
      <c r="BH72" s="276" t="str">
        <f t="shared" si="99"/>
        <v xml:space="preserve"> </v>
      </c>
      <c r="BI72" s="276" t="str">
        <f t="shared" si="99"/>
        <v xml:space="preserve"> </v>
      </c>
      <c r="BJ72" s="276" t="str">
        <f t="shared" si="99"/>
        <v xml:space="preserve"> </v>
      </c>
      <c r="BK72" s="276" t="str">
        <f t="shared" si="99"/>
        <v xml:space="preserve"> </v>
      </c>
      <c r="BL72" s="276" t="str">
        <f t="shared" si="99"/>
        <v xml:space="preserve"> </v>
      </c>
      <c r="BM72" s="276" t="str">
        <f t="shared" si="99"/>
        <v xml:space="preserve"> </v>
      </c>
      <c r="BN72" s="276" t="str">
        <f t="shared" si="99"/>
        <v xml:space="preserve"> </v>
      </c>
      <c r="BO72" s="276" t="str">
        <f t="shared" si="97"/>
        <v xml:space="preserve"> </v>
      </c>
      <c r="BP72" s="276" t="str">
        <f t="shared" si="97"/>
        <v xml:space="preserve"> </v>
      </c>
      <c r="BQ72" s="276" t="str">
        <f t="shared" si="97"/>
        <v xml:space="preserve"> </v>
      </c>
      <c r="BR72" s="276" t="str">
        <f t="shared" si="97"/>
        <v xml:space="preserve"> </v>
      </c>
      <c r="BS72" s="276" t="str">
        <f t="shared" si="97"/>
        <v xml:space="preserve"> </v>
      </c>
      <c r="BT72" s="276" t="str">
        <f t="shared" si="97"/>
        <v xml:space="preserve"> </v>
      </c>
      <c r="BU72" s="276" t="str">
        <f t="shared" si="97"/>
        <v xml:space="preserve"> </v>
      </c>
      <c r="BV72" s="276" t="str">
        <f t="shared" si="97"/>
        <v xml:space="preserve"> </v>
      </c>
      <c r="BW72" s="276" t="str">
        <f t="shared" si="97"/>
        <v xml:space="preserve"> </v>
      </c>
      <c r="BX72" s="276" t="str">
        <f t="shared" si="97"/>
        <v xml:space="preserve"> </v>
      </c>
      <c r="BY72" s="276" t="str">
        <f t="shared" si="97"/>
        <v xml:space="preserve"> </v>
      </c>
      <c r="BZ72" s="276" t="str">
        <f t="shared" si="97"/>
        <v xml:space="preserve"> </v>
      </c>
      <c r="CA72" s="276" t="str">
        <f t="shared" ref="CA72" si="101">IF(ISERROR(STANDARDIZE(CA42,CA$3,CA$4))," ",STANDARDIZE(CA42,CA$3,CA$4))</f>
        <v xml:space="preserve"> </v>
      </c>
      <c r="CB72" s="288" t="str">
        <f>IF(INDEX('Raw Data'!$A25:$EA25,MATCH(CB$19,RawData[#Headers],))=""," ",INDEX('Raw Data'!$A25:$EA25,MATCH(CB$19,RawData[#Headers],)))</f>
        <v xml:space="preserve"> </v>
      </c>
      <c r="CD72" s="276" t="str">
        <f>IF(B72=" ",zscores[[#This Row],[Cohesion ROI]],SUMXMY2($B72:$CA72,$B$9:$CA$9))</f>
        <v xml:space="preserve"> </v>
      </c>
      <c r="CE72" s="276" t="str">
        <f>IF(B72=" ",zscores[[#This Row],[Best Fixed Odds]],SUMXMY2($B72:$CA72,$B$10:$CA$10))</f>
        <v xml:space="preserve"> </v>
      </c>
      <c r="CF72" s="276" t="str">
        <f>IF(B72=" ",zscores[[#This Row],[Trainer 12 Months ROI]],SUMXMY2($B72:$CA72,$B$11:$CA$11))</f>
        <v xml:space="preserve"> </v>
      </c>
      <c r="CG72" s="276" t="str">
        <f>IF(B72=" ",zscores[[#This Row],[Jockey This Season ROI]],SUMXMY2($B72:$CA72,$B$12:$CA$12))</f>
        <v xml:space="preserve"> </v>
      </c>
      <c r="CH72" s="276"/>
      <c r="CI72" s="276"/>
      <c r="CJ72" s="276"/>
      <c r="CK72" s="289">
        <f>IF(ISERROR(MIN(dataDistance[#This Row]))," ",MIN(dataDistance[#This Row]))</f>
        <v>0</v>
      </c>
      <c r="CM72" s="290" t="str">
        <f>IFERROR(MATCH(CK72,dataDistance[#This Row],0)," ")</f>
        <v xml:space="preserve"> </v>
      </c>
      <c r="CN72" s="289" t="str">
        <f>IF(CK72=0," ",IF(ISERROR(MIN(dataDistance[#This Row]))," ",MIN(dataDistance[#This Row])))</f>
        <v xml:space="preserve"> </v>
      </c>
      <c r="CO72" s="289" t="str">
        <f>IF(CN72=" "," ",zscores[[#This Row],[Num]])</f>
        <v xml:space="preserve"> </v>
      </c>
    </row>
    <row r="73" spans="1:93" x14ac:dyDescent="0.3">
      <c r="A73" s="255">
        <f>'Raw Data'!A26</f>
        <v>0</v>
      </c>
      <c r="B73" s="276" t="str">
        <f t="shared" si="67"/>
        <v xml:space="preserve"> </v>
      </c>
      <c r="C73" s="276" t="str">
        <f t="shared" si="99"/>
        <v xml:space="preserve"> </v>
      </c>
      <c r="D73" s="276" t="str">
        <f t="shared" si="99"/>
        <v xml:space="preserve"> </v>
      </c>
      <c r="E73" s="276" t="str">
        <f t="shared" si="99"/>
        <v xml:space="preserve"> </v>
      </c>
      <c r="F73" s="276" t="str">
        <f t="shared" si="99"/>
        <v xml:space="preserve"> </v>
      </c>
      <c r="G73" s="276" t="str">
        <f t="shared" si="99"/>
        <v xml:space="preserve"> </v>
      </c>
      <c r="H73" s="276" t="str">
        <f t="shared" si="99"/>
        <v xml:space="preserve"> </v>
      </c>
      <c r="I73" s="276" t="str">
        <f t="shared" si="99"/>
        <v xml:space="preserve"> </v>
      </c>
      <c r="J73" s="276" t="str">
        <f t="shared" si="99"/>
        <v xml:space="preserve"> </v>
      </c>
      <c r="K73" s="276" t="str">
        <f t="shared" si="99"/>
        <v xml:space="preserve"> </v>
      </c>
      <c r="L73" s="276" t="str">
        <f t="shared" si="99"/>
        <v xml:space="preserve"> </v>
      </c>
      <c r="M73" s="276" t="str">
        <f t="shared" si="99"/>
        <v xml:space="preserve"> </v>
      </c>
      <c r="N73" s="276" t="str">
        <f t="shared" si="99"/>
        <v xml:space="preserve"> </v>
      </c>
      <c r="O73" s="276" t="str">
        <f t="shared" si="99"/>
        <v xml:space="preserve"> </v>
      </c>
      <c r="P73" s="276" t="str">
        <f t="shared" si="99"/>
        <v xml:space="preserve"> </v>
      </c>
      <c r="Q73" s="276" t="str">
        <f t="shared" si="99"/>
        <v xml:space="preserve"> </v>
      </c>
      <c r="R73" s="276" t="str">
        <f t="shared" si="99"/>
        <v xml:space="preserve"> </v>
      </c>
      <c r="S73" s="276" t="str">
        <f t="shared" si="99"/>
        <v xml:space="preserve"> </v>
      </c>
      <c r="T73" s="276" t="str">
        <f t="shared" si="99"/>
        <v xml:space="preserve"> </v>
      </c>
      <c r="U73" s="276" t="str">
        <f t="shared" si="99"/>
        <v xml:space="preserve"> </v>
      </c>
      <c r="V73" s="276" t="str">
        <f t="shared" si="99"/>
        <v xml:space="preserve"> </v>
      </c>
      <c r="W73" s="276" t="str">
        <f t="shared" si="99"/>
        <v xml:space="preserve"> </v>
      </c>
      <c r="X73" s="276" t="str">
        <f t="shared" si="99"/>
        <v xml:space="preserve"> </v>
      </c>
      <c r="Y73" s="276" t="str">
        <f t="shared" si="99"/>
        <v xml:space="preserve"> </v>
      </c>
      <c r="Z73" s="276" t="str">
        <f t="shared" si="99"/>
        <v xml:space="preserve"> </v>
      </c>
      <c r="AA73" s="276" t="str">
        <f t="shared" si="99"/>
        <v xml:space="preserve"> </v>
      </c>
      <c r="AB73" s="276" t="str">
        <f t="shared" si="99"/>
        <v xml:space="preserve"> </v>
      </c>
      <c r="AC73" s="276" t="str">
        <f t="shared" si="99"/>
        <v xml:space="preserve"> </v>
      </c>
      <c r="AD73" s="276" t="str">
        <f t="shared" si="99"/>
        <v xml:space="preserve"> </v>
      </c>
      <c r="AE73" s="276" t="str">
        <f t="shared" si="99"/>
        <v xml:space="preserve"> </v>
      </c>
      <c r="AF73" s="276" t="str">
        <f t="shared" si="99"/>
        <v xml:space="preserve"> </v>
      </c>
      <c r="AG73" s="276" t="str">
        <f t="shared" si="99"/>
        <v xml:space="preserve"> </v>
      </c>
      <c r="AH73" s="276" t="str">
        <f t="shared" si="99"/>
        <v xml:space="preserve"> </v>
      </c>
      <c r="AI73" s="276" t="str">
        <f t="shared" si="99"/>
        <v xml:space="preserve"> </v>
      </c>
      <c r="AJ73" s="276" t="str">
        <f t="shared" si="99"/>
        <v xml:space="preserve"> </v>
      </c>
      <c r="AK73" s="276" t="str">
        <f t="shared" si="99"/>
        <v xml:space="preserve"> </v>
      </c>
      <c r="AL73" s="276" t="str">
        <f t="shared" si="99"/>
        <v xml:space="preserve"> </v>
      </c>
      <c r="AM73" s="276" t="str">
        <f t="shared" si="99"/>
        <v xml:space="preserve"> </v>
      </c>
      <c r="AN73" s="276" t="str">
        <f t="shared" si="99"/>
        <v xml:space="preserve"> </v>
      </c>
      <c r="AO73" s="276" t="str">
        <f t="shared" si="99"/>
        <v xml:space="preserve"> </v>
      </c>
      <c r="AP73" s="276" t="str">
        <f t="shared" si="99"/>
        <v xml:space="preserve"> </v>
      </c>
      <c r="AQ73" s="276" t="str">
        <f t="shared" si="99"/>
        <v xml:space="preserve"> </v>
      </c>
      <c r="AR73" s="276" t="str">
        <f t="shared" si="99"/>
        <v xml:space="preserve"> </v>
      </c>
      <c r="AS73" s="276" t="str">
        <f t="shared" si="99"/>
        <v xml:space="preserve"> </v>
      </c>
      <c r="AT73" s="276" t="str">
        <f t="shared" si="99"/>
        <v xml:space="preserve"> </v>
      </c>
      <c r="AU73" s="276" t="str">
        <f t="shared" si="99"/>
        <v xml:space="preserve"> </v>
      </c>
      <c r="AV73" s="276" t="str">
        <f t="shared" si="99"/>
        <v xml:space="preserve"> </v>
      </c>
      <c r="AW73" s="276" t="str">
        <f t="shared" si="99"/>
        <v xml:space="preserve"> </v>
      </c>
      <c r="AX73" s="276" t="str">
        <f t="shared" si="99"/>
        <v xml:space="preserve"> </v>
      </c>
      <c r="AY73" s="276" t="str">
        <f t="shared" si="99"/>
        <v xml:space="preserve"> </v>
      </c>
      <c r="AZ73" s="276" t="str">
        <f t="shared" si="99"/>
        <v xml:space="preserve"> </v>
      </c>
      <c r="BA73" s="276" t="str">
        <f t="shared" si="99"/>
        <v xml:space="preserve"> </v>
      </c>
      <c r="BB73" s="276" t="str">
        <f t="shared" si="99"/>
        <v xml:space="preserve"> </v>
      </c>
      <c r="BC73" s="276" t="str">
        <f t="shared" si="99"/>
        <v xml:space="preserve"> </v>
      </c>
      <c r="BD73" s="276" t="str">
        <f t="shared" si="99"/>
        <v xml:space="preserve"> </v>
      </c>
      <c r="BE73" s="276" t="str">
        <f t="shared" si="99"/>
        <v xml:space="preserve"> </v>
      </c>
      <c r="BF73" s="276" t="str">
        <f t="shared" si="99"/>
        <v xml:space="preserve"> </v>
      </c>
      <c r="BG73" s="276" t="str">
        <f t="shared" si="99"/>
        <v xml:space="preserve"> </v>
      </c>
      <c r="BH73" s="276" t="str">
        <f t="shared" si="99"/>
        <v xml:space="preserve"> </v>
      </c>
      <c r="BI73" s="276" t="str">
        <f t="shared" si="99"/>
        <v xml:space="preserve"> </v>
      </c>
      <c r="BJ73" s="276" t="str">
        <f t="shared" si="99"/>
        <v xml:space="preserve"> </v>
      </c>
      <c r="BK73" s="276" t="str">
        <f t="shared" si="99"/>
        <v xml:space="preserve"> </v>
      </c>
      <c r="BL73" s="276" t="str">
        <f t="shared" si="99"/>
        <v xml:space="preserve"> </v>
      </c>
      <c r="BM73" s="276" t="str">
        <f t="shared" si="99"/>
        <v xml:space="preserve"> </v>
      </c>
      <c r="BN73" s="276" t="str">
        <f t="shared" si="99"/>
        <v xml:space="preserve"> </v>
      </c>
      <c r="BO73" s="276" t="str">
        <f t="shared" si="97"/>
        <v xml:space="preserve"> </v>
      </c>
      <c r="BP73" s="276" t="str">
        <f t="shared" si="97"/>
        <v xml:space="preserve"> </v>
      </c>
      <c r="BQ73" s="276" t="str">
        <f t="shared" si="97"/>
        <v xml:space="preserve"> </v>
      </c>
      <c r="BR73" s="276" t="str">
        <f t="shared" si="97"/>
        <v xml:space="preserve"> </v>
      </c>
      <c r="BS73" s="276" t="str">
        <f t="shared" si="97"/>
        <v xml:space="preserve"> </v>
      </c>
      <c r="BT73" s="276" t="str">
        <f t="shared" si="97"/>
        <v xml:space="preserve"> </v>
      </c>
      <c r="BU73" s="276" t="str">
        <f t="shared" si="97"/>
        <v xml:space="preserve"> </v>
      </c>
      <c r="BV73" s="276" t="str">
        <f t="shared" si="97"/>
        <v xml:space="preserve"> </v>
      </c>
      <c r="BW73" s="276" t="str">
        <f t="shared" si="97"/>
        <v xml:space="preserve"> </v>
      </c>
      <c r="BX73" s="276" t="str">
        <f t="shared" si="97"/>
        <v xml:space="preserve"> </v>
      </c>
      <c r="BY73" s="276" t="str">
        <f t="shared" si="97"/>
        <v xml:space="preserve"> </v>
      </c>
      <c r="BZ73" s="276" t="str">
        <f t="shared" si="97"/>
        <v xml:space="preserve"> </v>
      </c>
      <c r="CA73" s="276" t="str">
        <f t="shared" ref="CA73" si="102">IF(ISERROR(STANDARDIZE(CA43,CA$3,CA$4))," ",STANDARDIZE(CA43,CA$3,CA$4))</f>
        <v xml:space="preserve"> </v>
      </c>
      <c r="CB73" s="288" t="str">
        <f>IF(INDEX('Raw Data'!$A26:$EA26,MATCH(CB$19,RawData[#Headers],))=""," ",INDEX('Raw Data'!$A26:$EA26,MATCH(CB$19,RawData[#Headers],)))</f>
        <v xml:space="preserve"> </v>
      </c>
      <c r="CD73" s="276" t="str">
        <f>IF(B73=" ",zscores[[#This Row],[Cohesion ROI]],SUMXMY2($B73:$CA73,$B$9:$CA$9))</f>
        <v xml:space="preserve"> </v>
      </c>
      <c r="CE73" s="276" t="str">
        <f>IF(B73=" ",zscores[[#This Row],[Best Fixed Odds]],SUMXMY2($B73:$CA73,$B$10:$CA$10))</f>
        <v xml:space="preserve"> </v>
      </c>
      <c r="CF73" s="276" t="str">
        <f>IF(B73=" ",zscores[[#This Row],[Trainer 12 Months ROI]],SUMXMY2($B73:$CA73,$B$11:$CA$11))</f>
        <v xml:space="preserve"> </v>
      </c>
      <c r="CG73" s="276" t="str">
        <f>IF(B73=" ",zscores[[#This Row],[Jockey This Season ROI]],SUMXMY2($B73:$CA73,$B$12:$CA$12))</f>
        <v xml:space="preserve"> </v>
      </c>
      <c r="CH73" s="276"/>
      <c r="CI73" s="276"/>
      <c r="CJ73" s="276"/>
      <c r="CK73" s="289">
        <f>IF(ISERROR(MIN(dataDistance[#This Row]))," ",MIN(dataDistance[#This Row]))</f>
        <v>0</v>
      </c>
      <c r="CM73" s="290" t="str">
        <f>IFERROR(MATCH(CK73,dataDistance[#This Row],0)," ")</f>
        <v xml:space="preserve"> </v>
      </c>
      <c r="CN73" s="289" t="str">
        <f>IF(CK73=0," ",IF(ISERROR(MIN(dataDistance[#This Row]))," ",MIN(dataDistance[#This Row])))</f>
        <v xml:space="preserve"> </v>
      </c>
      <c r="CO73" s="289" t="str">
        <f>IF(CN73=" "," ",zscores[[#This Row],[Num]])</f>
        <v xml:space="preserve"> </v>
      </c>
    </row>
    <row r="74" spans="1:93" x14ac:dyDescent="0.3">
      <c r="A74" s="255">
        <f>'Raw Data'!A27</f>
        <v>0</v>
      </c>
      <c r="B74" s="276" t="str">
        <f t="shared" si="67"/>
        <v xml:space="preserve"> </v>
      </c>
      <c r="C74" s="276" t="str">
        <f t="shared" si="99"/>
        <v xml:space="preserve"> </v>
      </c>
      <c r="D74" s="276" t="str">
        <f t="shared" si="99"/>
        <v xml:space="preserve"> </v>
      </c>
      <c r="E74" s="276" t="str">
        <f t="shared" si="99"/>
        <v xml:space="preserve"> </v>
      </c>
      <c r="F74" s="276" t="str">
        <f t="shared" si="99"/>
        <v xml:space="preserve"> </v>
      </c>
      <c r="G74" s="276" t="str">
        <f t="shared" si="99"/>
        <v xml:space="preserve"> </v>
      </c>
      <c r="H74" s="276" t="str">
        <f t="shared" si="99"/>
        <v xml:space="preserve"> </v>
      </c>
      <c r="I74" s="276" t="str">
        <f t="shared" si="99"/>
        <v xml:space="preserve"> </v>
      </c>
      <c r="J74" s="276" t="str">
        <f t="shared" si="99"/>
        <v xml:space="preserve"> </v>
      </c>
      <c r="K74" s="276" t="str">
        <f t="shared" si="99"/>
        <v xml:space="preserve"> </v>
      </c>
      <c r="L74" s="276" t="str">
        <f t="shared" si="99"/>
        <v xml:space="preserve"> </v>
      </c>
      <c r="M74" s="276" t="str">
        <f t="shared" si="99"/>
        <v xml:space="preserve"> </v>
      </c>
      <c r="N74" s="276" t="str">
        <f t="shared" si="99"/>
        <v xml:space="preserve"> </v>
      </c>
      <c r="O74" s="276" t="str">
        <f t="shared" si="99"/>
        <v xml:space="preserve"> </v>
      </c>
      <c r="P74" s="276" t="str">
        <f t="shared" si="99"/>
        <v xml:space="preserve"> </v>
      </c>
      <c r="Q74" s="276" t="str">
        <f t="shared" si="99"/>
        <v xml:space="preserve"> </v>
      </c>
      <c r="R74" s="276" t="str">
        <f t="shared" si="99"/>
        <v xml:space="preserve"> </v>
      </c>
      <c r="S74" s="276" t="str">
        <f t="shared" si="99"/>
        <v xml:space="preserve"> </v>
      </c>
      <c r="T74" s="276" t="str">
        <f t="shared" si="99"/>
        <v xml:space="preserve"> </v>
      </c>
      <c r="U74" s="276" t="str">
        <f t="shared" si="99"/>
        <v xml:space="preserve"> </v>
      </c>
      <c r="V74" s="276" t="str">
        <f t="shared" si="99"/>
        <v xml:space="preserve"> </v>
      </c>
      <c r="W74" s="276" t="str">
        <f t="shared" si="99"/>
        <v xml:space="preserve"> </v>
      </c>
      <c r="X74" s="276" t="str">
        <f t="shared" si="99"/>
        <v xml:space="preserve"> </v>
      </c>
      <c r="Y74" s="276" t="str">
        <f t="shared" si="99"/>
        <v xml:space="preserve"> </v>
      </c>
      <c r="Z74" s="276" t="str">
        <f t="shared" si="99"/>
        <v xml:space="preserve"> </v>
      </c>
      <c r="AA74" s="276" t="str">
        <f t="shared" si="99"/>
        <v xml:space="preserve"> </v>
      </c>
      <c r="AB74" s="276" t="str">
        <f t="shared" si="99"/>
        <v xml:space="preserve"> </v>
      </c>
      <c r="AC74" s="276" t="str">
        <f t="shared" si="99"/>
        <v xml:space="preserve"> </v>
      </c>
      <c r="AD74" s="276" t="str">
        <f t="shared" si="99"/>
        <v xml:space="preserve"> </v>
      </c>
      <c r="AE74" s="276" t="str">
        <f t="shared" si="99"/>
        <v xml:space="preserve"> </v>
      </c>
      <c r="AF74" s="276" t="str">
        <f t="shared" si="99"/>
        <v xml:space="preserve"> </v>
      </c>
      <c r="AG74" s="276" t="str">
        <f t="shared" si="99"/>
        <v xml:space="preserve"> </v>
      </c>
      <c r="AH74" s="276" t="str">
        <f t="shared" si="99"/>
        <v xml:space="preserve"> </v>
      </c>
      <c r="AI74" s="276" t="str">
        <f t="shared" si="99"/>
        <v xml:space="preserve"> </v>
      </c>
      <c r="AJ74" s="276" t="str">
        <f t="shared" si="99"/>
        <v xml:space="preserve"> </v>
      </c>
      <c r="AK74" s="276" t="str">
        <f t="shared" si="99"/>
        <v xml:space="preserve"> </v>
      </c>
      <c r="AL74" s="276" t="str">
        <f t="shared" si="99"/>
        <v xml:space="preserve"> </v>
      </c>
      <c r="AM74" s="276" t="str">
        <f t="shared" si="99"/>
        <v xml:space="preserve"> </v>
      </c>
      <c r="AN74" s="276" t="str">
        <f t="shared" si="99"/>
        <v xml:space="preserve"> </v>
      </c>
      <c r="AO74" s="276" t="str">
        <f t="shared" si="99"/>
        <v xml:space="preserve"> </v>
      </c>
      <c r="AP74" s="276" t="str">
        <f t="shared" si="99"/>
        <v xml:space="preserve"> </v>
      </c>
      <c r="AQ74" s="276" t="str">
        <f t="shared" si="99"/>
        <v xml:space="preserve"> </v>
      </c>
      <c r="AR74" s="276" t="str">
        <f t="shared" si="99"/>
        <v xml:space="preserve"> </v>
      </c>
      <c r="AS74" s="276" t="str">
        <f t="shared" si="99"/>
        <v xml:space="preserve"> </v>
      </c>
      <c r="AT74" s="276" t="str">
        <f t="shared" si="99"/>
        <v xml:space="preserve"> </v>
      </c>
      <c r="AU74" s="276" t="str">
        <f t="shared" si="99"/>
        <v xml:space="preserve"> </v>
      </c>
      <c r="AV74" s="276" t="str">
        <f t="shared" si="99"/>
        <v xml:space="preserve"> </v>
      </c>
      <c r="AW74" s="276" t="str">
        <f t="shared" si="99"/>
        <v xml:space="preserve"> </v>
      </c>
      <c r="AX74" s="276" t="str">
        <f t="shared" si="99"/>
        <v xml:space="preserve"> </v>
      </c>
      <c r="AY74" s="276" t="str">
        <f t="shared" si="99"/>
        <v xml:space="preserve"> </v>
      </c>
      <c r="AZ74" s="276" t="str">
        <f t="shared" si="99"/>
        <v xml:space="preserve"> </v>
      </c>
      <c r="BA74" s="276" t="str">
        <f t="shared" si="99"/>
        <v xml:space="preserve"> </v>
      </c>
      <c r="BB74" s="276" t="str">
        <f t="shared" si="99"/>
        <v xml:space="preserve"> </v>
      </c>
      <c r="BC74" s="276" t="str">
        <f t="shared" si="99"/>
        <v xml:space="preserve"> </v>
      </c>
      <c r="BD74" s="276" t="str">
        <f t="shared" si="99"/>
        <v xml:space="preserve"> </v>
      </c>
      <c r="BE74" s="276" t="str">
        <f t="shared" si="99"/>
        <v xml:space="preserve"> </v>
      </c>
      <c r="BF74" s="276" t="str">
        <f t="shared" si="99"/>
        <v xml:space="preserve"> </v>
      </c>
      <c r="BG74" s="276" t="str">
        <f t="shared" si="99"/>
        <v xml:space="preserve"> </v>
      </c>
      <c r="BH74" s="276" t="str">
        <f t="shared" si="99"/>
        <v xml:space="preserve"> </v>
      </c>
      <c r="BI74" s="276" t="str">
        <f t="shared" si="99"/>
        <v xml:space="preserve"> </v>
      </c>
      <c r="BJ74" s="276" t="str">
        <f t="shared" si="99"/>
        <v xml:space="preserve"> </v>
      </c>
      <c r="BK74" s="276" t="str">
        <f t="shared" si="99"/>
        <v xml:space="preserve"> </v>
      </c>
      <c r="BL74" s="276" t="str">
        <f t="shared" si="99"/>
        <v xml:space="preserve"> </v>
      </c>
      <c r="BM74" s="276" t="str">
        <f t="shared" si="99"/>
        <v xml:space="preserve"> </v>
      </c>
      <c r="BN74" s="276" t="str">
        <f t="shared" ref="BN74:BZ75" si="103">IF(ISERROR(STANDARDIZE(BN44,BN$3,BN$4))," ",STANDARDIZE(BN44,BN$3,BN$4))</f>
        <v xml:space="preserve"> </v>
      </c>
      <c r="BO74" s="276" t="str">
        <f t="shared" si="103"/>
        <v xml:space="preserve"> </v>
      </c>
      <c r="BP74" s="276" t="str">
        <f t="shared" si="103"/>
        <v xml:space="preserve"> </v>
      </c>
      <c r="BQ74" s="276" t="str">
        <f t="shared" si="103"/>
        <v xml:space="preserve"> </v>
      </c>
      <c r="BR74" s="276" t="str">
        <f t="shared" si="103"/>
        <v xml:space="preserve"> </v>
      </c>
      <c r="BS74" s="276" t="str">
        <f t="shared" si="103"/>
        <v xml:space="preserve"> </v>
      </c>
      <c r="BT74" s="276" t="str">
        <f t="shared" si="103"/>
        <v xml:space="preserve"> </v>
      </c>
      <c r="BU74" s="276" t="str">
        <f t="shared" si="103"/>
        <v xml:space="preserve"> </v>
      </c>
      <c r="BV74" s="276" t="str">
        <f t="shared" si="103"/>
        <v xml:space="preserve"> </v>
      </c>
      <c r="BW74" s="276" t="str">
        <f t="shared" si="103"/>
        <v xml:space="preserve"> </v>
      </c>
      <c r="BX74" s="276" t="str">
        <f t="shared" si="103"/>
        <v xml:space="preserve"> </v>
      </c>
      <c r="BY74" s="276" t="str">
        <f t="shared" si="103"/>
        <v xml:space="preserve"> </v>
      </c>
      <c r="BZ74" s="276" t="str">
        <f t="shared" si="103"/>
        <v xml:space="preserve"> </v>
      </c>
      <c r="CA74" s="276" t="str">
        <f t="shared" ref="CA74" si="104">IF(ISERROR(STANDARDIZE(CA44,CA$3,CA$4))," ",STANDARDIZE(CA44,CA$3,CA$4))</f>
        <v xml:space="preserve"> </v>
      </c>
      <c r="CB74" s="288" t="str">
        <f>IF(INDEX('Raw Data'!$A27:$EA27,MATCH(CB$19,RawData[#Headers],))=""," ",INDEX('Raw Data'!$A27:$EA27,MATCH(CB$19,RawData[#Headers],)))</f>
        <v xml:space="preserve"> </v>
      </c>
      <c r="CD74" s="276" t="str">
        <f>IF(B74=" ",zscores[[#This Row],[Cohesion ROI]],SUMXMY2($B74:$CA74,$B$9:$CA$9))</f>
        <v xml:space="preserve"> </v>
      </c>
      <c r="CE74" s="276" t="str">
        <f>IF(B74=" ",zscores[[#This Row],[Best Fixed Odds]],SUMXMY2($B74:$CA74,$B$10:$CA$10))</f>
        <v xml:space="preserve"> </v>
      </c>
      <c r="CF74" s="276" t="str">
        <f>IF(B74=" ",zscores[[#This Row],[Trainer 12 Months ROI]],SUMXMY2($B74:$CA74,$B$11:$CA$11))</f>
        <v xml:space="preserve"> </v>
      </c>
      <c r="CG74" s="276" t="str">
        <f>IF(B74=" ",zscores[[#This Row],[Jockey This Season ROI]],SUMXMY2($B74:$CA74,$B$12:$CA$12))</f>
        <v xml:space="preserve"> </v>
      </c>
      <c r="CH74" s="276"/>
      <c r="CI74" s="276"/>
      <c r="CJ74" s="276"/>
      <c r="CK74" s="289">
        <f>IF(ISERROR(MIN(dataDistance[#This Row]))," ",MIN(dataDistance[#This Row]))</f>
        <v>0</v>
      </c>
      <c r="CM74" s="290" t="str">
        <f>IFERROR(MATCH(CK74,dataDistance[#This Row],0)," ")</f>
        <v xml:space="preserve"> </v>
      </c>
      <c r="CN74" s="289" t="str">
        <f>IF(CK74=0," ",IF(ISERROR(MIN(dataDistance[#This Row]))," ",MIN(dataDistance[#This Row])))</f>
        <v xml:space="preserve"> </v>
      </c>
      <c r="CO74" s="289" t="str">
        <f>IF(CN74=" "," ",zscores[[#This Row],[Num]])</f>
        <v xml:space="preserve"> </v>
      </c>
    </row>
    <row r="75" spans="1:93" x14ac:dyDescent="0.3">
      <c r="A75" s="255">
        <f>'Raw Data'!A28</f>
        <v>0</v>
      </c>
      <c r="B75" s="276" t="str">
        <f t="shared" si="67"/>
        <v xml:space="preserve"> </v>
      </c>
      <c r="C75" s="276" t="str">
        <f t="shared" ref="C75:BN75" si="105">IF(ISERROR(STANDARDIZE(C45,C$3,C$4))," ",STANDARDIZE(C45,C$3,C$4))</f>
        <v xml:space="preserve"> </v>
      </c>
      <c r="D75" s="276" t="str">
        <f t="shared" si="105"/>
        <v xml:space="preserve"> </v>
      </c>
      <c r="E75" s="276" t="str">
        <f t="shared" si="105"/>
        <v xml:space="preserve"> </v>
      </c>
      <c r="F75" s="276" t="str">
        <f t="shared" si="105"/>
        <v xml:space="preserve"> </v>
      </c>
      <c r="G75" s="276" t="str">
        <f t="shared" si="105"/>
        <v xml:space="preserve"> </v>
      </c>
      <c r="H75" s="276" t="str">
        <f t="shared" si="105"/>
        <v xml:space="preserve"> </v>
      </c>
      <c r="I75" s="276" t="str">
        <f t="shared" si="105"/>
        <v xml:space="preserve"> </v>
      </c>
      <c r="J75" s="276" t="str">
        <f t="shared" si="105"/>
        <v xml:space="preserve"> </v>
      </c>
      <c r="K75" s="276" t="str">
        <f t="shared" si="105"/>
        <v xml:space="preserve"> </v>
      </c>
      <c r="L75" s="276" t="str">
        <f t="shared" si="105"/>
        <v xml:space="preserve"> </v>
      </c>
      <c r="M75" s="276" t="str">
        <f t="shared" si="105"/>
        <v xml:space="preserve"> </v>
      </c>
      <c r="N75" s="276" t="str">
        <f t="shared" si="105"/>
        <v xml:space="preserve"> </v>
      </c>
      <c r="O75" s="276" t="str">
        <f t="shared" si="105"/>
        <v xml:space="preserve"> </v>
      </c>
      <c r="P75" s="276" t="str">
        <f t="shared" si="105"/>
        <v xml:space="preserve"> </v>
      </c>
      <c r="Q75" s="276" t="str">
        <f t="shared" si="105"/>
        <v xml:space="preserve"> </v>
      </c>
      <c r="R75" s="276" t="str">
        <f t="shared" si="105"/>
        <v xml:space="preserve"> </v>
      </c>
      <c r="S75" s="276" t="str">
        <f t="shared" si="105"/>
        <v xml:space="preserve"> </v>
      </c>
      <c r="T75" s="276" t="str">
        <f t="shared" si="105"/>
        <v xml:space="preserve"> </v>
      </c>
      <c r="U75" s="276" t="str">
        <f t="shared" si="105"/>
        <v xml:space="preserve"> </v>
      </c>
      <c r="V75" s="276" t="str">
        <f t="shared" si="105"/>
        <v xml:space="preserve"> </v>
      </c>
      <c r="W75" s="276" t="str">
        <f t="shared" si="105"/>
        <v xml:space="preserve"> </v>
      </c>
      <c r="X75" s="276" t="str">
        <f t="shared" si="105"/>
        <v xml:space="preserve"> </v>
      </c>
      <c r="Y75" s="276" t="str">
        <f t="shared" si="105"/>
        <v xml:space="preserve"> </v>
      </c>
      <c r="Z75" s="276" t="str">
        <f t="shared" si="105"/>
        <v xml:space="preserve"> </v>
      </c>
      <c r="AA75" s="276" t="str">
        <f t="shared" si="105"/>
        <v xml:space="preserve"> </v>
      </c>
      <c r="AB75" s="276" t="str">
        <f t="shared" si="105"/>
        <v xml:space="preserve"> </v>
      </c>
      <c r="AC75" s="276" t="str">
        <f t="shared" si="105"/>
        <v xml:space="preserve"> </v>
      </c>
      <c r="AD75" s="276" t="str">
        <f t="shared" si="105"/>
        <v xml:space="preserve"> </v>
      </c>
      <c r="AE75" s="276" t="str">
        <f t="shared" si="105"/>
        <v xml:space="preserve"> </v>
      </c>
      <c r="AF75" s="276" t="str">
        <f t="shared" si="105"/>
        <v xml:space="preserve"> </v>
      </c>
      <c r="AG75" s="276" t="str">
        <f t="shared" si="105"/>
        <v xml:space="preserve"> </v>
      </c>
      <c r="AH75" s="276" t="str">
        <f t="shared" si="105"/>
        <v xml:space="preserve"> </v>
      </c>
      <c r="AI75" s="276" t="str">
        <f t="shared" si="105"/>
        <v xml:space="preserve"> </v>
      </c>
      <c r="AJ75" s="276" t="str">
        <f t="shared" si="105"/>
        <v xml:space="preserve"> </v>
      </c>
      <c r="AK75" s="276" t="str">
        <f t="shared" si="105"/>
        <v xml:space="preserve"> </v>
      </c>
      <c r="AL75" s="276" t="str">
        <f t="shared" si="105"/>
        <v xml:space="preserve"> </v>
      </c>
      <c r="AM75" s="276" t="str">
        <f t="shared" si="105"/>
        <v xml:space="preserve"> </v>
      </c>
      <c r="AN75" s="276" t="str">
        <f t="shared" si="105"/>
        <v xml:space="preserve"> </v>
      </c>
      <c r="AO75" s="276" t="str">
        <f t="shared" si="105"/>
        <v xml:space="preserve"> </v>
      </c>
      <c r="AP75" s="276" t="str">
        <f t="shared" si="105"/>
        <v xml:space="preserve"> </v>
      </c>
      <c r="AQ75" s="276" t="str">
        <f t="shared" si="105"/>
        <v xml:space="preserve"> </v>
      </c>
      <c r="AR75" s="276" t="str">
        <f t="shared" si="105"/>
        <v xml:space="preserve"> </v>
      </c>
      <c r="AS75" s="276" t="str">
        <f t="shared" si="105"/>
        <v xml:space="preserve"> </v>
      </c>
      <c r="AT75" s="276" t="str">
        <f t="shared" si="105"/>
        <v xml:space="preserve"> </v>
      </c>
      <c r="AU75" s="276" t="str">
        <f t="shared" si="105"/>
        <v xml:space="preserve"> </v>
      </c>
      <c r="AV75" s="276" t="str">
        <f t="shared" si="105"/>
        <v xml:space="preserve"> </v>
      </c>
      <c r="AW75" s="276" t="str">
        <f t="shared" si="105"/>
        <v xml:space="preserve"> </v>
      </c>
      <c r="AX75" s="276" t="str">
        <f t="shared" si="105"/>
        <v xml:space="preserve"> </v>
      </c>
      <c r="AY75" s="276" t="str">
        <f t="shared" si="105"/>
        <v xml:space="preserve"> </v>
      </c>
      <c r="AZ75" s="276" t="str">
        <f t="shared" si="105"/>
        <v xml:space="preserve"> </v>
      </c>
      <c r="BA75" s="276" t="str">
        <f t="shared" si="105"/>
        <v xml:space="preserve"> </v>
      </c>
      <c r="BB75" s="276" t="str">
        <f t="shared" si="105"/>
        <v xml:space="preserve"> </v>
      </c>
      <c r="BC75" s="276" t="str">
        <f t="shared" si="105"/>
        <v xml:space="preserve"> </v>
      </c>
      <c r="BD75" s="276" t="str">
        <f t="shared" si="105"/>
        <v xml:space="preserve"> </v>
      </c>
      <c r="BE75" s="276" t="str">
        <f t="shared" si="105"/>
        <v xml:space="preserve"> </v>
      </c>
      <c r="BF75" s="276" t="str">
        <f t="shared" si="105"/>
        <v xml:space="preserve"> </v>
      </c>
      <c r="BG75" s="276" t="str">
        <f t="shared" si="105"/>
        <v xml:space="preserve"> </v>
      </c>
      <c r="BH75" s="276" t="str">
        <f t="shared" si="105"/>
        <v xml:space="preserve"> </v>
      </c>
      <c r="BI75" s="276" t="str">
        <f t="shared" si="105"/>
        <v xml:space="preserve"> </v>
      </c>
      <c r="BJ75" s="276" t="str">
        <f t="shared" si="105"/>
        <v xml:space="preserve"> </v>
      </c>
      <c r="BK75" s="276" t="str">
        <f t="shared" si="105"/>
        <v xml:space="preserve"> </v>
      </c>
      <c r="BL75" s="276" t="str">
        <f t="shared" si="105"/>
        <v xml:space="preserve"> </v>
      </c>
      <c r="BM75" s="276" t="str">
        <f t="shared" si="105"/>
        <v xml:space="preserve"> </v>
      </c>
      <c r="BN75" s="276" t="str">
        <f t="shared" si="105"/>
        <v xml:space="preserve"> </v>
      </c>
      <c r="BO75" s="276" t="str">
        <f t="shared" si="103"/>
        <v xml:space="preserve"> </v>
      </c>
      <c r="BP75" s="276" t="str">
        <f t="shared" si="103"/>
        <v xml:space="preserve"> </v>
      </c>
      <c r="BQ75" s="276" t="str">
        <f t="shared" si="103"/>
        <v xml:space="preserve"> </v>
      </c>
      <c r="BR75" s="276" t="str">
        <f t="shared" si="103"/>
        <v xml:space="preserve"> </v>
      </c>
      <c r="BS75" s="276" t="str">
        <f t="shared" si="103"/>
        <v xml:space="preserve"> </v>
      </c>
      <c r="BT75" s="276" t="str">
        <f t="shared" si="103"/>
        <v xml:space="preserve"> </v>
      </c>
      <c r="BU75" s="276" t="str">
        <f t="shared" si="103"/>
        <v xml:space="preserve"> </v>
      </c>
      <c r="BV75" s="276" t="str">
        <f t="shared" si="103"/>
        <v xml:space="preserve"> </v>
      </c>
      <c r="BW75" s="276" t="str">
        <f t="shared" si="103"/>
        <v xml:space="preserve"> </v>
      </c>
      <c r="BX75" s="276" t="str">
        <f t="shared" si="103"/>
        <v xml:space="preserve"> </v>
      </c>
      <c r="BY75" s="276" t="str">
        <f t="shared" si="103"/>
        <v xml:space="preserve"> </v>
      </c>
      <c r="BZ75" s="276" t="str">
        <f t="shared" si="103"/>
        <v xml:space="preserve"> </v>
      </c>
      <c r="CA75" s="276" t="str">
        <f t="shared" ref="CA75" si="106">IF(ISERROR(STANDARDIZE(CA45,CA$3,CA$4))," ",STANDARDIZE(CA45,CA$3,CA$4))</f>
        <v xml:space="preserve"> </v>
      </c>
      <c r="CB75" s="288" t="str">
        <f>IF(INDEX('Raw Data'!$A28:$EA28,MATCH(CB$19,RawData[#Headers],))=""," ",INDEX('Raw Data'!$A28:$EA28,MATCH(CB$19,RawData[#Headers],)))</f>
        <v xml:space="preserve"> </v>
      </c>
      <c r="CD75" s="276" t="str">
        <f>IF(B75=" ",zscores[[#This Row],[Cohesion ROI]],SUMXMY2($B75:$CA75,$B$9:$CA$9))</f>
        <v xml:space="preserve"> </v>
      </c>
      <c r="CE75" s="276" t="str">
        <f>IF(B75=" ",zscores[[#This Row],[Best Fixed Odds]],SUMXMY2($B75:$CA75,$B$10:$CA$10))</f>
        <v xml:space="preserve"> </v>
      </c>
      <c r="CF75" s="276" t="str">
        <f>IF(B75=" ",zscores[[#This Row],[Trainer 12 Months ROI]],SUMXMY2($B75:$CA75,$B$11:$CA$11))</f>
        <v xml:space="preserve"> </v>
      </c>
      <c r="CG75" s="276" t="str">
        <f>IF(B75=" ",zscores[[#This Row],[Jockey This Season ROI]],SUMXMY2($B75:$CA75,$B$12:$CA$12))</f>
        <v xml:space="preserve"> </v>
      </c>
      <c r="CH75" s="276"/>
      <c r="CI75" s="276"/>
      <c r="CJ75" s="276"/>
      <c r="CK75" s="291">
        <f>IF(ISERROR(MIN(dataDistance[#This Row]))," ",MIN(dataDistance[#This Row]))</f>
        <v>0</v>
      </c>
      <c r="CM75" s="290" t="str">
        <f>IFERROR(MATCH(CK75,dataDistance[#This Row],0)," ")</f>
        <v xml:space="preserve"> </v>
      </c>
      <c r="CN75" s="289" t="str">
        <f>IF(CK75=0," ",IF(ISERROR(MIN(dataDistance[#This Row]))," ",MIN(dataDistance[#This Row])))</f>
        <v xml:space="preserve"> </v>
      </c>
      <c r="CO75" s="289" t="str">
        <f>IF(CN75=" "," ",zscores[[#This Row],[Num]])</f>
        <v xml:space="preserve"> </v>
      </c>
    </row>
  </sheetData>
  <sortState xmlns:xlrd2="http://schemas.microsoft.com/office/spreadsheetml/2017/richdata2" ref="CM21:CM25">
    <sortCondition ref="CM20"/>
  </sortState>
  <mergeCells count="2">
    <mergeCell ref="CR16:CU16"/>
    <mergeCell ref="CX16:DA16"/>
  </mergeCells>
  <conditionalFormatting sqref="A19:CC19 DM19 DO19:XFD19">
    <cfRule type="duplicateValues" dxfId="474" priority="111"/>
  </conditionalFormatting>
  <conditionalFormatting sqref="CM49 A49:CA49 CC49:CJ49 CP49 CV49:XFD49">
    <cfRule type="duplicateValues" dxfId="473" priority="110"/>
  </conditionalFormatting>
  <conditionalFormatting sqref="CM2:CP2 A2:CA2 CC2:CJ2 CV2:XFD2">
    <cfRule type="duplicateValues" dxfId="472" priority="109"/>
  </conditionalFormatting>
  <conditionalFormatting sqref="B8:CB8">
    <cfRule type="duplicateValues" dxfId="471" priority="108"/>
  </conditionalFormatting>
  <conditionalFormatting sqref="CB49">
    <cfRule type="duplicateValues" dxfId="470" priority="105"/>
  </conditionalFormatting>
  <conditionalFormatting sqref="CB2">
    <cfRule type="duplicateValues" dxfId="469" priority="102"/>
  </conditionalFormatting>
  <conditionalFormatting sqref="CD8:CH8">
    <cfRule type="duplicateValues" dxfId="468" priority="101"/>
  </conditionalFormatting>
  <conditionalFormatting sqref="CF19">
    <cfRule type="duplicateValues" dxfId="467" priority="97"/>
  </conditionalFormatting>
  <conditionalFormatting sqref="CG19">
    <cfRule type="duplicateValues" dxfId="466" priority="96"/>
  </conditionalFormatting>
  <conditionalFormatting sqref="CH19">
    <cfRule type="duplicateValues" dxfId="465" priority="95"/>
  </conditionalFormatting>
  <conditionalFormatting sqref="CE19">
    <cfRule type="duplicateValues" dxfId="464" priority="83"/>
  </conditionalFormatting>
  <conditionalFormatting sqref="CQ49:CU49">
    <cfRule type="duplicateValues" dxfId="463" priority="79"/>
  </conditionalFormatting>
  <conditionalFormatting sqref="CQ2:CU2">
    <cfRule type="duplicateValues" dxfId="462" priority="78"/>
  </conditionalFormatting>
  <conditionalFormatting sqref="CR18:CU18">
    <cfRule type="cellIs" dxfId="461" priority="57" operator="lessThanOrEqual">
      <formula>2</formula>
    </cfRule>
  </conditionalFormatting>
  <conditionalFormatting sqref="CX18:DA18">
    <cfRule type="cellIs" dxfId="460" priority="56" operator="lessThanOrEqual">
      <formula>2</formula>
    </cfRule>
  </conditionalFormatting>
  <conditionalFormatting sqref="CV19">
    <cfRule type="duplicateValues" dxfId="459" priority="44"/>
  </conditionalFormatting>
  <conditionalFormatting sqref="CM19">
    <cfRule type="duplicateValues" dxfId="458" priority="43"/>
  </conditionalFormatting>
  <conditionalFormatting sqref="CL19">
    <cfRule type="duplicateValues" dxfId="457" priority="41"/>
  </conditionalFormatting>
  <conditionalFormatting sqref="CQ19">
    <cfRule type="duplicateValues" dxfId="456" priority="40"/>
  </conditionalFormatting>
  <conditionalFormatting sqref="DB19">
    <cfRule type="duplicateValues" dxfId="455" priority="39"/>
  </conditionalFormatting>
  <conditionalFormatting sqref="CW19">
    <cfRule type="duplicateValues" dxfId="454" priority="38"/>
  </conditionalFormatting>
  <conditionalFormatting sqref="CI19">
    <cfRule type="duplicateValues" dxfId="453" priority="20"/>
  </conditionalFormatting>
  <conditionalFormatting sqref="CK19">
    <cfRule type="duplicateValues" dxfId="452" priority="19"/>
  </conditionalFormatting>
  <conditionalFormatting sqref="CJ22">
    <cfRule type="duplicateValues" dxfId="451" priority="18"/>
  </conditionalFormatting>
  <conditionalFormatting sqref="CJ21">
    <cfRule type="duplicateValues" dxfId="450" priority="17"/>
  </conditionalFormatting>
  <conditionalFormatting sqref="CJ20">
    <cfRule type="duplicateValues" dxfId="449" priority="16"/>
  </conditionalFormatting>
  <conditionalFormatting sqref="CJ24">
    <cfRule type="duplicateValues" dxfId="448" priority="15"/>
  </conditionalFormatting>
  <conditionalFormatting sqref="CJ26">
    <cfRule type="duplicateValues" dxfId="447" priority="14"/>
  </conditionalFormatting>
  <conditionalFormatting sqref="DN19">
    <cfRule type="duplicateValues" dxfId="446" priority="11"/>
  </conditionalFormatting>
  <conditionalFormatting sqref="CO19:CP19">
    <cfRule type="duplicateValues" dxfId="445" priority="1"/>
  </conditionalFormatting>
  <hyperlinks>
    <hyperlink ref="CD5" r:id="rId1" xr:uid="{00000000-0004-0000-0600-000000000000}"/>
  </hyperlinks>
  <pageMargins left="0.7" right="0.7" top="0.75" bottom="0.75" header="0.3" footer="0.3"/>
  <pageSetup paperSize="9" orientation="portrait" r:id="rId2"/>
  <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6B62C-B44E-44D9-885B-D52B6D21B3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SPORTSBET FIXED ODDS FOR PARLAY</vt:lpstr>
      <vt:lpstr>S31.ODDS</vt:lpstr>
      <vt:lpstr>A1. PICKS</vt:lpstr>
      <vt:lpstr>Dashboard </vt:lpstr>
      <vt:lpstr>Raw Data</vt:lpstr>
      <vt:lpstr>Results</vt:lpstr>
      <vt:lpstr>LastStart</vt:lpstr>
      <vt:lpstr>machina</vt:lpstr>
      <vt:lpstr>cluster</vt:lpstr>
      <vt:lpstr>NORM</vt:lpstr>
      <vt:lpstr>'A1. PICKS'!Print_Area</vt:lpstr>
      <vt:lpstr>S31.ODDS!Print_Area</vt:lpstr>
      <vt:lpstr>'SPORTSBET FIXED ODDS FOR PARLAY'!Print_Area</vt:lpstr>
      <vt:lpstr>RANK1</vt:lpstr>
      <vt:lpstr>RANK2</vt:lpstr>
      <vt:lpstr>RANK3</vt:lpstr>
      <vt:lpstr>RANK3A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2015-10-13T07:42:03Z</dcterms:created>
  <dcterms:modified xsi:type="dcterms:W3CDTF">2020-12-24T03:28:00Z</dcterms:modified>
</cp:coreProperties>
</file>