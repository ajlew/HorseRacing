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myGear\Kingston\Gaming\Templates\GitHubTemplates\summary\"/>
    </mc:Choice>
  </mc:AlternateContent>
  <xr:revisionPtr revIDLastSave="0" documentId="13_ncr:1_{86C075BC-C0B4-4344-85C6-8261BEB3BE5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amanda" sheetId="2" r:id="rId1"/>
  </sheets>
  <externalReferences>
    <externalReference r:id="rId2"/>
    <externalReference r:id="rId3"/>
    <externalReference r:id="rId4"/>
    <externalReference r:id="rId5"/>
  </externalReferences>
  <definedNames>
    <definedName name="_xlnm._FilterDatabase" localSheetId="0" hidden="1">amanda!$A$2:$BA$100</definedName>
    <definedName name="BOX">OFFSET('[1]SYD 08'!$A$12:XEQ1048530,0,COUNTA('[1]SYD 08'!$A$1:$A$65536)-1)</definedName>
    <definedName name="george">OFFSET('[2]SYD 08'!$D$3:$D$12,0,COUNTC('[2]SYD 08'!$D$1:$D$65536)-1)</definedName>
    <definedName name="Name">'[3]MR5 04072009 _SK _1_'!$A$3:$A$18</definedName>
    <definedName name="Name_10">'[3]MR7 08082009_SK_3_'!$A$3:$A$13</definedName>
    <definedName name="Name_11">'[3]MR8 08082009_S_K_4_'!$A$3:$A$12</definedName>
    <definedName name="Name_12">'[3]MR6 25072009 _S_K _1_'!$A$3:$A$12</definedName>
    <definedName name="Name_13">'[3]MR8 25072009 _S_K _2_'!$A$3:$A$12</definedName>
    <definedName name="Name_14">'[3]MR6 18072009 _S_K _1_'!$A$3:$A$10</definedName>
    <definedName name="Name_15">'[3]SR6 18072009 _S_K _2_'!$A$3:$A$15</definedName>
    <definedName name="Name_16">'[3]MR7 18072009 _SK _3_'!$A$3:$A$18</definedName>
    <definedName name="Name_17">'[3]SR7 18072009 _S_K _4_'!$A$3:$A$15</definedName>
    <definedName name="Name_18">'[3]MR8 18072009 _SK _5_'!$A$3:$A$14</definedName>
    <definedName name="Name_19">'[3]SR8 18072009 _SK _6_'!$A$3:$A$13</definedName>
    <definedName name="Name_20">'[3]SR5 11072009 _+SK __'!$A$3:$A$13</definedName>
    <definedName name="Name_21">'[3]SR6 11072009 +S-K _1_'!$A$3:$A$13</definedName>
    <definedName name="Name_22">'[3]SR7 11072009 _SK _2_'!$A$3:$A$11</definedName>
    <definedName name="Name_23">'[3]SR8 11072009 _SK _3_'!$A$3:$A$14</definedName>
    <definedName name="Name_3">'[3]MR6 19092009 _S_K _2_'!$A$3:$A$20</definedName>
    <definedName name="Name_4">'[3]MR8 19092009 _S_K _2_'!$A$3:$A$17</definedName>
    <definedName name="Name_5">'[3]MR7 05092009 _SK _1_'!$A$3:$A$14</definedName>
    <definedName name="Name_6">'[3]MR8 05092009 _SK _2_'!$A$3:$A$17</definedName>
    <definedName name="Name_7">'[3]MR9 05092009 _SK'!$A$3:$A$17</definedName>
    <definedName name="Name_8">'[3]SR7 08082009 _SK_1_'!$A$3:$A$14</definedName>
    <definedName name="Name_9">'[3]SR8 08082009 _SK_2_'!$A$3:$A$14</definedName>
    <definedName name="peter">OFFSET('[2]SYD 08'!$D$3:$D$12,0,COUNTC('[2]SYD 08'!$D$1:$D$65536)-1)</definedName>
    <definedName name="RUNS">'[3]MR5 04072009 _SK _1_'!$C$3:$C$18</definedName>
    <definedName name="RUNS_10">'[3]MR7 08082009_SK_3_'!$C$3:$C$13</definedName>
    <definedName name="RUNS_11">'[3]MR8 08082009_S_K_4_'!$C$3:$C$12</definedName>
    <definedName name="RUNS_12">'[3]MR6 25072009 _S_K _1_'!$C$3:$C$12</definedName>
    <definedName name="RUNS_13">'[3]MR8 25072009 _S_K _2_'!$C$3:$C$12</definedName>
    <definedName name="RUNS_14">'[3]MR6 18072009 _S_K _1_'!$C$3:$C$10</definedName>
    <definedName name="RUNS_15">'[3]SR6 18072009 _S_K _2_'!$C$3:$C$15</definedName>
    <definedName name="RUNS_16">'[3]MR7 18072009 _SK _3_'!$C$3:$C$18</definedName>
    <definedName name="RUNS_17">'[3]SR7 18072009 _S_K _4_'!$C$3:$C$15</definedName>
    <definedName name="RUNS_18">'[3]MR8 18072009 _SK _5_'!$C$3:$C$14</definedName>
    <definedName name="RUNS_19">'[3]SR8 18072009 _SK _6_'!$C$3:$C$13</definedName>
    <definedName name="RUNS_20">'[3]SR5 11072009 _+SK __'!$C$3:$C$13</definedName>
    <definedName name="RUNS_21">'[3]SR6 11072009 +S-K _1_'!$C$3:$C$13</definedName>
    <definedName name="RUNS_22">'[3]SR7 11072009 _SK _2_'!$C$3:$C$11</definedName>
    <definedName name="RUNS_23">'[3]SR8 11072009 _SK _3_'!$C$3:$C$14</definedName>
    <definedName name="RUNS_3">'[3]MR6 19092009 _S_K _2_'!$C$3:$C$20</definedName>
    <definedName name="RUNS_4">'[3]MR8 19092009 _S_K _2_'!$C$3:$C$17</definedName>
    <definedName name="RUNS_5">'[3]MR7 05092009 _SK _1_'!$C$3:$C$14</definedName>
    <definedName name="RUNS_6">'[3]MR8 05092009 _SK _2_'!$C$3:$C$17</definedName>
    <definedName name="RUNS_7">'[3]MR9 05092009 _SK'!$C$3:$C$17</definedName>
    <definedName name="RUNS_8">'[3]SR7 08082009 _SK_1_'!$C$3:$C$14</definedName>
    <definedName name="RUNS_9">'[3]SR8 08082009 _SK_2_'!$C$3:$C$14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amanda!$AT$1</definedName>
    <definedName name="solver_typ" localSheetId="0" hidden="1">1</definedName>
    <definedName name="solver_val" localSheetId="0" hidden="1">0</definedName>
    <definedName name="solver_ver" localSheetId="0" hidden="1">3</definedName>
    <definedName name="TEMPLATE">OFFSET('[2]SYD 08'!$D$3:$D$12,0,COUNTC('[2]SYD 08'!$D$1:$D$65536)-1)</definedName>
    <definedName name="TOPPICKS">[4]Dashboard!$AX$20:$AX$21</definedName>
    <definedName name="VALUE">OFFSET('[2]SYD 08'!$D$3:$D$12,0,COUNTC('[2]SYD 08'!$D$1:$D$65536)-1)</definedName>
    <definedName name="VALUE_10">OFFSET('[2]SYD 08'!$D$3:$D$12,0,COUNTC('[2]SYD 08'!$D$1:$D$65536)-1)</definedName>
    <definedName name="VALUE_11">OFFSET('[2]SYD 08'!$D$3:$D$12,0,COUNTC('[2]SYD 08'!$D$1:$D$65536)-1)</definedName>
    <definedName name="VALUE_12">OFFSET('[2]SYD 08'!$D$3:$D$12,0,COUNTC('[2]SYD 08'!$D$1:$D$65536)-1)</definedName>
    <definedName name="VALUE_13">OFFSET('[2]SYD 08'!$D$3:$D$12,0,COUNTC('[2]SYD 08'!$D$1:$D$65536)-1)</definedName>
    <definedName name="VALUE_14">OFFSET('[2]SYD 08'!$D$3:$D$12,0,COUNTC('[2]SYD 08'!$D$1:$D$65536)-1)</definedName>
    <definedName name="VALUE_15">OFFSET('[2]SYD 08'!$D$3:$D$12,0,COUNTC('[2]SYD 08'!$D$1:$D$65536)-1)</definedName>
    <definedName name="VALUE_16">OFFSET('[2]SYD 08'!$D$3:$D$12,0,COUNTC('[2]SYD 08'!$D$1:$D$65536)-1)</definedName>
    <definedName name="VALUE_17">OFFSET('[2]SYD 08'!$D$3:$D$12,0,COUNTC('[2]SYD 08'!$D$1:$D$65536)-1)</definedName>
    <definedName name="VALUE_18">OFFSET('[2]SYD 08'!$D$3:$D$12,0,COUNTC('[2]SYD 08'!$D$1:$D$65536)-1)</definedName>
    <definedName name="VALUE_19">OFFSET('[2]SYD 08'!$D$3:$D$12,0,COUNTC('[2]SYD 08'!$D$1:$D$65536)-1)</definedName>
    <definedName name="VALUE_2">OFFSET('[2]SYD 08'!$D$3:$D$12,0,COUNTC('[2]SYD 08'!$D$1:$D$65536)-1)</definedName>
    <definedName name="VALUE_20">OFFSET('[2]SYD 08'!$D$3:$D$12,0,COUNTC('[2]SYD 08'!$D$1:$D$65536)-1)</definedName>
    <definedName name="VALUE_21">OFFSET('[2]SYD 08'!$D$3:$D$12,0,COUNTC('[2]SYD 08'!$D$1:$D$65536)-1)</definedName>
    <definedName name="VALUE_22">OFFSET('[2]SYD 08'!$D$3:$D$12,0,COUNTC('[2]SYD 08'!$D$1:$D$65536)-1)</definedName>
    <definedName name="VALUE_23">OFFSET('[2]SYD 08'!$D$3:$D$12,0,COUNTC('[2]SYD 08'!$D$1:$D$65536)-1)</definedName>
    <definedName name="VALUE_24">OFFSET('[2]SYD 08'!$D$3:$D$12,0,COUNTC('[2]SYD 08'!$D$1:$D$65536)-1)</definedName>
    <definedName name="VALUE_25">OFFSET('[2]SYD 08'!$D$3:$D$12,0,COUNTC('[2]SYD 08'!$D$1:$D$65536)-1)</definedName>
    <definedName name="VALUE_26">OFFSET('[2]SYD 08'!$D$3:$D$12,0,COUNTC('[2]SYD 08'!$D$1:$D$65536)-1)</definedName>
    <definedName name="VALUE_27">OFFSET('[2]SYD 08'!$D$3:$D$12,0,COUNTC('[2]SYD 08'!$D$1:$D$65536)-1)</definedName>
    <definedName name="VALUE_28">OFFSET('[2]SYD 08'!$D$3:$D$12,0,COUNTC('[2]SYD 08'!$D$1:$D$65536)-1)</definedName>
    <definedName name="VALUE_29">OFFSET('[2]SYD 08'!$D$3:$D$12,0,COUNTC('[2]SYD 08'!$D$1:$D$65536)-1)</definedName>
    <definedName name="VALUE_3">OFFSET('[2]SYD 08'!$D$3:$D$12,0,COUNTC('[2]SYD 08'!$D$1:$D$65536)-1)</definedName>
    <definedName name="VALUE_30">OFFSET('[2]SYD 08'!$D$3:$D$12,0,COUNTC('[2]SYD 08'!$D$1:$D$65536)-1)</definedName>
    <definedName name="VALUE_31">OFFSET('[2]SYD 08'!$D$3:$D$12,0,COUNTC('[2]SYD 08'!$D$1:$D$65536)-1)</definedName>
    <definedName name="VALUE_32">OFFSET('[2]SYD 08'!$D$3:$D$12,0,COUNTC('[2]SYD 08'!$D$1:$D$65536)-1)</definedName>
    <definedName name="VALUE_33">OFFSET('[2]SYD 08'!$D$3:$D$12,0,COUNTC('[2]SYD 08'!$D$1:$D$65536)-1)</definedName>
    <definedName name="VALUE_34">OFFSET('[2]SYD 08'!$D$3:$D$12,0,COUNTC('[2]SYD 08'!$D$1:$D$65536)-1)</definedName>
    <definedName name="VALUE_35">OFFSET('[2]SYD 08'!$D$3:$D$12,0,COUNTC('[2]SYD 08'!$D$1:$D$65536)-1)</definedName>
    <definedName name="VALUE_36">OFFSET('[2]SYD 08'!$D$3:$D$12,0,COUNTC('[2]SYD 08'!$D$1:$D$65536)-1)</definedName>
    <definedName name="VALUE_37">OFFSET('[2]SYD 08'!$D$3:$D$12,0,COUNTC('[2]SYD 08'!$D$1:$D$65536)-1)</definedName>
    <definedName name="VALUE_38">OFFSET('[2]SYD 08'!$D$3:$D$12,0,COUNTC('[2]SYD 08'!$D$1:$D$65536)-1)</definedName>
    <definedName name="VALUE_39">OFFSET('[2]SYD 08'!$D$3:$D$12,0,COUNTC('[2]SYD 08'!$D$1:$D$65536)-1)</definedName>
    <definedName name="VALUE_4">OFFSET('[2]SYD 08'!$D$3:$D$12,0,COUNTC('[2]SYD 08'!$D$1:$D$65536)-1)</definedName>
    <definedName name="VALUE_40">OFFSET('[2]SYD 08'!$D$3:$D$12,0,COUNTC('[2]SYD 08'!$D$1:$D$65536)-1)</definedName>
    <definedName name="VALUE_41">OFFSET('[2]SYD 08'!$D$3:$D$12,0,COUNTC('[2]SYD 08'!$D$1:$D$65536)-1)</definedName>
    <definedName name="VALUE_42">OFFSET('[2]SYD 08'!$D$3:$D$12,0,COUNTC('[2]SYD 08'!$D$1:$D$65536)-1)</definedName>
    <definedName name="VALUE_43">OFFSET('[2]SYD 08'!$D$3:$D$12,0,COUNTC('[2]SYD 08'!$D$1:$D$65536)-1)</definedName>
    <definedName name="VALUE_44">OFFSET('[2]SYD 08'!$D$3:$D$12,0,COUNTC('[2]SYD 08'!$D$1:$D$65536)-1)</definedName>
    <definedName name="VALUE_45">OFFSET('[2]SYD 08'!$D$3:$D$12,0,COUNTC('[2]SYD 08'!$D$1:$D$65536)-1)</definedName>
    <definedName name="VALUE_46">OFFSET('[2]SYD 08'!$D$3:$D$12,0,COUNTC('[2]SYD 08'!$D$1:$D$65536)-1)</definedName>
    <definedName name="VALUE_47">OFFSET('[2]SYD 08'!$D$3:$D$12,0,COUNTC('[2]SYD 08'!$D$1:$D$65536)-1)</definedName>
    <definedName name="VALUE_48">OFFSET('[2]SYD 08'!$D$3:$D$12,0,COUNTC('[2]SYD 08'!$D$1:$D$65536)-1)</definedName>
    <definedName name="VALUE_49">OFFSET('[2]SYD 08'!$D$3:$D$12,0,COUNTC('[2]SYD 08'!$D$1:$D$65536)-1)</definedName>
    <definedName name="VALUE_5">OFFSET('[2]SYD 08'!$D$3:$D$12,0,COUNTC('[2]SYD 08'!$D$1:$D$65536)-1)</definedName>
    <definedName name="VALUE_50">OFFSET('[2]SYD 08'!$D$3:$D$12,0,COUNTC('[2]SYD 08'!$D$1:$D$65536)-1)</definedName>
    <definedName name="VALUE_51">OFFSET('[2]SYD 08'!$D$3:$D$12,0,COUNTC('[2]SYD 08'!$D$1:$D$65536)-1)</definedName>
    <definedName name="VALUE_52">OFFSET('[2]SYD 08'!$D$3:$D$12,0,COUNTC('[2]SYD 08'!$D$1:$D$65536)-1)</definedName>
    <definedName name="VALUE_53">OFFSET('[2]SYD 08'!$D$3:$D$12,0,COUNTC('[2]SYD 08'!$D$1:$D$65536)-1)</definedName>
    <definedName name="VALUE_54">OFFSET('[2]SYD 08'!$D$3:$D$12,0,COUNTC('[2]SYD 08'!$D$1:$D$65536)-1)</definedName>
    <definedName name="VALUE_55">OFFSET('[2]SYD 08'!$D$3:$D$12,0,COUNTC('[2]SYD 08'!$D$1:$D$65536)-1)</definedName>
    <definedName name="VALUE_56">OFFSET('[2]SYD 08'!$D$3:$D$12,0,COUNTC('[2]SYD 08'!$D$1:$D$65536)-1)</definedName>
    <definedName name="VALUE_57">OFFSET('[2]SYD 08'!$D$3:$D$12,0,COUNTC('[2]SYD 08'!$D$1:$D$65536)-1)</definedName>
    <definedName name="VALUE_58">OFFSET('[2]SYD 08'!$D$3:$D$12,0,COUNTC('[2]SYD 08'!$D$1:$D$65536)-1)</definedName>
    <definedName name="VALUE_59">OFFSET('[2]SYD 08'!$D$3:$D$12,0,COUNTC('[2]SYD 08'!$D$1:$D$65536)-1)</definedName>
    <definedName name="VALUE_6">OFFSET('[2]SYD 08'!$D$3:$D$12,0,COUNTC('[2]SYD 08'!$D$1:$D$65536)-1)</definedName>
    <definedName name="VALUE_60">OFFSET('[2]SYD 08'!$D$3:$D$12,0,COUNTC('[2]SYD 08'!$D$1:$D$65536)-1)</definedName>
    <definedName name="VALUE_61">OFFSET('[2]SYD 08'!$D$3:$D$12,0,COUNTC('[2]SYD 08'!$D$1:$D$65536)-1)</definedName>
    <definedName name="VALUE_62">OFFSET('[2]SYD 08'!$D$3:$D$12,0,COUNTC('[2]SYD 08'!$D$1:$D$65536)-1)</definedName>
    <definedName name="VALUE_63">OFFSET('[2]SYD 08'!$D$3:$D$12,0,COUNTC('[2]SYD 08'!$D$1:$D$65536)-1)</definedName>
    <definedName name="VALUE_64">OFFSET('[2]SYD 08'!$D$3:$D$12,0,COUNTC('[2]SYD 08'!$D$1:$D$65536)-1)</definedName>
    <definedName name="VALUE_65">OFFSET('[2]SYD 08'!$D$3:$D$12,0,COUNTC('[2]SYD 08'!$D$1:$D$65536)-1)</definedName>
    <definedName name="VALUE_66">OFFSET('[2]SYD 08'!$D$3:$D$12,0,COUNTC('[2]SYD 08'!$D$1:$D$65536)-1)</definedName>
    <definedName name="VALUE_67">OFFSET('[2]SYD 08'!$D$3:$D$12,0,COUNTC('[2]SYD 08'!$D$1:$D$65536)-1)</definedName>
    <definedName name="VALUE_68">OFFSET('[2]SYD 08'!$D$3:$D$12,0,COUNTC('[2]SYD 08'!$D$1:$D$65536)-1)</definedName>
    <definedName name="VALUE_69">OFFSET('[2]SYD 08'!$D$3:$D$12,0,COUNTC('[2]SYD 08'!$D$1:$D$65536)-1)</definedName>
    <definedName name="VALUE_7">OFFSET('[2]SYD 08'!$D$3:$D$12,0,COUNTC('[2]SYD 08'!$D$1:$D$65536)-1)</definedName>
    <definedName name="VALUE_70">OFFSET('[2]SYD 08'!$D$3:$D$12,0,COUNTC('[2]SYD 08'!$D$1:$D$65536)-1)</definedName>
    <definedName name="VALUE_71">OFFSET('[2]SYD 08'!$D$3:$D$12,0,COUNTC('[2]SYD 08'!$D$1:$D$65536)-1)</definedName>
    <definedName name="VALUE_8">OFFSET('[2]SYD 08'!$D$3:$D$12,0,COUNTC('[2]SYD 08'!$D$1:$D$65536)-1)</definedName>
    <definedName name="VALUE_9">OFFSET('[2]SYD 08'!$D$3:$D$12,0,COUNTC('[2]SYD 08'!$D$1:$D$65536)-1)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4" i="2" l="1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D1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J4" i="2" l="1"/>
  <c r="AH4" i="2" s="1"/>
  <c r="AJ5" i="2"/>
  <c r="AH5" i="2" s="1"/>
  <c r="AJ6" i="2"/>
  <c r="AJ7" i="2"/>
  <c r="AH7" i="2" s="1"/>
  <c r="AJ8" i="2"/>
  <c r="AH8" i="2" s="1"/>
  <c r="AJ9" i="2"/>
  <c r="AH9" i="2" s="1"/>
  <c r="AJ10" i="2"/>
  <c r="AH10" i="2" s="1"/>
  <c r="AJ11" i="2"/>
  <c r="AH11" i="2" s="1"/>
  <c r="AJ12" i="2"/>
  <c r="AJ13" i="2"/>
  <c r="AH13" i="2" s="1"/>
  <c r="AJ14" i="2"/>
  <c r="AH14" i="2" s="1"/>
  <c r="AJ15" i="2"/>
  <c r="AH15" i="2" s="1"/>
  <c r="AJ16" i="2"/>
  <c r="AH16" i="2" s="1"/>
  <c r="AJ17" i="2"/>
  <c r="AH17" i="2" s="1"/>
  <c r="AJ18" i="2"/>
  <c r="AH18" i="2" s="1"/>
  <c r="AJ19" i="2"/>
  <c r="AH19" i="2" s="1"/>
  <c r="AJ20" i="2"/>
  <c r="AH20" i="2" s="1"/>
  <c r="AJ21" i="2"/>
  <c r="AH21" i="2" s="1"/>
  <c r="AJ22" i="2"/>
  <c r="AH22" i="2" s="1"/>
  <c r="AI22" i="2" s="1"/>
  <c r="AJ23" i="2"/>
  <c r="AH23" i="2" s="1"/>
  <c r="AI23" i="2" s="1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3" i="2"/>
  <c r="B1" i="2"/>
  <c r="R1" i="2"/>
  <c r="AH3" i="2" l="1"/>
  <c r="AH6" i="2"/>
  <c r="AH12" i="2"/>
  <c r="AG5" i="2"/>
  <c r="AH1" i="2" l="1"/>
  <c r="AK81" i="2"/>
  <c r="AL81" i="2" s="1"/>
  <c r="AK52" i="2"/>
  <c r="AL52" i="2" s="1"/>
  <c r="AK32" i="2"/>
  <c r="AL32" i="2" s="1"/>
  <c r="AK55" i="2"/>
  <c r="AL55" i="2" s="1"/>
  <c r="AK94" i="2"/>
  <c r="AL94" i="2" s="1"/>
  <c r="AK30" i="2"/>
  <c r="AL30" i="2" s="1"/>
  <c r="AK69" i="2"/>
  <c r="AL69" i="2" s="1"/>
  <c r="AK44" i="2"/>
  <c r="AL44" i="2" s="1"/>
  <c r="AK51" i="2"/>
  <c r="AL51" i="2" s="1"/>
  <c r="AK71" i="2"/>
  <c r="AL71" i="2" s="1"/>
  <c r="AK85" i="2"/>
  <c r="AL85" i="2" s="1"/>
  <c r="AK74" i="2"/>
  <c r="AL74" i="2" s="1"/>
  <c r="AK40" i="2"/>
  <c r="AL40" i="2" s="1"/>
  <c r="AK38" i="2"/>
  <c r="AL38" i="2" s="1"/>
  <c r="AK66" i="2"/>
  <c r="AL66" i="2" s="1"/>
  <c r="AK57" i="2"/>
  <c r="AL57" i="2" s="1"/>
  <c r="AK24" i="2"/>
  <c r="AL24" i="2" s="1"/>
  <c r="AK47" i="2"/>
  <c r="AL47" i="2" s="1"/>
  <c r="AK86" i="2"/>
  <c r="AL86" i="2" s="1"/>
  <c r="AK22" i="2"/>
  <c r="AL22" i="2" s="1"/>
  <c r="AK61" i="2"/>
  <c r="AL61" i="2" s="1"/>
  <c r="AK100" i="2"/>
  <c r="AL100" i="2" s="1"/>
  <c r="AK36" i="2"/>
  <c r="AL36" i="2" s="1"/>
  <c r="AK46" i="2"/>
  <c r="AL46" i="2" s="1"/>
  <c r="AK43" i="2"/>
  <c r="AL43" i="2" s="1"/>
  <c r="AK88" i="2"/>
  <c r="AL88" i="2" s="1"/>
  <c r="AK65" i="2"/>
  <c r="AL65" i="2" s="1"/>
  <c r="AK91" i="2"/>
  <c r="AL91" i="2" s="1"/>
  <c r="AK50" i="2"/>
  <c r="AL50" i="2" s="1"/>
  <c r="AK49" i="2"/>
  <c r="AL49" i="2" s="1"/>
  <c r="AK80" i="2"/>
  <c r="AL80" i="2" s="1"/>
  <c r="AK39" i="2"/>
  <c r="AL39" i="2" s="1"/>
  <c r="AK78" i="2"/>
  <c r="AL78" i="2" s="1"/>
  <c r="AK53" i="2"/>
  <c r="AL53" i="2" s="1"/>
  <c r="AK92" i="2"/>
  <c r="AL92" i="2" s="1"/>
  <c r="AK28" i="2"/>
  <c r="AL28" i="2" s="1"/>
  <c r="AK82" i="2"/>
  <c r="AL82" i="2" s="1"/>
  <c r="AK48" i="2"/>
  <c r="AL48" i="2" s="1"/>
  <c r="AK60" i="2"/>
  <c r="AL60" i="2" s="1"/>
  <c r="AK73" i="2"/>
  <c r="AL73" i="2" s="1"/>
  <c r="AK63" i="2"/>
  <c r="AL63" i="2" s="1"/>
  <c r="AK35" i="2"/>
  <c r="AL35" i="2" s="1"/>
  <c r="AK58" i="2"/>
  <c r="AL58" i="2" s="1"/>
  <c r="AK96" i="2"/>
  <c r="AL96" i="2" s="1"/>
  <c r="AK83" i="2"/>
  <c r="AL83" i="2" s="1"/>
  <c r="AK42" i="2"/>
  <c r="AL42" i="2" s="1"/>
  <c r="AK41" i="2"/>
  <c r="AL41" i="2" s="1"/>
  <c r="AK72" i="2"/>
  <c r="AL72" i="2" s="1"/>
  <c r="AK95" i="2"/>
  <c r="AL95" i="2" s="1"/>
  <c r="AK31" i="2"/>
  <c r="AL31" i="2" s="1"/>
  <c r="AK70" i="2"/>
  <c r="AL70" i="2" s="1"/>
  <c r="AK45" i="2"/>
  <c r="AL45" i="2" s="1"/>
  <c r="AK84" i="2"/>
  <c r="AL84" i="2" s="1"/>
  <c r="AK77" i="2"/>
  <c r="AL77" i="2" s="1"/>
  <c r="AK99" i="2"/>
  <c r="AL99" i="2" s="1"/>
  <c r="AK27" i="2"/>
  <c r="AL27" i="2" s="1"/>
  <c r="AK75" i="2"/>
  <c r="AL75" i="2" s="1"/>
  <c r="AK34" i="2"/>
  <c r="AL34" i="2" s="1"/>
  <c r="AK67" i="2"/>
  <c r="AL67" i="2" s="1"/>
  <c r="AK97" i="2"/>
  <c r="AL97" i="2" s="1"/>
  <c r="AK33" i="2"/>
  <c r="AL33" i="2" s="1"/>
  <c r="AK64" i="2"/>
  <c r="AL64" i="2" s="1"/>
  <c r="AK87" i="2"/>
  <c r="AL87" i="2" s="1"/>
  <c r="AK23" i="2"/>
  <c r="AL23" i="2" s="1"/>
  <c r="AK62" i="2"/>
  <c r="AL62" i="2" s="1"/>
  <c r="AK37" i="2"/>
  <c r="AL37" i="2" s="1"/>
  <c r="AK76" i="2"/>
  <c r="AL76" i="2" s="1"/>
  <c r="AK98" i="2"/>
  <c r="AL98" i="2" s="1"/>
  <c r="AK90" i="2"/>
  <c r="AL90" i="2" s="1"/>
  <c r="AK26" i="2"/>
  <c r="AL26" i="2" s="1"/>
  <c r="AK59" i="2"/>
  <c r="AL59" i="2" s="1"/>
  <c r="AK89" i="2"/>
  <c r="AL89" i="2" s="1"/>
  <c r="AK25" i="2"/>
  <c r="AL25" i="2" s="1"/>
  <c r="AK56" i="2"/>
  <c r="AL56" i="2" s="1"/>
  <c r="AK79" i="2"/>
  <c r="AL79" i="2" s="1"/>
  <c r="AK54" i="2"/>
  <c r="AL54" i="2" s="1"/>
  <c r="AK93" i="2"/>
  <c r="AL93" i="2" s="1"/>
  <c r="AK29" i="2"/>
  <c r="AL29" i="2" s="1"/>
  <c r="AK68" i="2"/>
  <c r="AL68" i="2" s="1"/>
  <c r="BB1" i="2"/>
  <c r="AI20" i="2" l="1"/>
  <c r="AK20" i="2" s="1"/>
  <c r="AI21" i="2"/>
  <c r="AK21" i="2" s="1"/>
  <c r="AI6" i="2"/>
  <c r="AK6" i="2" s="1"/>
  <c r="AI18" i="2"/>
  <c r="AK18" i="2" s="1"/>
  <c r="AI19" i="2"/>
  <c r="AK19" i="2" s="1"/>
  <c r="AI16" i="2"/>
  <c r="AK16" i="2" s="1"/>
  <c r="AI17" i="2"/>
  <c r="AK17" i="2" s="1"/>
  <c r="AI14" i="2"/>
  <c r="AK14" i="2" s="1"/>
  <c r="AI15" i="2"/>
  <c r="AK15" i="2" s="1"/>
  <c r="AI12" i="2"/>
  <c r="AK12" i="2" s="1"/>
  <c r="AI13" i="2"/>
  <c r="AK13" i="2" s="1"/>
  <c r="AI8" i="2"/>
  <c r="AI7" i="2"/>
  <c r="AI9" i="2"/>
  <c r="AI10" i="2"/>
  <c r="AI3" i="2"/>
  <c r="AI11" i="2"/>
  <c r="AI4" i="2"/>
  <c r="AI5" i="2"/>
  <c r="AG4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3" i="2"/>
  <c r="AK11" i="2" l="1"/>
  <c r="AK10" i="2"/>
  <c r="AK9" i="2"/>
  <c r="AK3" i="2"/>
  <c r="AK7" i="2"/>
  <c r="AK8" i="2"/>
  <c r="AK5" i="2"/>
  <c r="AK4" i="2"/>
  <c r="AG2" i="2"/>
  <c r="AN3" i="2" l="1"/>
  <c r="AO3" i="2" s="1"/>
  <c r="AN26" i="2"/>
  <c r="AO26" i="2" s="1"/>
  <c r="AN16" i="2"/>
  <c r="AN37" i="2"/>
  <c r="AN17" i="2"/>
  <c r="AN11" i="2"/>
  <c r="AN39" i="2"/>
  <c r="AO39" i="2" s="1"/>
  <c r="AN40" i="2"/>
  <c r="AO40" i="2" s="1"/>
  <c r="AN41" i="2"/>
  <c r="AO41" i="2" s="1"/>
  <c r="AN44" i="2"/>
  <c r="AO44" i="2" s="1"/>
  <c r="AN45" i="2"/>
  <c r="AO45" i="2" s="1"/>
  <c r="AN51" i="2"/>
  <c r="AN52" i="2"/>
  <c r="AN55" i="2"/>
  <c r="AN56" i="2"/>
  <c r="AN58" i="2"/>
  <c r="AN59" i="2"/>
  <c r="AN62" i="2"/>
  <c r="AM65" i="2"/>
  <c r="AN66" i="2"/>
  <c r="AO66" i="2" s="1"/>
  <c r="AN71" i="2"/>
  <c r="AM73" i="2"/>
  <c r="AM75" i="2"/>
  <c r="AN77" i="2"/>
  <c r="AM79" i="2"/>
  <c r="AN80" i="2"/>
  <c r="AO80" i="2" s="1"/>
  <c r="AM83" i="2"/>
  <c r="AM85" i="2"/>
  <c r="AN86" i="2"/>
  <c r="AN87" i="2"/>
  <c r="AN90" i="2"/>
  <c r="AN91" i="2"/>
  <c r="AM93" i="2"/>
  <c r="AN94" i="2"/>
  <c r="AM96" i="2"/>
  <c r="AM97" i="2"/>
  <c r="AN98" i="2"/>
  <c r="AN99" i="2"/>
  <c r="AM100" i="2"/>
  <c r="AO11" i="2" l="1"/>
  <c r="AO17" i="2"/>
  <c r="AO16" i="2"/>
  <c r="AN73" i="2"/>
  <c r="AO73" i="2" s="1"/>
  <c r="AM98" i="2"/>
  <c r="AM94" i="2"/>
  <c r="AN76" i="2"/>
  <c r="AO76" i="2" s="1"/>
  <c r="AM90" i="2"/>
  <c r="AN84" i="2"/>
  <c r="AO84" i="2" s="1"/>
  <c r="AN96" i="2"/>
  <c r="AO96" i="2" s="1"/>
  <c r="AN93" i="2"/>
  <c r="AO93" i="2" s="1"/>
  <c r="AN97" i="2"/>
  <c r="AO97" i="2" s="1"/>
  <c r="AN92" i="2"/>
  <c r="AO92" i="2" s="1"/>
  <c r="AN85" i="2"/>
  <c r="AO85" i="2" s="1"/>
  <c r="AM99" i="2"/>
  <c r="AN100" i="2"/>
  <c r="AO100" i="2" s="1"/>
  <c r="AM92" i="2"/>
  <c r="AN89" i="2"/>
  <c r="AO89" i="2" s="1"/>
  <c r="AM91" i="2"/>
  <c r="AM71" i="2"/>
  <c r="AN14" i="2"/>
  <c r="AN46" i="2"/>
  <c r="AO46" i="2" s="1"/>
  <c r="AN42" i="2"/>
  <c r="AO42" i="2" s="1"/>
  <c r="AN38" i="2"/>
  <c r="AO38" i="2" s="1"/>
  <c r="AN30" i="2"/>
  <c r="AO30" i="2" s="1"/>
  <c r="AN20" i="2"/>
  <c r="AN7" i="2"/>
  <c r="AN34" i="2"/>
  <c r="AO34" i="2" s="1"/>
  <c r="AN19" i="2"/>
  <c r="AN88" i="2"/>
  <c r="AO88" i="2" s="1"/>
  <c r="AM81" i="2"/>
  <c r="AN43" i="2"/>
  <c r="AO43" i="2" s="1"/>
  <c r="AN27" i="2"/>
  <c r="AO27" i="2" s="1"/>
  <c r="AN18" i="2"/>
  <c r="AN81" i="2"/>
  <c r="AO81" i="2" s="1"/>
  <c r="AM88" i="2"/>
  <c r="AN61" i="2"/>
  <c r="AO61" i="2" s="1"/>
  <c r="AN35" i="2"/>
  <c r="AO35" i="2" s="1"/>
  <c r="AN72" i="2"/>
  <c r="AO72" i="2" s="1"/>
  <c r="AN31" i="2"/>
  <c r="AO31" i="2" s="1"/>
  <c r="AN10" i="2"/>
  <c r="AN6" i="2"/>
  <c r="AN50" i="2"/>
  <c r="AO50" i="2" s="1"/>
  <c r="AO55" i="2"/>
  <c r="AO77" i="2"/>
  <c r="AN57" i="2"/>
  <c r="AN53" i="2"/>
  <c r="AO94" i="2"/>
  <c r="AN60" i="2"/>
  <c r="AO90" i="2"/>
  <c r="AN49" i="2"/>
  <c r="AO99" i="2"/>
  <c r="AM95" i="2"/>
  <c r="AN95" i="2"/>
  <c r="AO86" i="2"/>
  <c r="AO58" i="2"/>
  <c r="AO51" i="2"/>
  <c r="AO98" i="2"/>
  <c r="AN64" i="2"/>
  <c r="AN79" i="2"/>
  <c r="AN65" i="2"/>
  <c r="AO62" i="2"/>
  <c r="AO56" i="2"/>
  <c r="AO52" i="2"/>
  <c r="AN48" i="2"/>
  <c r="AM70" i="2"/>
  <c r="AN70" i="2"/>
  <c r="AN69" i="2"/>
  <c r="AN54" i="2"/>
  <c r="AN83" i="2"/>
  <c r="AN75" i="2"/>
  <c r="AM68" i="2"/>
  <c r="AN68" i="2"/>
  <c r="AO59" i="2"/>
  <c r="AN47" i="2"/>
  <c r="AO91" i="2"/>
  <c r="AO87" i="2"/>
  <c r="AN82" i="2"/>
  <c r="AM78" i="2"/>
  <c r="AN78" i="2"/>
  <c r="AN74" i="2"/>
  <c r="AO71" i="2"/>
  <c r="AN67" i="2"/>
  <c r="AN63" i="2"/>
  <c r="AO37" i="2"/>
  <c r="AN33" i="2"/>
  <c r="AN29" i="2"/>
  <c r="AN25" i="2"/>
  <c r="AN24" i="2"/>
  <c r="AN22" i="2"/>
  <c r="AN13" i="2"/>
  <c r="AN9" i="2"/>
  <c r="AN5" i="2"/>
  <c r="AN36" i="2"/>
  <c r="AN32" i="2"/>
  <c r="AN28" i="2"/>
  <c r="AN15" i="2"/>
  <c r="AN23" i="2"/>
  <c r="AN21" i="2"/>
  <c r="AN12" i="2"/>
  <c r="AN8" i="2"/>
  <c r="AN4" i="2"/>
  <c r="AO19" i="2" l="1"/>
  <c r="AO20" i="2"/>
  <c r="AO6" i="2"/>
  <c r="AO7" i="2"/>
  <c r="AO10" i="2"/>
  <c r="AO18" i="2"/>
  <c r="AO14" i="2"/>
  <c r="AN2" i="2"/>
  <c r="AO21" i="2"/>
  <c r="AO69" i="2"/>
  <c r="AO23" i="2"/>
  <c r="AO15" i="2"/>
  <c r="AO13" i="2"/>
  <c r="AO29" i="2"/>
  <c r="AO67" i="2"/>
  <c r="AO48" i="2"/>
  <c r="AO57" i="2"/>
  <c r="AO28" i="2"/>
  <c r="AO78" i="2"/>
  <c r="AO70" i="2"/>
  <c r="AO95" i="2"/>
  <c r="AO53" i="2"/>
  <c r="AO33" i="2"/>
  <c r="AO54" i="2"/>
  <c r="AO60" i="2"/>
  <c r="AO9" i="2"/>
  <c r="AO36" i="2"/>
  <c r="AO47" i="2"/>
  <c r="AO75" i="2"/>
  <c r="AO65" i="2"/>
  <c r="AO49" i="2"/>
  <c r="AO32" i="2"/>
  <c r="AO22" i="2"/>
  <c r="AO4" i="2"/>
  <c r="AO8" i="2"/>
  <c r="AO5" i="2"/>
  <c r="AO24" i="2"/>
  <c r="AO12" i="2"/>
  <c r="AO74" i="2"/>
  <c r="AO82" i="2"/>
  <c r="AO68" i="2"/>
  <c r="AO83" i="2"/>
  <c r="AO64" i="2"/>
  <c r="AO25" i="2"/>
  <c r="AO63" i="2"/>
  <c r="AO79" i="2"/>
  <c r="AO2" i="2" l="1"/>
  <c r="AP3" i="2" s="1"/>
  <c r="AS3" i="2" s="1"/>
  <c r="AE1" i="2" l="1"/>
  <c r="AC1" i="2" l="1"/>
  <c r="Y1" i="2" l="1"/>
  <c r="Z1" i="2"/>
  <c r="AA1" i="2"/>
  <c r="AB1" i="2"/>
  <c r="X1" i="2"/>
  <c r="AK2" i="2" l="1"/>
  <c r="AL20" i="2" l="1"/>
  <c r="AL21" i="2"/>
  <c r="AL18" i="2"/>
  <c r="AL19" i="2"/>
  <c r="AL16" i="2"/>
  <c r="AL17" i="2"/>
  <c r="AL14" i="2"/>
  <c r="AL15" i="2"/>
  <c r="AM15" i="2" s="1"/>
  <c r="AL12" i="2"/>
  <c r="AM12" i="2" s="1"/>
  <c r="AL13" i="2"/>
  <c r="AM13" i="2" s="1"/>
  <c r="AL6" i="2"/>
  <c r="AL10" i="2"/>
  <c r="AM10" i="2" s="1"/>
  <c r="AL5" i="2"/>
  <c r="AM5" i="2" s="1"/>
  <c r="AL9" i="2"/>
  <c r="AM9" i="2" s="1"/>
  <c r="AL11" i="2"/>
  <c r="AM11" i="2" s="1"/>
  <c r="AL8" i="2"/>
  <c r="AM8" i="2" s="1"/>
  <c r="AL4" i="2"/>
  <c r="AM4" i="2" s="1"/>
  <c r="AL3" i="2"/>
  <c r="AM3" i="2" s="1"/>
  <c r="AL7" i="2"/>
  <c r="AM7" i="2" s="1"/>
  <c r="AM35" i="2"/>
  <c r="AM38" i="2"/>
  <c r="AM19" i="2"/>
  <c r="AM17" i="2"/>
  <c r="AM34" i="2"/>
  <c r="AM50" i="2"/>
  <c r="AM32" i="2"/>
  <c r="AM44" i="2"/>
  <c r="AM33" i="2"/>
  <c r="AM26" i="2"/>
  <c r="AM67" i="2"/>
  <c r="AM24" i="2"/>
  <c r="AM21" i="2"/>
  <c r="AM49" i="2"/>
  <c r="AM23" i="2"/>
  <c r="AM40" i="2"/>
  <c r="AM48" i="2"/>
  <c r="AM59" i="2"/>
  <c r="AM56" i="2"/>
  <c r="AM51" i="2"/>
  <c r="AM28" i="2"/>
  <c r="AM57" i="2"/>
  <c r="AM41" i="2"/>
  <c r="AM54" i="2"/>
  <c r="AM39" i="2"/>
  <c r="AM61" i="2"/>
  <c r="AM89" i="2"/>
  <c r="AM45" i="2"/>
  <c r="AM18" i="2"/>
  <c r="AM62" i="2"/>
  <c r="AM20" i="2"/>
  <c r="AM6" i="2"/>
  <c r="AM77" i="2"/>
  <c r="AM74" i="2"/>
  <c r="AM72" i="2"/>
  <c r="AM14" i="2"/>
  <c r="AM27" i="2"/>
  <c r="AM43" i="2"/>
  <c r="AM80" i="2"/>
  <c r="AM46" i="2"/>
  <c r="AM63" i="2"/>
  <c r="AM16" i="2"/>
  <c r="AM30" i="2"/>
  <c r="AM25" i="2"/>
  <c r="AM82" i="2"/>
  <c r="AM29" i="2"/>
  <c r="AM22" i="2"/>
  <c r="AM84" i="2"/>
  <c r="AM76" i="2"/>
  <c r="AM31" i="2"/>
  <c r="AM37" i="2"/>
  <c r="AM36" i="2"/>
  <c r="AM42" i="2"/>
  <c r="AM64" i="2"/>
  <c r="AM58" i="2"/>
  <c r="AM60" i="2"/>
  <c r="AM86" i="2"/>
  <c r="AM53" i="2"/>
  <c r="AM66" i="2"/>
  <c r="AM69" i="2"/>
  <c r="AM52" i="2"/>
  <c r="AM47" i="2"/>
  <c r="AM87" i="2"/>
  <c r="AM55" i="2"/>
  <c r="AQ5" i="2"/>
  <c r="AR5" i="2" s="1"/>
  <c r="AQ9" i="2"/>
  <c r="AR9" i="2" s="1"/>
  <c r="AQ13" i="2"/>
  <c r="AR13" i="2" s="1"/>
  <c r="AQ22" i="2"/>
  <c r="AR22" i="2" s="1"/>
  <c r="AQ6" i="2"/>
  <c r="AR6" i="2" s="1"/>
  <c r="AQ10" i="2"/>
  <c r="AR10" i="2" s="1"/>
  <c r="AQ14" i="2"/>
  <c r="AR14" i="2" s="1"/>
  <c r="AQ16" i="2"/>
  <c r="AR16" i="2" s="1"/>
  <c r="AQ17" i="2"/>
  <c r="AR17" i="2" s="1"/>
  <c r="AQ26" i="2"/>
  <c r="AR26" i="2" s="1"/>
  <c r="AQ30" i="2"/>
  <c r="AR30" i="2" s="1"/>
  <c r="AQ34" i="2"/>
  <c r="AR34" i="2" s="1"/>
  <c r="AQ38" i="2"/>
  <c r="AR38" i="2" s="1"/>
  <c r="AQ7" i="2"/>
  <c r="AR7" i="2" s="1"/>
  <c r="AQ11" i="2"/>
  <c r="AR11" i="2" s="1"/>
  <c r="AQ20" i="2"/>
  <c r="AR20" i="2" s="1"/>
  <c r="AQ18" i="2"/>
  <c r="AR18" i="2" s="1"/>
  <c r="AQ32" i="2"/>
  <c r="AR32" i="2" s="1"/>
  <c r="AQ33" i="2"/>
  <c r="AR33" i="2" s="1"/>
  <c r="AQ41" i="2"/>
  <c r="AR41" i="2" s="1"/>
  <c r="AQ42" i="2"/>
  <c r="AR42" i="2" s="1"/>
  <c r="AQ44" i="2"/>
  <c r="AR44" i="2" s="1"/>
  <c r="AQ45" i="2"/>
  <c r="AR45" i="2" s="1"/>
  <c r="AQ46" i="2"/>
  <c r="AR46" i="2" s="1"/>
  <c r="AQ50" i="2"/>
  <c r="AR50" i="2" s="1"/>
  <c r="AQ54" i="2"/>
  <c r="AR54" i="2" s="1"/>
  <c r="AQ58" i="2"/>
  <c r="AR58" i="2" s="1"/>
  <c r="AQ62" i="2"/>
  <c r="AR62" i="2" s="1"/>
  <c r="AQ66" i="2"/>
  <c r="AR66" i="2" s="1"/>
  <c r="AQ8" i="2"/>
  <c r="AR8" i="2" s="1"/>
  <c r="AQ35" i="2"/>
  <c r="AR35" i="2" s="1"/>
  <c r="AQ43" i="2"/>
  <c r="AR43" i="2" s="1"/>
  <c r="AQ4" i="2"/>
  <c r="AR4" i="2" s="1"/>
  <c r="AQ23" i="2"/>
  <c r="AR23" i="2" s="1"/>
  <c r="AQ24" i="2"/>
  <c r="AR24" i="2" s="1"/>
  <c r="AQ36" i="2"/>
  <c r="AR36" i="2" s="1"/>
  <c r="AQ40" i="2"/>
  <c r="AR40" i="2" s="1"/>
  <c r="AQ47" i="2"/>
  <c r="AR47" i="2" s="1"/>
  <c r="AQ51" i="2"/>
  <c r="AR51" i="2" s="1"/>
  <c r="AQ55" i="2"/>
  <c r="AR55" i="2" s="1"/>
  <c r="AQ19" i="2"/>
  <c r="AR19" i="2" s="1"/>
  <c r="AQ37" i="2"/>
  <c r="AR37" i="2" s="1"/>
  <c r="AQ15" i="2"/>
  <c r="AR15" i="2" s="1"/>
  <c r="AQ25" i="2"/>
  <c r="AR25" i="2" s="1"/>
  <c r="AQ48" i="2"/>
  <c r="AR48" i="2" s="1"/>
  <c r="AQ52" i="2"/>
  <c r="AR52" i="2" s="1"/>
  <c r="AQ56" i="2"/>
  <c r="AR56" i="2" s="1"/>
  <c r="AQ60" i="2"/>
  <c r="AR60" i="2" s="1"/>
  <c r="AQ64" i="2"/>
  <c r="AR64" i="2" s="1"/>
  <c r="AQ21" i="2"/>
  <c r="AR21" i="2" s="1"/>
  <c r="AQ27" i="2"/>
  <c r="AR27" i="2" s="1"/>
  <c r="AQ28" i="2"/>
  <c r="AR28" i="2" s="1"/>
  <c r="AQ29" i="2"/>
  <c r="AR29" i="2" s="1"/>
  <c r="AQ49" i="2"/>
  <c r="AR49" i="2" s="1"/>
  <c r="AQ53" i="2"/>
  <c r="AR53" i="2" s="1"/>
  <c r="AQ57" i="2"/>
  <c r="AR57" i="2" s="1"/>
  <c r="AQ61" i="2"/>
  <c r="AR61" i="2" s="1"/>
  <c r="AQ39" i="2"/>
  <c r="AR39" i="2" s="1"/>
  <c r="AQ63" i="2"/>
  <c r="AR63" i="2" s="1"/>
  <c r="AQ12" i="2"/>
  <c r="AR12" i="2" s="1"/>
  <c r="AQ31" i="2"/>
  <c r="AR31" i="2" s="1"/>
  <c r="AQ72" i="2"/>
  <c r="AR72" i="2" s="1"/>
  <c r="AQ76" i="2"/>
  <c r="AR76" i="2" s="1"/>
  <c r="AQ80" i="2"/>
  <c r="AR80" i="2" s="1"/>
  <c r="AQ84" i="2"/>
  <c r="AR84" i="2" s="1"/>
  <c r="AQ65" i="2"/>
  <c r="AR65" i="2" s="1"/>
  <c r="AQ73" i="2"/>
  <c r="AR73" i="2" s="1"/>
  <c r="AQ75" i="2"/>
  <c r="AR75" i="2" s="1"/>
  <c r="AQ77" i="2"/>
  <c r="AR77" i="2" s="1"/>
  <c r="AQ79" i="2"/>
  <c r="AR79" i="2" s="1"/>
  <c r="AQ81" i="2"/>
  <c r="AR81" i="2" s="1"/>
  <c r="AQ83" i="2"/>
  <c r="AR83" i="2" s="1"/>
  <c r="AQ71" i="2"/>
  <c r="AR71" i="2" s="1"/>
  <c r="AQ86" i="2"/>
  <c r="AR86" i="2" s="1"/>
  <c r="AQ87" i="2"/>
  <c r="AR87" i="2" s="1"/>
  <c r="AQ88" i="2"/>
  <c r="AR88" i="2" s="1"/>
  <c r="AQ90" i="2"/>
  <c r="AR90" i="2" s="1"/>
  <c r="AQ91" i="2"/>
  <c r="AR91" i="2" s="1"/>
  <c r="AQ92" i="2"/>
  <c r="AR92" i="2" s="1"/>
  <c r="AQ68" i="2"/>
  <c r="AR68" i="2" s="1"/>
  <c r="AQ74" i="2"/>
  <c r="AR74" i="2" s="1"/>
  <c r="AQ59" i="2"/>
  <c r="AR59" i="2" s="1"/>
  <c r="AQ85" i="2"/>
  <c r="AR85" i="2" s="1"/>
  <c r="AQ89" i="2"/>
  <c r="AR89" i="2" s="1"/>
  <c r="AQ93" i="2"/>
  <c r="AR93" i="2" s="1"/>
  <c r="AQ94" i="2"/>
  <c r="AR94" i="2" s="1"/>
  <c r="AQ98" i="2"/>
  <c r="AR98" i="2" s="1"/>
  <c r="AQ78" i="2"/>
  <c r="AR78" i="2" s="1"/>
  <c r="AQ82" i="2"/>
  <c r="AR82" i="2" s="1"/>
  <c r="AQ67" i="2"/>
  <c r="AR67" i="2" s="1"/>
  <c r="AQ69" i="2"/>
  <c r="AR69" i="2" s="1"/>
  <c r="AQ95" i="2"/>
  <c r="AR95" i="2" s="1"/>
  <c r="AQ99" i="2"/>
  <c r="AR99" i="2" s="1"/>
  <c r="AQ70" i="2"/>
  <c r="AR70" i="2" s="1"/>
  <c r="AQ96" i="2"/>
  <c r="AR96" i="2" s="1"/>
  <c r="AQ97" i="2"/>
  <c r="AR97" i="2" s="1"/>
  <c r="AQ100" i="2"/>
  <c r="AR100" i="2" s="1"/>
  <c r="AQ3" i="2"/>
  <c r="AP4" i="2" l="1"/>
  <c r="AS4" i="2" s="1"/>
  <c r="AP72" i="2"/>
  <c r="AS72" i="2" s="1"/>
  <c r="AP80" i="2"/>
  <c r="AS80" i="2" s="1"/>
  <c r="AP76" i="2"/>
  <c r="AS76" i="2" s="1"/>
  <c r="AP84" i="2"/>
  <c r="AS84" i="2" s="1"/>
  <c r="AP66" i="2"/>
  <c r="AS66" i="2" s="1"/>
  <c r="AP27" i="2"/>
  <c r="AS27" i="2" s="1"/>
  <c r="AP14" i="2"/>
  <c r="AS14" i="2" s="1"/>
  <c r="AP43" i="2"/>
  <c r="AS43" i="2" s="1"/>
  <c r="AP31" i="2"/>
  <c r="AS31" i="2" s="1"/>
  <c r="AP6" i="2"/>
  <c r="AS6" i="2" s="1"/>
  <c r="AP34" i="2"/>
  <c r="AS34" i="2" s="1"/>
  <c r="AP38" i="2"/>
  <c r="AS38" i="2" s="1"/>
  <c r="AP11" i="2"/>
  <c r="AS11" i="2" s="1"/>
  <c r="AP20" i="2"/>
  <c r="AS20" i="2" s="1"/>
  <c r="AP30" i="2"/>
  <c r="AS30" i="2" s="1"/>
  <c r="AP7" i="2"/>
  <c r="AS7" i="2" s="1"/>
  <c r="AP40" i="2"/>
  <c r="AS40" i="2" s="1"/>
  <c r="AP18" i="2"/>
  <c r="AS18" i="2" s="1"/>
  <c r="AP44" i="2"/>
  <c r="AS44" i="2" s="1"/>
  <c r="AP26" i="2"/>
  <c r="AS26" i="2" s="1"/>
  <c r="AP93" i="2"/>
  <c r="AS93" i="2" s="1"/>
  <c r="AP89" i="2"/>
  <c r="AS89" i="2" s="1"/>
  <c r="AP19" i="2"/>
  <c r="AS19" i="2" s="1"/>
  <c r="AP50" i="2"/>
  <c r="AS50" i="2" s="1"/>
  <c r="AP17" i="2"/>
  <c r="AS17" i="2" s="1"/>
  <c r="AP45" i="2"/>
  <c r="AS45" i="2" s="1"/>
  <c r="AP16" i="2"/>
  <c r="AS16" i="2" s="1"/>
  <c r="AP10" i="2"/>
  <c r="AS10" i="2" s="1"/>
  <c r="AP41" i="2"/>
  <c r="AS41" i="2" s="1"/>
  <c r="AP39" i="2"/>
  <c r="AS39" i="2" s="1"/>
  <c r="AP35" i="2"/>
  <c r="AS35" i="2" s="1"/>
  <c r="AP87" i="2"/>
  <c r="AS87" i="2" s="1"/>
  <c r="AP94" i="2"/>
  <c r="AS94" i="2" s="1"/>
  <c r="AP73" i="2"/>
  <c r="AS73" i="2" s="1"/>
  <c r="AP85" i="2"/>
  <c r="AS85" i="2" s="1"/>
  <c r="AP71" i="2"/>
  <c r="AS71" i="2" s="1"/>
  <c r="AP98" i="2"/>
  <c r="AS98" i="2" s="1"/>
  <c r="AP97" i="2"/>
  <c r="AS97" i="2" s="1"/>
  <c r="AP52" i="2"/>
  <c r="AS52" i="2" s="1"/>
  <c r="AP37" i="2"/>
  <c r="AS37" i="2" s="1"/>
  <c r="AP96" i="2"/>
  <c r="AS96" i="2" s="1"/>
  <c r="AP77" i="2"/>
  <c r="AS77" i="2" s="1"/>
  <c r="AP86" i="2"/>
  <c r="AS86" i="2" s="1"/>
  <c r="AP51" i="2"/>
  <c r="AS51" i="2" s="1"/>
  <c r="AP55" i="2"/>
  <c r="AS55" i="2" s="1"/>
  <c r="AP99" i="2"/>
  <c r="AS99" i="2" s="1"/>
  <c r="AP90" i="2"/>
  <c r="AS90" i="2" s="1"/>
  <c r="AP42" i="2"/>
  <c r="AS42" i="2" s="1"/>
  <c r="AP62" i="2"/>
  <c r="AS62" i="2" s="1"/>
  <c r="AP92" i="2"/>
  <c r="AS92" i="2" s="1"/>
  <c r="AP100" i="2"/>
  <c r="AS100" i="2" s="1"/>
  <c r="AP91" i="2"/>
  <c r="AS91" i="2" s="1"/>
  <c r="AP88" i="2"/>
  <c r="AS88" i="2" s="1"/>
  <c r="AP59" i="2"/>
  <c r="AS59" i="2" s="1"/>
  <c r="AP56" i="2"/>
  <c r="AS56" i="2" s="1"/>
  <c r="AP81" i="2"/>
  <c r="AS81" i="2" s="1"/>
  <c r="AP58" i="2"/>
  <c r="AS58" i="2" s="1"/>
  <c r="AP61" i="2"/>
  <c r="AS61" i="2" s="1"/>
  <c r="AP46" i="2"/>
  <c r="AS46" i="2" s="1"/>
  <c r="AP79" i="2"/>
  <c r="AS79" i="2" s="1"/>
  <c r="AP57" i="2"/>
  <c r="AS57" i="2" s="1"/>
  <c r="AP13" i="2"/>
  <c r="AS13" i="2" s="1"/>
  <c r="AP70" i="2"/>
  <c r="AS70" i="2" s="1"/>
  <c r="AP24" i="2"/>
  <c r="AS24" i="2" s="1"/>
  <c r="AP68" i="2"/>
  <c r="AS68" i="2" s="1"/>
  <c r="AP12" i="2"/>
  <c r="AS12" i="2" s="1"/>
  <c r="AP5" i="2"/>
  <c r="AS5" i="2" s="1"/>
  <c r="AP21" i="2"/>
  <c r="AS21" i="2" s="1"/>
  <c r="AP49" i="2"/>
  <c r="AS49" i="2" s="1"/>
  <c r="AP36" i="2"/>
  <c r="AS36" i="2" s="1"/>
  <c r="AP83" i="2"/>
  <c r="AS83" i="2" s="1"/>
  <c r="AP63" i="2"/>
  <c r="AS63" i="2" s="1"/>
  <c r="AP64" i="2"/>
  <c r="AS64" i="2" s="1"/>
  <c r="AP60" i="2"/>
  <c r="AS60" i="2" s="1"/>
  <c r="AP69" i="2"/>
  <c r="AS69" i="2" s="1"/>
  <c r="AP9" i="2"/>
  <c r="AS9" i="2" s="1"/>
  <c r="AP65" i="2"/>
  <c r="AS65" i="2" s="1"/>
  <c r="AP74" i="2"/>
  <c r="AS74" i="2" s="1"/>
  <c r="AP23" i="2"/>
  <c r="AS23" i="2" s="1"/>
  <c r="AP48" i="2"/>
  <c r="AS48" i="2" s="1"/>
  <c r="AP95" i="2"/>
  <c r="AS95" i="2" s="1"/>
  <c r="AP29" i="2"/>
  <c r="AS29" i="2" s="1"/>
  <c r="AP53" i="2"/>
  <c r="AS53" i="2" s="1"/>
  <c r="AP25" i="2"/>
  <c r="AS25" i="2" s="1"/>
  <c r="AP32" i="2"/>
  <c r="AS32" i="2" s="1"/>
  <c r="AP82" i="2"/>
  <c r="AS82" i="2" s="1"/>
  <c r="AP47" i="2"/>
  <c r="AS47" i="2" s="1"/>
  <c r="AP75" i="2"/>
  <c r="AS75" i="2" s="1"/>
  <c r="AP33" i="2"/>
  <c r="AS33" i="2" s="1"/>
  <c r="AP22" i="2"/>
  <c r="AS22" i="2" s="1"/>
  <c r="AP67" i="2"/>
  <c r="AS67" i="2" s="1"/>
  <c r="AP54" i="2"/>
  <c r="AS54" i="2" s="1"/>
  <c r="AP28" i="2"/>
  <c r="AS28" i="2" s="1"/>
  <c r="AP15" i="2"/>
  <c r="AS15" i="2" s="1"/>
  <c r="AP78" i="2"/>
  <c r="AS78" i="2" s="1"/>
  <c r="AP8" i="2"/>
  <c r="AS8" i="2" s="1"/>
  <c r="AQ2" i="2"/>
  <c r="AR3" i="2"/>
  <c r="AR2" i="2" s="1"/>
  <c r="AL2" i="2"/>
  <c r="AM2" i="2" l="1"/>
  <c r="AP2" i="2"/>
  <c r="AS2" i="2"/>
  <c r="AT3" i="2" s="1"/>
  <c r="AU3" i="2" l="1"/>
  <c r="AW3" i="2" s="1"/>
  <c r="AT83" i="2"/>
  <c r="AU83" i="2" s="1"/>
  <c r="AW83" i="2" s="1"/>
  <c r="AT4" i="2"/>
  <c r="AU4" i="2" s="1"/>
  <c r="AW4" i="2" s="1"/>
  <c r="AT45" i="2"/>
  <c r="AU45" i="2" s="1"/>
  <c r="AW45" i="2" s="1"/>
  <c r="AT18" i="2"/>
  <c r="AU18" i="2" s="1"/>
  <c r="AW18" i="2" s="1"/>
  <c r="AT44" i="2"/>
  <c r="AU44" i="2" s="1"/>
  <c r="AW44" i="2" s="1"/>
  <c r="AT16" i="2"/>
  <c r="AU16" i="2" s="1"/>
  <c r="AW16" i="2" s="1"/>
  <c r="AT71" i="2"/>
  <c r="AU71" i="2" s="1"/>
  <c r="AW71" i="2" s="1"/>
  <c r="AT31" i="2"/>
  <c r="AU31" i="2" s="1"/>
  <c r="AW31" i="2" s="1"/>
  <c r="AT40" i="2"/>
  <c r="AU40" i="2" s="1"/>
  <c r="AW40" i="2" s="1"/>
  <c r="AT93" i="2"/>
  <c r="AU93" i="2" s="1"/>
  <c r="AW93" i="2" s="1"/>
  <c r="AT27" i="2"/>
  <c r="AU27" i="2" s="1"/>
  <c r="AW27" i="2" s="1"/>
  <c r="AT20" i="2"/>
  <c r="AU20" i="2" s="1"/>
  <c r="AW20" i="2" s="1"/>
  <c r="AT60" i="2"/>
  <c r="AU60" i="2" s="1"/>
  <c r="AW60" i="2" s="1"/>
  <c r="AT9" i="2"/>
  <c r="AU9" i="2" s="1"/>
  <c r="AW9" i="2" s="1"/>
  <c r="AT13" i="2"/>
  <c r="AU13" i="2" s="1"/>
  <c r="AW13" i="2" s="1"/>
  <c r="AT95" i="2"/>
  <c r="AU95" i="2" s="1"/>
  <c r="AW95" i="2" s="1"/>
  <c r="AT28" i="2"/>
  <c r="AU28" i="2" s="1"/>
  <c r="AW28" i="2" s="1"/>
  <c r="AT25" i="2"/>
  <c r="AU25" i="2" s="1"/>
  <c r="AW25" i="2" s="1"/>
  <c r="AT36" i="2"/>
  <c r="AU36" i="2" s="1"/>
  <c r="AW36" i="2" s="1"/>
  <c r="AT41" i="2"/>
  <c r="AU41" i="2" s="1"/>
  <c r="AW41" i="2" s="1"/>
  <c r="AT53" i="2"/>
  <c r="AU53" i="2" s="1"/>
  <c r="AW53" i="2" s="1"/>
  <c r="AT33" i="2"/>
  <c r="AU33" i="2" s="1"/>
  <c r="AW33" i="2" s="1"/>
  <c r="AT90" i="2"/>
  <c r="AU90" i="2" s="1"/>
  <c r="AW90" i="2" s="1"/>
  <c r="AT19" i="2"/>
  <c r="AU19" i="2" s="1"/>
  <c r="AW19" i="2" s="1"/>
  <c r="AT54" i="2"/>
  <c r="AU54" i="2" s="1"/>
  <c r="AW54" i="2" s="1"/>
  <c r="AT65" i="2"/>
  <c r="AU65" i="2" s="1"/>
  <c r="AW65" i="2" s="1"/>
  <c r="AT51" i="2"/>
  <c r="AU51" i="2" s="1"/>
  <c r="AW51" i="2" s="1"/>
  <c r="AT12" i="2"/>
  <c r="AU12" i="2" s="1"/>
  <c r="AW12" i="2" s="1"/>
  <c r="AT49" i="2"/>
  <c r="AU49" i="2" s="1"/>
  <c r="AW49" i="2" s="1"/>
  <c r="AT68" i="2"/>
  <c r="AU68" i="2" s="1"/>
  <c r="AW68" i="2" s="1"/>
  <c r="AT80" i="2"/>
  <c r="AU80" i="2" s="1"/>
  <c r="AW80" i="2" s="1"/>
  <c r="AT76" i="2"/>
  <c r="AU76" i="2" s="1"/>
  <c r="AW76" i="2" s="1"/>
  <c r="AT26" i="2"/>
  <c r="AU26" i="2" s="1"/>
  <c r="AW26" i="2" s="1"/>
  <c r="AT66" i="2"/>
  <c r="AU66" i="2" s="1"/>
  <c r="AW66" i="2" s="1"/>
  <c r="AT42" i="2"/>
  <c r="AU42" i="2" s="1"/>
  <c r="AW42" i="2" s="1"/>
  <c r="AT50" i="2"/>
  <c r="AU50" i="2" s="1"/>
  <c r="AW50" i="2" s="1"/>
  <c r="AT58" i="2"/>
  <c r="AU58" i="2" s="1"/>
  <c r="AW58" i="2" s="1"/>
  <c r="AT5" i="2"/>
  <c r="AU5" i="2" s="1"/>
  <c r="AW5" i="2" s="1"/>
  <c r="AT59" i="2"/>
  <c r="AU59" i="2" s="1"/>
  <c r="AW59" i="2" s="1"/>
  <c r="AT69" i="2"/>
  <c r="AU69" i="2" s="1"/>
  <c r="AW69" i="2" s="1"/>
  <c r="AT67" i="2"/>
  <c r="AU67" i="2" s="1"/>
  <c r="AW67" i="2" s="1"/>
  <c r="AT64" i="2"/>
  <c r="AU64" i="2" s="1"/>
  <c r="AW64" i="2" s="1"/>
  <c r="AT29" i="2"/>
  <c r="AU29" i="2" s="1"/>
  <c r="AW29" i="2" s="1"/>
  <c r="AT48" i="2"/>
  <c r="AU48" i="2" s="1"/>
  <c r="AW48" i="2" s="1"/>
  <c r="AT72" i="2"/>
  <c r="AU72" i="2" s="1"/>
  <c r="AW72" i="2" s="1"/>
  <c r="AT6" i="2"/>
  <c r="AU6" i="2" s="1"/>
  <c r="AW6" i="2" s="1"/>
  <c r="AT34" i="2"/>
  <c r="AU34" i="2" s="1"/>
  <c r="AW34" i="2" s="1"/>
  <c r="AT10" i="2"/>
  <c r="AU10" i="2" s="1"/>
  <c r="AW10" i="2" s="1"/>
  <c r="AT11" i="2"/>
  <c r="AU11" i="2" s="1"/>
  <c r="AW11" i="2" s="1"/>
  <c r="AT23" i="2"/>
  <c r="AU23" i="2" s="1"/>
  <c r="AW23" i="2" s="1"/>
  <c r="AT47" i="2"/>
  <c r="AU47" i="2" s="1"/>
  <c r="AW47" i="2" s="1"/>
  <c r="AT75" i="2"/>
  <c r="AU75" i="2" s="1"/>
  <c r="AW75" i="2" s="1"/>
  <c r="AT37" i="2"/>
  <c r="AU37" i="2" s="1"/>
  <c r="AW37" i="2" s="1"/>
  <c r="AT89" i="2"/>
  <c r="AU89" i="2" s="1"/>
  <c r="AW89" i="2" s="1"/>
  <c r="AT17" i="2"/>
  <c r="AU17" i="2" s="1"/>
  <c r="AW17" i="2" s="1"/>
  <c r="AT73" i="2"/>
  <c r="AU73" i="2" s="1"/>
  <c r="AW73" i="2" s="1"/>
  <c r="AT22" i="2"/>
  <c r="AU22" i="2" s="1"/>
  <c r="AW22" i="2" s="1"/>
  <c r="AT85" i="2"/>
  <c r="AU85" i="2" s="1"/>
  <c r="AW85" i="2" s="1"/>
  <c r="AT91" i="2"/>
  <c r="AU91" i="2" s="1"/>
  <c r="AW91" i="2" s="1"/>
  <c r="AT74" i="2"/>
  <c r="AU74" i="2" s="1"/>
  <c r="AW74" i="2" s="1"/>
  <c r="AT98" i="2"/>
  <c r="AU98" i="2" s="1"/>
  <c r="AW98" i="2" s="1"/>
  <c r="AT14" i="2"/>
  <c r="AU14" i="2" s="1"/>
  <c r="AW14" i="2" s="1"/>
  <c r="AT32" i="2"/>
  <c r="AU32" i="2" s="1"/>
  <c r="AW32" i="2" s="1"/>
  <c r="AT94" i="2"/>
  <c r="AU94" i="2" s="1"/>
  <c r="AW94" i="2" s="1"/>
  <c r="AT8" i="2"/>
  <c r="AU8" i="2" s="1"/>
  <c r="AW8" i="2" s="1"/>
  <c r="AT77" i="2"/>
  <c r="AU77" i="2" s="1"/>
  <c r="AW77" i="2" s="1"/>
  <c r="AT56" i="2"/>
  <c r="AU56" i="2" s="1"/>
  <c r="AW56" i="2" s="1"/>
  <c r="AT86" i="2"/>
  <c r="AU86" i="2" s="1"/>
  <c r="AW86" i="2" s="1"/>
  <c r="AT63" i="2"/>
  <c r="AU63" i="2" s="1"/>
  <c r="AW63" i="2" s="1"/>
  <c r="AT79" i="2"/>
  <c r="AU79" i="2" s="1"/>
  <c r="AW79" i="2" s="1"/>
  <c r="AT15" i="2"/>
  <c r="AU15" i="2" s="1"/>
  <c r="AW15" i="2" s="1"/>
  <c r="AT55" i="2"/>
  <c r="AU55" i="2" s="1"/>
  <c r="AW55" i="2" s="1"/>
  <c r="AT35" i="2"/>
  <c r="AU35" i="2" s="1"/>
  <c r="AW35" i="2" s="1"/>
  <c r="AT39" i="2"/>
  <c r="AU39" i="2" s="1"/>
  <c r="AW39" i="2" s="1"/>
  <c r="AT30" i="2"/>
  <c r="AU30" i="2" s="1"/>
  <c r="AW30" i="2" s="1"/>
  <c r="AT100" i="2"/>
  <c r="AU100" i="2" s="1"/>
  <c r="AW100" i="2" s="1"/>
  <c r="AT96" i="2"/>
  <c r="AU96" i="2" s="1"/>
  <c r="AW96" i="2" s="1"/>
  <c r="AT70" i="2"/>
  <c r="AU70" i="2" s="1"/>
  <c r="AW70" i="2" s="1"/>
  <c r="AT92" i="2"/>
  <c r="AU92" i="2" s="1"/>
  <c r="AW92" i="2" s="1"/>
  <c r="AT7" i="2"/>
  <c r="AU7" i="2" s="1"/>
  <c r="AW7" i="2" s="1"/>
  <c r="AT84" i="2"/>
  <c r="AU84" i="2" s="1"/>
  <c r="AW84" i="2" s="1"/>
  <c r="AT21" i="2"/>
  <c r="AU21" i="2" s="1"/>
  <c r="AW21" i="2" s="1"/>
  <c r="AT87" i="2"/>
  <c r="AU87" i="2" s="1"/>
  <c r="AW87" i="2" s="1"/>
  <c r="AT88" i="2"/>
  <c r="AU88" i="2" s="1"/>
  <c r="AW88" i="2" s="1"/>
  <c r="AT82" i="2"/>
  <c r="AU82" i="2" s="1"/>
  <c r="AW82" i="2" s="1"/>
  <c r="AT97" i="2"/>
  <c r="AU97" i="2" s="1"/>
  <c r="AW97" i="2" s="1"/>
  <c r="AT52" i="2"/>
  <c r="AU52" i="2" s="1"/>
  <c r="AW52" i="2" s="1"/>
  <c r="AT62" i="2"/>
  <c r="AU62" i="2" s="1"/>
  <c r="AW62" i="2" s="1"/>
  <c r="AT81" i="2"/>
  <c r="AU81" i="2" s="1"/>
  <c r="AW81" i="2" s="1"/>
  <c r="AT61" i="2"/>
  <c r="AU61" i="2" s="1"/>
  <c r="AW61" i="2" s="1"/>
  <c r="AT78" i="2"/>
  <c r="AU78" i="2" s="1"/>
  <c r="AW78" i="2" s="1"/>
  <c r="AT46" i="2"/>
  <c r="AU46" i="2" s="1"/>
  <c r="AW46" i="2" s="1"/>
  <c r="AT38" i="2"/>
  <c r="AU38" i="2" s="1"/>
  <c r="AW38" i="2" s="1"/>
  <c r="AT24" i="2"/>
  <c r="AU24" i="2" s="1"/>
  <c r="AW24" i="2" s="1"/>
  <c r="AT57" i="2"/>
  <c r="AU57" i="2" s="1"/>
  <c r="AW57" i="2" s="1"/>
  <c r="AT43" i="2"/>
  <c r="AU43" i="2" s="1"/>
  <c r="AW43" i="2" s="1"/>
  <c r="AT99" i="2"/>
  <c r="AU99" i="2" s="1"/>
  <c r="AW99" i="2" s="1"/>
  <c r="E1" i="2" l="1"/>
  <c r="AX69" i="2"/>
  <c r="AX31" i="2"/>
  <c r="AX59" i="2"/>
  <c r="AX90" i="2"/>
  <c r="AX16" i="2"/>
  <c r="AX58" i="2"/>
  <c r="AX49" i="2"/>
  <c r="AX53" i="2"/>
  <c r="AX60" i="2"/>
  <c r="AX44" i="2"/>
  <c r="AX7" i="2"/>
  <c r="AX76" i="2"/>
  <c r="AX41" i="2"/>
  <c r="AX18" i="2"/>
  <c r="AX95" i="2"/>
  <c r="AX48" i="2"/>
  <c r="AX47" i="2"/>
  <c r="AX29" i="2"/>
  <c r="AX42" i="2"/>
  <c r="AX51" i="2"/>
  <c r="AX23" i="2"/>
  <c r="AX64" i="2"/>
  <c r="AX65" i="2"/>
  <c r="AX25" i="2"/>
  <c r="AX93" i="2"/>
  <c r="AX67" i="2"/>
  <c r="AX54" i="2"/>
  <c r="AX40" i="2"/>
  <c r="AX83" i="2"/>
  <c r="AX3" i="2"/>
  <c r="AX10" i="2"/>
  <c r="AX11" i="2"/>
  <c r="AX13" i="2"/>
  <c r="AX9" i="2"/>
  <c r="AX12" i="2"/>
  <c r="AX20" i="2"/>
  <c r="AX33" i="2"/>
  <c r="AX68" i="2"/>
  <c r="AX72" i="2"/>
  <c r="AX45" i="2"/>
  <c r="AX36" i="2"/>
  <c r="AX27" i="2"/>
  <c r="AX50" i="2"/>
  <c r="AX71" i="2"/>
  <c r="AX6" i="2"/>
  <c r="AX34" i="2"/>
  <c r="AX80" i="2"/>
  <c r="AX66" i="2"/>
  <c r="AX28" i="2"/>
  <c r="AX26" i="2"/>
  <c r="AX19" i="2"/>
  <c r="AX94" i="2"/>
  <c r="AX24" i="2"/>
  <c r="AX52" i="2"/>
  <c r="AX92" i="2"/>
  <c r="AX35" i="2"/>
  <c r="AX8" i="2"/>
  <c r="AX22" i="2"/>
  <c r="AX37" i="2"/>
  <c r="AX70" i="2"/>
  <c r="AX75" i="2"/>
  <c r="AX38" i="2"/>
  <c r="AX82" i="2"/>
  <c r="AX96" i="2"/>
  <c r="AX15" i="2"/>
  <c r="AX32" i="2"/>
  <c r="AX17" i="2"/>
  <c r="AX4" i="2"/>
  <c r="AX73" i="2"/>
  <c r="AX88" i="2"/>
  <c r="AX79" i="2"/>
  <c r="AX14" i="2"/>
  <c r="AX55" i="2"/>
  <c r="AX46" i="2"/>
  <c r="AX78" i="2"/>
  <c r="AX87" i="2"/>
  <c r="AX63" i="2"/>
  <c r="AX98" i="2"/>
  <c r="AX100" i="2"/>
  <c r="AX99" i="2"/>
  <c r="AX61" i="2"/>
  <c r="AX21" i="2"/>
  <c r="AX86" i="2"/>
  <c r="AX74" i="2"/>
  <c r="AX43" i="2"/>
  <c r="AX81" i="2"/>
  <c r="AX84" i="2"/>
  <c r="AX30" i="2"/>
  <c r="AX56" i="2"/>
  <c r="AX91" i="2"/>
  <c r="AX97" i="2"/>
  <c r="AX57" i="2"/>
  <c r="AX62" i="2"/>
  <c r="AX39" i="2"/>
  <c r="AX77" i="2"/>
  <c r="AX85" i="2"/>
  <c r="AX89" i="2"/>
  <c r="AU2" i="2"/>
  <c r="AV73" i="2" s="1"/>
  <c r="AY73" i="2" s="1"/>
  <c r="C1" i="2" l="1"/>
  <c r="AG1" i="2"/>
  <c r="AV12" i="2"/>
  <c r="AV78" i="2"/>
  <c r="AV74" i="2"/>
  <c r="AV25" i="2"/>
  <c r="AV46" i="2"/>
  <c r="AV3" i="2"/>
  <c r="AV23" i="2"/>
  <c r="AV60" i="2"/>
  <c r="AV76" i="2"/>
  <c r="AV21" i="2"/>
  <c r="AV72" i="2"/>
  <c r="AV61" i="2"/>
  <c r="AV40" i="2"/>
  <c r="AV24" i="2"/>
  <c r="AV96" i="2"/>
  <c r="AV67" i="2"/>
  <c r="AV36" i="2"/>
  <c r="AV16" i="2"/>
  <c r="AV35" i="2"/>
  <c r="AV94" i="2"/>
  <c r="AV5" i="2"/>
  <c r="AV79" i="2"/>
  <c r="AV31" i="2"/>
  <c r="AV7" i="2"/>
  <c r="AV86" i="2"/>
  <c r="AV95" i="2"/>
  <c r="AV54" i="2"/>
  <c r="AV81" i="2"/>
  <c r="AV4" i="2"/>
  <c r="AV77" i="2"/>
  <c r="AV45" i="2"/>
  <c r="AV20" i="2"/>
  <c r="AV100" i="2"/>
  <c r="AV49" i="2"/>
  <c r="AV15" i="2"/>
  <c r="AV89" i="2"/>
  <c r="AV34" i="2"/>
  <c r="AV17" i="2"/>
  <c r="AV28" i="2"/>
  <c r="AV55" i="2"/>
  <c r="AV82" i="2"/>
  <c r="AV19" i="2"/>
  <c r="AV26" i="2"/>
  <c r="AV43" i="2"/>
  <c r="AV93" i="2"/>
  <c r="AV39" i="2"/>
  <c r="AV27" i="2"/>
  <c r="AV41" i="2"/>
  <c r="AV88" i="2"/>
  <c r="AV58" i="2"/>
  <c r="AV62" i="2"/>
  <c r="AV14" i="2"/>
  <c r="AV32" i="2"/>
  <c r="AV42" i="2"/>
  <c r="AV99" i="2"/>
  <c r="AV50" i="2"/>
  <c r="AV37" i="2"/>
  <c r="AV9" i="2"/>
  <c r="AV70" i="2"/>
  <c r="AV57" i="2"/>
  <c r="AV69" i="2"/>
  <c r="AV65" i="2"/>
  <c r="AV38" i="2"/>
  <c r="AV10" i="2"/>
  <c r="AV22" i="2"/>
  <c r="AV91" i="2"/>
  <c r="AV66" i="2"/>
  <c r="AV29" i="2"/>
  <c r="AV47" i="2"/>
  <c r="AV48" i="2"/>
  <c r="AV92" i="2"/>
  <c r="AV98" i="2"/>
  <c r="AV33" i="2"/>
  <c r="AV97" i="2"/>
  <c r="AV13" i="2"/>
  <c r="AV52" i="2"/>
  <c r="AV11" i="2"/>
  <c r="AV51" i="2"/>
  <c r="AV83" i="2"/>
  <c r="AV8" i="2"/>
  <c r="AV30" i="2"/>
  <c r="AV64" i="2"/>
  <c r="AV56" i="2"/>
  <c r="AV87" i="2"/>
  <c r="AV75" i="2"/>
  <c r="AV44" i="2"/>
  <c r="AV63" i="2"/>
  <c r="AV68" i="2"/>
  <c r="AV71" i="2"/>
  <c r="AV80" i="2"/>
  <c r="AV90" i="2"/>
  <c r="AV84" i="2"/>
  <c r="AV85" i="2"/>
  <c r="AV18" i="2"/>
  <c r="AV53" i="2"/>
  <c r="AV6" i="2"/>
  <c r="AV59" i="2"/>
  <c r="AW2" i="2"/>
  <c r="BA72" i="2"/>
  <c r="AX5" i="2"/>
  <c r="BA5" i="2" s="1"/>
  <c r="BA68" i="2"/>
  <c r="BA83" i="2"/>
  <c r="BA30" i="2"/>
  <c r="BA99" i="2"/>
  <c r="BA78" i="2"/>
  <c r="BA75" i="2"/>
  <c r="BA85" i="2"/>
  <c r="BA33" i="2"/>
  <c r="BA71" i="2"/>
  <c r="BA80" i="2"/>
  <c r="BA11" i="2"/>
  <c r="BA40" i="2"/>
  <c r="BA18" i="2"/>
  <c r="BA16" i="2"/>
  <c r="BA8" i="2"/>
  <c r="BA56" i="2"/>
  <c r="BA29" i="2"/>
  <c r="BA12" i="2"/>
  <c r="BA74" i="2"/>
  <c r="BA49" i="2"/>
  <c r="BA42" i="2"/>
  <c r="BA77" i="2"/>
  <c r="BA57" i="2"/>
  <c r="BA84" i="2"/>
  <c r="BA90" i="2"/>
  <c r="BA25" i="2"/>
  <c r="BA94" i="2"/>
  <c r="BA20" i="2"/>
  <c r="BA9" i="2"/>
  <c r="BA69" i="2"/>
  <c r="BA48" i="2"/>
  <c r="BA31" i="2"/>
  <c r="BA65" i="2"/>
  <c r="BA59" i="2"/>
  <c r="BA4" i="2"/>
  <c r="BA23" i="2"/>
  <c r="BA86" i="2"/>
  <c r="BA19" i="2"/>
  <c r="BA100" i="2"/>
  <c r="BA98" i="2"/>
  <c r="BA46" i="2"/>
  <c r="BA41" i="2"/>
  <c r="BA79" i="2"/>
  <c r="BA88" i="2"/>
  <c r="BA44" i="2"/>
  <c r="BA32" i="2"/>
  <c r="BA37" i="2"/>
  <c r="BA35" i="2"/>
  <c r="BA92" i="2"/>
  <c r="BA89" i="2"/>
  <c r="BA39" i="2"/>
  <c r="BA7" i="2"/>
  <c r="BA97" i="2"/>
  <c r="BA51" i="2"/>
  <c r="BA27" i="2"/>
  <c r="BA81" i="2"/>
  <c r="BA21" i="2"/>
  <c r="BA64" i="2"/>
  <c r="BA93" i="2"/>
  <c r="BA53" i="2"/>
  <c r="BA15" i="2"/>
  <c r="BA96" i="2"/>
  <c r="BA95" i="2"/>
  <c r="BA34" i="2"/>
  <c r="BA43" i="2"/>
  <c r="BA6" i="2"/>
  <c r="BA47" i="2"/>
  <c r="BA63" i="2"/>
  <c r="BA87" i="2"/>
  <c r="BA54" i="2"/>
  <c r="BA73" i="2"/>
  <c r="BA13" i="2"/>
  <c r="BA45" i="2"/>
  <c r="BA52" i="2"/>
  <c r="BA50" i="2"/>
  <c r="BA91" i="2"/>
  <c r="BA60" i="2"/>
  <c r="BA61" i="2"/>
  <c r="BA76" i="2"/>
  <c r="BA26" i="2"/>
  <c r="BA55" i="2"/>
  <c r="BA66" i="2"/>
  <c r="AZ73" i="2"/>
  <c r="BA36" i="2"/>
  <c r="BA82" i="2"/>
  <c r="BA70" i="2"/>
  <c r="BA58" i="2"/>
  <c r="BA62" i="2"/>
  <c r="BA28" i="2"/>
  <c r="BA67" i="2"/>
  <c r="BA14" i="2"/>
  <c r="BA10" i="2"/>
  <c r="BA17" i="2"/>
  <c r="BA38" i="2"/>
  <c r="BA22" i="2"/>
  <c r="BA24" i="2"/>
  <c r="BA3" i="2"/>
  <c r="AY6" i="2" l="1"/>
  <c r="AZ6" i="2" s="1"/>
  <c r="AY68" i="2"/>
  <c r="AZ68" i="2" s="1"/>
  <c r="AY8" i="2"/>
  <c r="AZ8" i="2" s="1"/>
  <c r="AY98" i="2"/>
  <c r="AZ98" i="2" s="1"/>
  <c r="AY10" i="2"/>
  <c r="AZ10" i="2" s="1"/>
  <c r="AY50" i="2"/>
  <c r="AZ50" i="2" s="1"/>
  <c r="AY41" i="2"/>
  <c r="AZ41" i="2" s="1"/>
  <c r="AY55" i="2"/>
  <c r="AZ55" i="2" s="1"/>
  <c r="AY20" i="2"/>
  <c r="AZ20" i="2" s="1"/>
  <c r="AY7" i="2"/>
  <c r="AZ7" i="2" s="1"/>
  <c r="AY67" i="2"/>
  <c r="AZ67" i="2" s="1"/>
  <c r="AY60" i="2"/>
  <c r="AZ60" i="2" s="1"/>
  <c r="AY53" i="2"/>
  <c r="AZ53" i="2" s="1"/>
  <c r="AY92" i="2"/>
  <c r="AZ92" i="2" s="1"/>
  <c r="AY28" i="2"/>
  <c r="AZ28" i="2" s="1"/>
  <c r="AY31" i="2"/>
  <c r="AZ31" i="2" s="1"/>
  <c r="AY23" i="2"/>
  <c r="AZ23" i="2" s="1"/>
  <c r="AY18" i="2"/>
  <c r="AZ18" i="2" s="1"/>
  <c r="AY44" i="2"/>
  <c r="AZ44" i="2" s="1"/>
  <c r="AY51" i="2"/>
  <c r="AZ51" i="2" s="1"/>
  <c r="AY48" i="2"/>
  <c r="AZ48" i="2" s="1"/>
  <c r="AY65" i="2"/>
  <c r="AZ65" i="2" s="1"/>
  <c r="AY42" i="2"/>
  <c r="AZ42" i="2" s="1"/>
  <c r="AY39" i="2"/>
  <c r="AZ39" i="2" s="1"/>
  <c r="AY17" i="2"/>
  <c r="AZ17" i="2" s="1"/>
  <c r="AY77" i="2"/>
  <c r="AZ77" i="2" s="1"/>
  <c r="AY79" i="2"/>
  <c r="AZ79" i="2" s="1"/>
  <c r="AY24" i="2"/>
  <c r="AZ24" i="2" s="1"/>
  <c r="AY3" i="2"/>
  <c r="AZ3" i="2" s="1"/>
  <c r="AY27" i="2"/>
  <c r="AZ27" i="2" s="1"/>
  <c r="AY85" i="2"/>
  <c r="AZ85" i="2" s="1"/>
  <c r="AY75" i="2"/>
  <c r="AZ75" i="2" s="1"/>
  <c r="AY11" i="2"/>
  <c r="AZ11" i="2" s="1"/>
  <c r="AY47" i="2"/>
  <c r="AZ47" i="2" s="1"/>
  <c r="AY69" i="2"/>
  <c r="AZ69" i="2" s="1"/>
  <c r="AY32" i="2"/>
  <c r="AZ32" i="2" s="1"/>
  <c r="AY93" i="2"/>
  <c r="AZ93" i="2" s="1"/>
  <c r="AY34" i="2"/>
  <c r="AZ34" i="2" s="1"/>
  <c r="AY4" i="2"/>
  <c r="AZ4" i="2" s="1"/>
  <c r="AY5" i="2"/>
  <c r="AZ5" i="2" s="1"/>
  <c r="AY40" i="2"/>
  <c r="AZ40" i="2" s="1"/>
  <c r="AY46" i="2"/>
  <c r="AZ46" i="2" s="1"/>
  <c r="AY83" i="2"/>
  <c r="AZ83" i="2" s="1"/>
  <c r="AY45" i="2"/>
  <c r="AZ45" i="2" s="1"/>
  <c r="AY84" i="2"/>
  <c r="AZ84" i="2" s="1"/>
  <c r="AY87" i="2"/>
  <c r="AZ87" i="2" s="1"/>
  <c r="AY52" i="2"/>
  <c r="AZ52" i="2" s="1"/>
  <c r="AY29" i="2"/>
  <c r="AZ29" i="2" s="1"/>
  <c r="AY57" i="2"/>
  <c r="AZ57" i="2" s="1"/>
  <c r="AY14" i="2"/>
  <c r="AZ14" i="2" s="1"/>
  <c r="AY43" i="2"/>
  <c r="AZ43" i="2" s="1"/>
  <c r="AY89" i="2"/>
  <c r="AZ89" i="2" s="1"/>
  <c r="AY81" i="2"/>
  <c r="AZ81" i="2" s="1"/>
  <c r="AY94" i="2"/>
  <c r="AZ94" i="2" s="1"/>
  <c r="AY61" i="2"/>
  <c r="AZ61" i="2" s="1"/>
  <c r="AY25" i="2"/>
  <c r="AZ25" i="2" s="1"/>
  <c r="AY63" i="2"/>
  <c r="AZ63" i="2" s="1"/>
  <c r="AY99" i="2"/>
  <c r="AZ99" i="2" s="1"/>
  <c r="AY96" i="2"/>
  <c r="AZ96" i="2" s="1"/>
  <c r="AY90" i="2"/>
  <c r="AZ90" i="2" s="1"/>
  <c r="AY56" i="2"/>
  <c r="AZ56" i="2" s="1"/>
  <c r="AY13" i="2"/>
  <c r="AZ13" i="2" s="1"/>
  <c r="AY66" i="2"/>
  <c r="AZ66" i="2" s="1"/>
  <c r="AY70" i="2"/>
  <c r="AZ70" i="2" s="1"/>
  <c r="AY62" i="2"/>
  <c r="AZ62" i="2" s="1"/>
  <c r="AY26" i="2"/>
  <c r="AZ26" i="2" s="1"/>
  <c r="AY15" i="2"/>
  <c r="AZ15" i="2" s="1"/>
  <c r="AY54" i="2"/>
  <c r="AZ54" i="2" s="1"/>
  <c r="AY35" i="2"/>
  <c r="AZ35" i="2" s="1"/>
  <c r="AY72" i="2"/>
  <c r="AZ72" i="2" s="1"/>
  <c r="AY74" i="2"/>
  <c r="AZ74" i="2" s="1"/>
  <c r="AY38" i="2"/>
  <c r="AZ38" i="2" s="1"/>
  <c r="AY80" i="2"/>
  <c r="AZ80" i="2" s="1"/>
  <c r="AY64" i="2"/>
  <c r="AZ64" i="2" s="1"/>
  <c r="AY97" i="2"/>
  <c r="AZ97" i="2" s="1"/>
  <c r="AY91" i="2"/>
  <c r="AZ91" i="2" s="1"/>
  <c r="AY9" i="2"/>
  <c r="AZ9" i="2" s="1"/>
  <c r="AY58" i="2"/>
  <c r="AZ58" i="2" s="1"/>
  <c r="AY19" i="2"/>
  <c r="AZ19" i="2" s="1"/>
  <c r="AY49" i="2"/>
  <c r="AZ49" i="2" s="1"/>
  <c r="AY95" i="2"/>
  <c r="AZ95" i="2" s="1"/>
  <c r="AY16" i="2"/>
  <c r="AZ16" i="2" s="1"/>
  <c r="AY21" i="2"/>
  <c r="AZ21" i="2" s="1"/>
  <c r="AY78" i="2"/>
  <c r="AZ78" i="2" s="1"/>
  <c r="AY59" i="2"/>
  <c r="AZ59" i="2" s="1"/>
  <c r="AY71" i="2"/>
  <c r="AZ71" i="2" s="1"/>
  <c r="AY30" i="2"/>
  <c r="AZ30" i="2" s="1"/>
  <c r="AY33" i="2"/>
  <c r="AZ33" i="2" s="1"/>
  <c r="AY22" i="2"/>
  <c r="AZ22" i="2" s="1"/>
  <c r="AY37" i="2"/>
  <c r="AZ37" i="2" s="1"/>
  <c r="AY88" i="2"/>
  <c r="AZ88" i="2" s="1"/>
  <c r="AY82" i="2"/>
  <c r="AZ82" i="2" s="1"/>
  <c r="AY100" i="2"/>
  <c r="AZ100" i="2" s="1"/>
  <c r="AY86" i="2"/>
  <c r="AZ86" i="2" s="1"/>
  <c r="AY36" i="2"/>
  <c r="AZ36" i="2" s="1"/>
  <c r="AY76" i="2"/>
  <c r="AZ76" i="2" s="1"/>
  <c r="AY12" i="2"/>
  <c r="AZ12" i="2" s="1"/>
  <c r="AV2" i="2"/>
  <c r="AD1" i="2" s="1"/>
  <c r="M1" i="2"/>
  <c r="AX2" i="2"/>
  <c r="AE2" i="2" s="1"/>
  <c r="BD1" i="2"/>
  <c r="AY2" i="2" l="1"/>
  <c r="AT2" i="2" s="1"/>
  <c r="AZ2" i="2"/>
  <c r="BA2" i="2"/>
  <c r="N1" i="2"/>
  <c r="AD2" i="2"/>
</calcChain>
</file>

<file path=xl/sharedStrings.xml><?xml version="1.0" encoding="utf-8"?>
<sst xmlns="http://schemas.openxmlformats.org/spreadsheetml/2006/main" count="79" uniqueCount="73">
  <si>
    <t>Count</t>
  </si>
  <si>
    <t>Field</t>
  </si>
  <si>
    <t>Forcasted RETURN %</t>
  </si>
  <si>
    <t>Actual RETURN %</t>
  </si>
  <si>
    <t>Net return</t>
  </si>
  <si>
    <t>CountCover%</t>
  </si>
  <si>
    <t>Probability</t>
  </si>
  <si>
    <t>TYPE</t>
  </si>
  <si>
    <t>Result</t>
  </si>
  <si>
    <t>% chance</t>
  </si>
  <si>
    <t>weighted expense</t>
  </si>
  <si>
    <t>wght returns</t>
  </si>
  <si>
    <t>100/TOdds</t>
  </si>
  <si>
    <t>ODDS</t>
  </si>
  <si>
    <t>TAB expense</t>
  </si>
  <si>
    <t>CountCover%*Amanda%</t>
  </si>
  <si>
    <t>AMANDA</t>
  </si>
  <si>
    <t>RACE</t>
  </si>
  <si>
    <t>DATA</t>
  </si>
  <si>
    <t>TIME</t>
  </si>
  <si>
    <t>QUINELLA (TAB)</t>
  </si>
  <si>
    <t>Win</t>
  </si>
  <si>
    <t>NET PROP $</t>
  </si>
  <si>
    <t>INVESTMENT</t>
  </si>
  <si>
    <t>AI</t>
  </si>
  <si>
    <t>AK</t>
  </si>
  <si>
    <t>AJ</t>
  </si>
  <si>
    <t>AH</t>
  </si>
  <si>
    <t>AG</t>
  </si>
  <si>
    <t>SPIKES</t>
  </si>
  <si>
    <t>CLUSTER 3</t>
  </si>
  <si>
    <t>Gross Return (TAB)</t>
  </si>
  <si>
    <t>NOW 0</t>
  </si>
  <si>
    <t>WATCH 2</t>
  </si>
  <si>
    <t>Spike Result</t>
  </si>
  <si>
    <t>Races Completed &gt;&gt;</t>
  </si>
  <si>
    <t>min &amp; MAX Odds</t>
  </si>
  <si>
    <t>$AK$1</t>
  </si>
  <si>
    <t>ALLOCATION (count)</t>
  </si>
  <si>
    <t>skew Rank$</t>
  </si>
  <si>
    <t>kurt Rank$</t>
  </si>
  <si>
    <t>VARIABLE</t>
  </si>
  <si>
    <t>SCRAPER 6</t>
  </si>
  <si>
    <t>SCRAPER 5</t>
  </si>
  <si>
    <t>SCRAPER 7</t>
  </si>
  <si>
    <t>COVERAGE</t>
  </si>
  <si>
    <t>DUPLICATES</t>
  </si>
  <si>
    <t>7 + Notcovered</t>
  </si>
  <si>
    <t xml:space="preserve">Calculus </t>
  </si>
  <si>
    <t>Prediction</t>
  </si>
  <si>
    <t>Net (ex expense) AV Return PROP</t>
  </si>
  <si>
    <t>Template</t>
  </si>
  <si>
    <t>F:\myGear\Kingston\Gaming\Templates\Summary\</t>
  </si>
  <si>
    <t>F:\myGear\Kingston\Gaming\Templates\Summarydump\</t>
  </si>
  <si>
    <t>Count of ALL fields</t>
  </si>
  <si>
    <t>0.23</t>
  </si>
  <si>
    <t>Count proper</t>
  </si>
  <si>
    <t>2312020-Ascot_R2.xlsm</t>
  </si>
  <si>
    <t xml:space="preserve"> ,C  2K2,times3, , , , ,C  7K1, , , , , , , , , , , , , , , , , , ,Dups 0n0 </t>
  </si>
  <si>
    <t>1,2,4,7,</t>
  </si>
  <si>
    <t>Best Fixed Odds2</t>
  </si>
  <si>
    <t/>
  </si>
  <si>
    <t>1,2, ,4, , ,7, , , , , , , , , , , , , , , , , ,-0.11,</t>
  </si>
  <si>
    <t>1,2, ,4, , ,7, , , , , , , , , , , , , , , , , ,0.07,</t>
  </si>
  <si>
    <t xml:space="preserve"> , , ,now 4,now 5,now 6, , , , , , , , , , , , , , , , , , ,Dups 2.73861278752583n</t>
  </si>
  <si>
    <t xml:space="preserve"> , , , , , , ,8, , , , , , , , , , , , , , , , ,0,</t>
  </si>
  <si>
    <t>1,2,3, , , ,7,8, , , , , , , , , , , , , , , , ,-0.11,</t>
  </si>
  <si>
    <t>SAME $K1 =$J1 $J1 =$K1 $I1 =$K3</t>
  </si>
  <si>
    <t xml:space="preserve"> </t>
  </si>
  <si>
    <t>0.687 5</t>
  </si>
  <si>
    <t>meanSINGLESAMENARROWBLUETT</t>
  </si>
  <si>
    <t xml:space="preserve">                        </t>
  </si>
  <si>
    <t>SAMENARROWNARROW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</si>
</sst>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&quot;$&quot;#,##0"/>
    <numFmt numFmtId="166" formatCode="0.000%"/>
    <numFmt numFmtId="167" formatCode="[$-F400]h:mm:ss\ AM/PM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0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0000"/>
        <bgColor indexed="58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58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indexed="58"/>
      </patternFill>
    </fill>
    <fill>
      <patternFill patternType="solid">
        <fgColor theme="8" tint="0.79998168889431442"/>
        <bgColor indexed="58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91">
    <xf numFmtId="0" fontId="0" fillId="0" borderId="0" xfId="0"/>
    <xf numFmtId="9" fontId="5" fillId="0" borderId="1" xfId="0" applyNumberFormat="1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164" fontId="6" fillId="3" borderId="1" xfId="0" applyNumberFormat="1" applyFont="1" applyFill="1" applyBorder="1" applyAlignment="1">
      <alignment horizontal="center" vertical="center"/>
    </xf>
    <xf numFmtId="166" fontId="5" fillId="0" borderId="1" xfId="0" applyNumberFormat="1" applyFont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3" borderId="1" xfId="0" applyFont="1" applyFill="1" applyBorder="1" applyAlignment="1">
      <alignment horizontal="left" vertical="top"/>
    </xf>
    <xf numFmtId="9" fontId="6" fillId="3" borderId="1" xfId="3" applyFont="1" applyFill="1" applyBorder="1" applyAlignment="1">
      <alignment horizontal="center" vertical="center"/>
    </xf>
    <xf numFmtId="9" fontId="4" fillId="0" borderId="1" xfId="3" applyFont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9" fillId="3" borderId="3" xfId="0" applyFont="1" applyFill="1" applyBorder="1" applyAlignment="1">
      <alignment horizontal="left" vertical="center"/>
    </xf>
    <xf numFmtId="164" fontId="4" fillId="7" borderId="1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9" fontId="6" fillId="3" borderId="1" xfId="0" applyNumberFormat="1" applyFont="1" applyFill="1" applyBorder="1" applyAlignment="1">
      <alignment horizontal="center" vertical="center"/>
    </xf>
    <xf numFmtId="1" fontId="10" fillId="6" borderId="2" xfId="0" applyNumberFormat="1" applyFont="1" applyFill="1" applyBorder="1" applyAlignment="1">
      <alignment horizontal="center" vertical="center"/>
    </xf>
    <xf numFmtId="10" fontId="10" fillId="6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3" borderId="1" xfId="0" applyNumberFormat="1" applyFont="1" applyFill="1" applyBorder="1" applyAlignment="1">
      <alignment horizontal="left" vertical="center"/>
    </xf>
    <xf numFmtId="164" fontId="6" fillId="3" borderId="3" xfId="0" applyNumberFormat="1" applyFont="1" applyFill="1" applyBorder="1" applyAlignment="1">
      <alignment vertical="center" wrapText="1"/>
    </xf>
    <xf numFmtId="10" fontId="6" fillId="3" borderId="5" xfId="3" applyNumberFormat="1" applyFont="1" applyFill="1" applyBorder="1" applyAlignment="1">
      <alignment vertical="center" wrapText="1"/>
    </xf>
    <xf numFmtId="0" fontId="3" fillId="3" borderId="2" xfId="0" applyFont="1" applyFill="1" applyBorder="1" applyAlignment="1">
      <alignment vertical="top"/>
    </xf>
    <xf numFmtId="164" fontId="6" fillId="3" borderId="2" xfId="0" applyNumberFormat="1" applyFont="1" applyFill="1" applyBorder="1" applyAlignment="1">
      <alignment vertical="top"/>
    </xf>
    <xf numFmtId="2" fontId="13" fillId="3" borderId="5" xfId="0" applyNumberFormat="1" applyFont="1" applyFill="1" applyBorder="1" applyAlignment="1">
      <alignment vertical="center" wrapText="1"/>
    </xf>
    <xf numFmtId="164" fontId="4" fillId="4" borderId="1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0" fontId="5" fillId="4" borderId="4" xfId="0" applyNumberFormat="1" applyFont="1" applyFill="1" applyBorder="1" applyAlignment="1">
      <alignment horizontal="center"/>
    </xf>
    <xf numFmtId="1" fontId="5" fillId="4" borderId="4" xfId="0" applyNumberFormat="1" applyFont="1" applyFill="1" applyBorder="1" applyAlignment="1">
      <alignment horizontal="center"/>
    </xf>
    <xf numFmtId="10" fontId="5" fillId="4" borderId="3" xfId="0" applyNumberFormat="1" applyFont="1" applyFill="1" applyBorder="1" applyAlignment="1">
      <alignment horizontal="center"/>
    </xf>
    <xf numFmtId="167" fontId="7" fillId="4" borderId="1" xfId="0" applyNumberFormat="1" applyFont="1" applyFill="1" applyBorder="1" applyAlignment="1">
      <alignment horizontal="center"/>
    </xf>
    <xf numFmtId="164" fontId="4" fillId="4" borderId="2" xfId="0" applyNumberFormat="1" applyFont="1" applyFill="1" applyBorder="1" applyAlignment="1">
      <alignment horizontal="center"/>
    </xf>
    <xf numFmtId="2" fontId="13" fillId="3" borderId="5" xfId="0" applyNumberFormat="1" applyFont="1" applyFill="1" applyBorder="1" applyAlignment="1">
      <alignment horizontal="center" vertical="center"/>
    </xf>
    <xf numFmtId="2" fontId="13" fillId="3" borderId="3" xfId="3" applyNumberFormat="1" applyFont="1" applyFill="1" applyBorder="1" applyAlignment="1">
      <alignment horizontal="center" vertical="center" wrapText="1"/>
    </xf>
    <xf numFmtId="10" fontId="13" fillId="3" borderId="3" xfId="3" applyNumberFormat="1" applyFont="1" applyFill="1" applyBorder="1" applyAlignment="1">
      <alignment horizontal="center" vertical="center" wrapText="1"/>
    </xf>
    <xf numFmtId="2" fontId="0" fillId="0" borderId="0" xfId="0" applyNumberFormat="1"/>
    <xf numFmtId="4" fontId="4" fillId="8" borderId="1" xfId="0" applyNumberFormat="1" applyFont="1" applyFill="1" applyBorder="1" applyAlignment="1">
      <alignment horizontal="left" vertical="top"/>
    </xf>
    <xf numFmtId="165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165" fontId="15" fillId="10" borderId="5" xfId="1" applyNumberFormat="1" applyFont="1" applyFill="1" applyBorder="1" applyAlignment="1" applyProtection="1">
      <alignment horizontal="center" vertical="center" wrapText="1"/>
      <protection locked="0"/>
    </xf>
    <xf numFmtId="164" fontId="4" fillId="8" borderId="1" xfId="0" applyNumberFormat="1" applyFont="1" applyFill="1" applyBorder="1" applyAlignment="1">
      <alignment horizontal="left" vertical="center"/>
    </xf>
    <xf numFmtId="164" fontId="4" fillId="7" borderId="1" xfId="0" applyNumberFormat="1" applyFont="1" applyFill="1" applyBorder="1" applyAlignment="1">
      <alignment horizontal="left" vertical="center"/>
    </xf>
    <xf numFmtId="164" fontId="4" fillId="0" borderId="1" xfId="0" applyNumberFormat="1" applyFont="1" applyBorder="1" applyAlignment="1">
      <alignment horizontal="left" vertical="center"/>
    </xf>
    <xf numFmtId="164" fontId="4" fillId="4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6" fillId="3" borderId="1" xfId="3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/>
    </xf>
    <xf numFmtId="164" fontId="6" fillId="3" borderId="1" xfId="0" applyNumberFormat="1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10" fontId="7" fillId="4" borderId="1" xfId="0" applyNumberFormat="1" applyFont="1" applyFill="1" applyBorder="1" applyAlignment="1">
      <alignment horizontal="left"/>
    </xf>
    <xf numFmtId="49" fontId="11" fillId="4" borderId="1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9" fontId="4" fillId="11" borderId="1" xfId="0" applyNumberFormat="1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/>
    </xf>
    <xf numFmtId="49" fontId="11" fillId="9" borderId="1" xfId="0" applyNumberFormat="1" applyFont="1" applyFill="1" applyBorder="1" applyAlignment="1">
      <alignment horizontal="center"/>
    </xf>
    <xf numFmtId="49" fontId="0" fillId="0" borderId="0" xfId="0" applyNumberFormat="1"/>
    <xf numFmtId="3" fontId="16" fillId="11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left" indent="14"/>
    </xf>
    <xf numFmtId="10" fontId="9" fillId="3" borderId="4" xfId="0" applyNumberFormat="1" applyFont="1" applyFill="1" applyBorder="1" applyAlignment="1">
      <alignment horizontal="left" vertical="center"/>
    </xf>
    <xf numFmtId="164" fontId="16" fillId="11" borderId="1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2" fontId="3" fillId="3" borderId="1" xfId="0" applyNumberFormat="1" applyFont="1" applyFill="1" applyBorder="1" applyAlignment="1">
      <alignment horizontal="left" vertical="center"/>
    </xf>
    <xf numFmtId="2" fontId="6" fillId="3" borderId="1" xfId="0" applyNumberFormat="1" applyFont="1" applyFill="1" applyBorder="1" applyAlignment="1">
      <alignment horizontal="center" vertical="center"/>
    </xf>
    <xf numFmtId="2" fontId="3" fillId="3" borderId="3" xfId="0" applyNumberFormat="1" applyFont="1" applyFill="1" applyBorder="1" applyAlignment="1">
      <alignment vertical="top" wrapText="1"/>
    </xf>
    <xf numFmtId="0" fontId="3" fillId="3" borderId="1" xfId="0" applyFont="1" applyFill="1" applyBorder="1" applyAlignment="1">
      <alignment vertical="top"/>
    </xf>
    <xf numFmtId="164" fontId="6" fillId="3" borderId="1" xfId="0" applyNumberFormat="1" applyFont="1" applyFill="1" applyBorder="1" applyAlignment="1">
      <alignment vertical="center"/>
    </xf>
    <xf numFmtId="10" fontId="7" fillId="4" borderId="1" xfId="0" applyNumberFormat="1" applyFont="1" applyFill="1" applyBorder="1" applyAlignment="1"/>
    <xf numFmtId="0" fontId="0" fillId="0" borderId="0" xfId="0" applyAlignment="1"/>
    <xf numFmtId="49" fontId="7" fillId="4" borderId="1" xfId="0" applyNumberFormat="1" applyFont="1" applyFill="1" applyBorder="1" applyAlignment="1"/>
    <xf numFmtId="1" fontId="4" fillId="4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6" fillId="3" borderId="1" xfId="0" quotePrefix="1" applyNumberFormat="1" applyFont="1" applyFill="1" applyBorder="1" applyAlignment="1">
      <alignment vertical="center"/>
    </xf>
    <xf numFmtId="164" fontId="6" fillId="3" borderId="1" xfId="0" quotePrefix="1" applyNumberFormat="1" applyFont="1" applyFill="1" applyBorder="1" applyAlignment="1">
      <alignment horizontal="left" vertical="center"/>
    </xf>
    <xf numFmtId="1" fontId="3" fillId="3" borderId="1" xfId="0" applyNumberFormat="1" applyFont="1" applyFill="1" applyBorder="1" applyAlignment="1">
      <alignment horizontal="left"/>
    </xf>
    <xf numFmtId="1" fontId="13" fillId="3" borderId="5" xfId="0" applyNumberFormat="1" applyFont="1" applyFill="1" applyBorder="1" applyAlignment="1">
      <alignment horizontal="center" vertical="center" wrapText="1"/>
    </xf>
    <xf numFmtId="1" fontId="17" fillId="4" borderId="1" xfId="0" applyNumberFormat="1" applyFont="1" applyFill="1" applyBorder="1" applyAlignment="1">
      <alignment horizontal="center"/>
    </xf>
    <xf numFmtId="10" fontId="5" fillId="4" borderId="4" xfId="0" applyNumberFormat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4" fontId="4" fillId="12" borderId="1" xfId="0" applyNumberFormat="1" applyFont="1" applyFill="1" applyBorder="1" applyAlignment="1">
      <alignment horizontal="left" vertical="top"/>
    </xf>
    <xf numFmtId="4" fontId="18" fillId="12" borderId="1" xfId="0" applyNumberFormat="1" applyFont="1" applyFill="1" applyBorder="1" applyAlignment="1">
      <alignment horizontal="center" vertical="center"/>
    </xf>
    <xf numFmtId="164" fontId="19" fillId="7" borderId="1" xfId="4" applyNumberFormat="1" applyFill="1" applyBorder="1" applyAlignment="1">
      <alignment horizontal="left" vertical="center"/>
    </xf>
    <xf numFmtId="164" fontId="19" fillId="3" borderId="1" xfId="4" applyNumberFormat="1" applyFill="1" applyBorder="1" applyAlignment="1">
      <alignment horizontal="center" vertical="center"/>
    </xf>
    <xf numFmtId="10" fontId="4" fillId="4" borderId="1" xfId="0" applyNumberFormat="1" applyFont="1" applyFill="1" applyBorder="1" applyAlignment="1">
      <alignment horizontal="left"/>
    </xf>
    <xf numFmtId="3" fontId="16" fillId="11" borderId="1" xfId="0" applyNumberFormat="1" applyFont="1" applyFill="1" applyBorder="1" applyAlignment="1">
      <alignment horizontal="left" vertical="center" wrapText="1"/>
    </xf>
    <xf numFmtId="2" fontId="4" fillId="4" borderId="1" xfId="0" applyNumberFormat="1" applyFont="1" applyFill="1" applyBorder="1" applyAlignment="1">
      <alignment horizontal="left"/>
    </xf>
    <xf numFmtId="49" fontId="19" fillId="11" borderId="1" xfId="4" quotePrefix="1" applyNumberFormat="1" applyFill="1" applyBorder="1" applyAlignment="1">
      <alignment horizontal="center" vertical="center"/>
    </xf>
    <xf numFmtId="1" fontId="9" fillId="3" borderId="4" xfId="0" applyNumberFormat="1" applyFont="1" applyFill="1" applyBorder="1" applyAlignment="1">
      <alignment horizontal="left" vertical="center"/>
    </xf>
    <xf numFmtId="10" fontId="4" fillId="7" borderId="1" xfId="0" applyNumberFormat="1" applyFont="1" applyFill="1" applyBorder="1" applyAlignment="1">
      <alignment horizontal="center" vertical="center"/>
    </xf>
    <xf numFmtId="164" fontId="9" fillId="3" borderId="4" xfId="0" applyNumberFormat="1" applyFont="1" applyFill="1" applyBorder="1" applyAlignment="1">
      <alignment horizontal="left" vertical="center"/>
    </xf>
    <xf numFmtId="3" fontId="19" fillId="7" borderId="1" xfId="4" applyNumberFormat="1" applyFill="1" applyBorder="1" applyAlignment="1">
      <alignment horizontal="center" vertical="center"/>
    </xf>
  </cellXfs>
  <cellStyles count="5">
    <cellStyle name="Hyperlink" xfId="4" builtinId="8"/>
    <cellStyle name="Normal" xfId="0" builtinId="0"/>
    <cellStyle name="Normal 2" xfId="1" xr:uid="{00000000-0005-0000-0000-000001000000}"/>
    <cellStyle name="Percent" xfId="3" builtinId="5"/>
    <cellStyle name="Percent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INVESTMENTS%20200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lan/My%20Documents/betting/Grehound%20Betting%20_academics/INVESTMENTS%20SHEETS/INVESTMENT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templates/RACING%20S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Gear/USB%20Backup/Gaming/Templates/ADHOC%20TEST%20MR6%200708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CS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6 27102007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1">
          <cell r="A1" t="str">
            <v>distance</v>
          </cell>
        </row>
        <row r="2">
          <cell r="A2" t="str">
            <v>BOX</v>
          </cell>
        </row>
        <row r="3">
          <cell r="A3">
            <v>3</v>
          </cell>
        </row>
        <row r="4">
          <cell r="A4">
            <v>6</v>
          </cell>
        </row>
        <row r="5">
          <cell r="A5">
            <v>7</v>
          </cell>
        </row>
        <row r="6">
          <cell r="A6">
            <v>8</v>
          </cell>
        </row>
        <row r="7">
          <cell r="A7">
            <v>1</v>
          </cell>
        </row>
        <row r="8">
          <cell r="A8">
            <v>4</v>
          </cell>
        </row>
        <row r="9">
          <cell r="A9">
            <v>5</v>
          </cell>
        </row>
        <row r="10">
          <cell r="A10">
            <v>2</v>
          </cell>
        </row>
        <row r="11">
          <cell r="A11">
            <v>10</v>
          </cell>
        </row>
        <row r="12">
          <cell r="A12">
            <v>9</v>
          </cell>
        </row>
        <row r="15">
          <cell r="A15" t="str">
            <v>mean/median</v>
          </cell>
        </row>
        <row r="16">
          <cell r="A16" t="str">
            <v>Mean</v>
          </cell>
        </row>
        <row r="17">
          <cell r="A17" t="str">
            <v>median</v>
          </cell>
        </row>
        <row r="18">
          <cell r="A18" t="str">
            <v>Stevp</v>
          </cell>
        </row>
        <row r="19">
          <cell r="A19" t="str">
            <v>interval</v>
          </cell>
        </row>
        <row r="20">
          <cell r="A20" t="str">
            <v>Confidence</v>
          </cell>
        </row>
        <row r="21">
          <cell r="A21" t="str">
            <v>Corrrelation</v>
          </cell>
        </row>
        <row r="22">
          <cell r="A22" t="str">
            <v>Skew</v>
          </cell>
        </row>
        <row r="23">
          <cell r="A23">
            <v>39390.59325150463</v>
          </cell>
        </row>
        <row r="24">
          <cell r="A24">
            <v>0.70454545454545459</v>
          </cell>
        </row>
        <row r="25">
          <cell r="A25">
            <v>13.724131268390849</v>
          </cell>
        </row>
        <row r="27">
          <cell r="A27" t="str">
            <v>TOTE ODDS</v>
          </cell>
        </row>
        <row r="29">
          <cell r="A29" t="str">
            <v>Result</v>
          </cell>
        </row>
        <row r="31">
          <cell r="A31" t="str">
            <v>1 - LEPRECHAUN PACE  </v>
          </cell>
        </row>
        <row r="32">
          <cell r="A32" t="str">
            <v>5 - SHANLYN PRINCE  </v>
          </cell>
        </row>
        <row r="33">
          <cell r="A33" t="str">
            <v>7 - BETTY'S ANGEL  </v>
          </cell>
        </row>
        <row r="34">
          <cell r="A34" t="str">
            <v>6 - METICULOUS  </v>
          </cell>
        </row>
        <row r="42">
          <cell r="A42" t="str">
            <v>Rank of Winner</v>
          </cell>
        </row>
        <row r="43">
          <cell r="A43">
            <v>5</v>
          </cell>
        </row>
      </sheetData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MANDA"/>
      <sheetName val="WTA 07 04 07 2008 (quin3)"/>
      <sheetName val="WTA 09 04 07 2008 (wp4)"/>
      <sheetName val="TAR 06 04 07 2008 (WP1)"/>
      <sheetName val="TAR 07 04 07 2008 (WP2)"/>
      <sheetName val="TAR 08 04 07 2008 (3)"/>
      <sheetName val="WA1 2912 2007 (COPY)"/>
      <sheetName val="WA 08 04 07 2008 (1)"/>
      <sheetName val="LAUN 07 19112007 (COPY)"/>
      <sheetName val="WA 12 04 07 2008 (5)"/>
      <sheetName val="WA 05 05 07 2008 (3)"/>
      <sheetName val="WA 07 05 07 2008 (5)"/>
      <sheetName val="WA 08 05 07 2008 (6)"/>
      <sheetName val="WA 10 05 07 2008 (7)"/>
      <sheetName val="WA 01 28 06 2008 (1)"/>
      <sheetName val="WA 02 28 06 2008 (2)"/>
      <sheetName val="WA 04 28 06 2008 (3)"/>
      <sheetName val="WA 06 28 06 2008 (4)"/>
      <sheetName val="WA 08 28 06 2008 (5)"/>
      <sheetName val="WA 10 28 06 2008 (6)"/>
      <sheetName val="ag 05 24 06 2008 (1)"/>
      <sheetName val="ag 06 24 06 2008 (2)"/>
      <sheetName val="ag  07 24 06 2008 (3)"/>
      <sheetName val="ag  08 24 06 2008 (4)"/>
      <sheetName val="ag  09 24 06 2008 (5)"/>
      <sheetName val="WA  01 21 06 2008 (1)"/>
      <sheetName val="WA 03 21 06 2008 (2)"/>
      <sheetName val="WA 07 21 06 2008 (3)"/>
      <sheetName val="WA 03 13 06 2008 (1)"/>
      <sheetName val="WA 04 13 06 2008 (2)"/>
      <sheetName val="WA 06 13 06 2008 (3)"/>
      <sheetName val="WA 07 13 06 2008 (4)"/>
      <sheetName val="WA 09 13 06 2008 (5)"/>
      <sheetName val="WA 11 13 06 2008(6)"/>
      <sheetName val="Adel 06 12 06 2008"/>
      <sheetName val="Adel 07 12 06 2008"/>
      <sheetName val="Nowra 09 11 06 2008"/>
      <sheetName val="MG 04 31 05 2008"/>
      <sheetName val="MG 05 31 05 2008 (2)"/>
      <sheetName val="MG 08 31 05 2008 (3)"/>
      <sheetName val="WA 06 30 05 2008 "/>
      <sheetName val="WA 08 30 05 2008 (2)"/>
      <sheetName val="WA 09 30 05 2008  (3)"/>
      <sheetName val="WA 12 30 05 2008 (4)"/>
      <sheetName val="Casino 06 30 05 2008 "/>
      <sheetName val="Casino 08 30 05 2008 "/>
      <sheetName val="Casino 09 30 05 2008"/>
      <sheetName val="Casino 12 30 05 2008"/>
      <sheetName val="pg  06 2905 2008  (2)"/>
      <sheetName val="pg  07 2905 2008 "/>
      <sheetName val="pg  08 2905 2008  (2)"/>
      <sheetName val="ag  06 2005 2008 (6)"/>
      <sheetName val="ag  07 2005 2008 (3)"/>
      <sheetName val="Ball  04 2005 2008 (2)"/>
      <sheetName val="Ball 07 2005 2008 (4)"/>
      <sheetName val="sheet"/>
      <sheetName val="PG  05 1905 2008  "/>
      <sheetName val="PG  06 1905 2008  "/>
      <sheetName val="SG  01 1005 2008 "/>
      <sheetName val="SG  2 1005 2008(WP)"/>
      <sheetName val="MG  08 1005 2008"/>
      <sheetName val="MG  10 1005 2008  "/>
      <sheetName val="SG  03 0305 2008  (2)"/>
      <sheetName val="SG  03 0305 2008 "/>
      <sheetName val="PG  09 2504 2008 "/>
      <sheetName val="SG  06 2504 2008 "/>
      <sheetName val="SG  08 2504 2008  (2)"/>
      <sheetName val="AG  05 2304 2008 (6)"/>
      <sheetName val="AG  06 2304 2008 (6)"/>
      <sheetName val="AG  08 2304 2008 (6)"/>
      <sheetName val="MG  07 2304 2008"/>
      <sheetName val="MG  08 2304 2008 (7)"/>
      <sheetName val="MG  11 2304 2008 "/>
      <sheetName val="MG  12 2304 2008"/>
      <sheetName val="AG  06 2304 2008 (2)"/>
      <sheetName val="MG  02 1904 2008 (5)"/>
      <sheetName val="MG  04 1904 2008 (3)"/>
      <sheetName val="MG  06 1904 2008 (4)"/>
      <sheetName val="MG  08 1904 2008 (2)"/>
      <sheetName val="MG  09 1904 2008 (1)"/>
      <sheetName val="MG  06 1304 2008  (3)"/>
      <sheetName val="MG  07 1304 2008  (2)"/>
      <sheetName val="MG  09 1304 2008 "/>
      <sheetName val="MG  03 1204 2008 (4)"/>
      <sheetName val="MG  07 1204 2008 (2)"/>
      <sheetName val="MG  09 1204 2008 (3)"/>
      <sheetName val="WA4 05012008 (2)"/>
      <sheetName val="SG  02 0504 2008"/>
      <sheetName val="SG  03 0504 2008 (2)"/>
      <sheetName val="SG  05 0504 2008"/>
      <sheetName val="SG 10 05042008"/>
      <sheetName val="MG 8 05042008"/>
      <sheetName val="WG  04 1512 2007"/>
      <sheetName val="AD 4 06012008"/>
      <sheetName val="PG  07 2303 2008"/>
      <sheetName val="PG  08 2303 2008"/>
      <sheetName val="MG  04 2303 2008 "/>
      <sheetName val="MG  09 2303 2008"/>
      <sheetName val="SG08 2232008"/>
      <sheetName val="SG07 15032008 (2)"/>
      <sheetName val="SG09 15032008"/>
      <sheetName val="WA10 12012008 (8)"/>
      <sheetName val="WA10 12012008 (7)"/>
      <sheetName val="WA05 12012008 (4)"/>
      <sheetName val="WA04 12012008 (3)"/>
      <sheetName val="WA03 12012008 (2)"/>
      <sheetName val="WA02 12012008 (1)"/>
      <sheetName val="WA12 11012008 (3)"/>
      <sheetName val="WA08 11012008 (2)"/>
      <sheetName val="WA07 11012008"/>
      <sheetName val="AD 9 06 012008"/>
      <sheetName val="AD 8 06012008"/>
      <sheetName val="AD 6 06012008"/>
      <sheetName val="WA1 05012008"/>
      <sheetName val="WA4 05012008"/>
      <sheetName val="WA505012008"/>
      <sheetName val="WA7 05012008"/>
      <sheetName val="WA8 05012008"/>
      <sheetName val="WA7 2912 2007"/>
      <sheetName val="WA05 2912 2007"/>
      <sheetName val="WA2 2912 2007"/>
      <sheetName val="WA1 2912 2007"/>
      <sheetName val=" mg06 2812 2007"/>
      <sheetName val=" WG09 2212 2007"/>
      <sheetName val=" WG06 2212 2007"/>
      <sheetName val=" WG04 2212 2007"/>
      <sheetName val=" MG08 2212 2007"/>
      <sheetName val=" SG 05 2212 2007"/>
      <sheetName val="WG  01 1512 2007 "/>
      <sheetName val="WG  03 1512 2007"/>
      <sheetName val="WG  05 1512 2007"/>
      <sheetName val="WG  08 1512 2007"/>
      <sheetName val="WG  08 08112 2007"/>
      <sheetName val="WG  07 08112 2007"/>
      <sheetName val="WG  06 08112 2007"/>
      <sheetName val="WG  05 08112 2007"/>
      <sheetName val="WG  04 08112 2007 "/>
      <sheetName val="WG  02 08112 2007"/>
      <sheetName val="WG  11 0112 2007"/>
      <sheetName val="WG  010 0112 2007"/>
      <sheetName val="WG  06 0112 2007"/>
      <sheetName val="WG  03 0112 2007 "/>
      <sheetName val="WG  02 0112 2007"/>
      <sheetName val="WG  01 0112 2007"/>
      <sheetName val="MG 5 30112007"/>
      <sheetName val="MG6 30112007"/>
      <sheetName val="WA7 30112007"/>
      <sheetName val="WA8 30112007"/>
      <sheetName val="WA10 30112007"/>
      <sheetName val="WA11 30112007"/>
      <sheetName val="mG 03 25112007"/>
      <sheetName val="mG 07 25112007"/>
      <sheetName val="MG 04 24112007"/>
      <sheetName val="MG 05 24112007"/>
      <sheetName val="MG 09 24112007"/>
      <sheetName val="TG 06 23112007"/>
      <sheetName val="TG 08 23112007"/>
      <sheetName val="TG 09 23112007"/>
      <sheetName val="MG 06 23112007 "/>
      <sheetName val="MG 07 23112007"/>
      <sheetName val="MG 012 23112007"/>
      <sheetName val="ANG 03 22112007"/>
      <sheetName val="ANG 04 22112007"/>
      <sheetName val="ANG 8 22112007 "/>
      <sheetName val="ANG 10 22112007"/>
      <sheetName val="ANG 11 22112007"/>
      <sheetName val="GC 03 21112007"/>
      <sheetName val="GC 06 21112007"/>
      <sheetName val="GC 07 21112007"/>
      <sheetName val="GC 08 21112007"/>
      <sheetName val="IPS 01 20112007"/>
      <sheetName val="IPS 02 20112007"/>
      <sheetName val="IPS 03 20112007"/>
      <sheetName val="IPS 04 20112007"/>
      <sheetName val="IPS 08 20112007"/>
      <sheetName val="DEV 05 20112007"/>
      <sheetName val="DEV 06 20112007"/>
      <sheetName val="DEV 07 20112007"/>
      <sheetName val="DEV 08 20112007"/>
      <sheetName val="LAUN 03 19112007"/>
      <sheetName val="LAUN 06 19112007"/>
      <sheetName val="LAUN 07 19112007"/>
      <sheetName val="LAUN 08 19112007"/>
      <sheetName val="GEEL 05 19112007"/>
      <sheetName val="GEEL 07 19112007 "/>
      <sheetName val="GEEL09 19112007"/>
      <sheetName val="GEEL 12112007"/>
      <sheetName val="ADEL 05 18112007"/>
      <sheetName val="ADEL 06 18112007"/>
      <sheetName val="ADEL 07 18112007"/>
      <sheetName val="ADEL 10 18112007"/>
      <sheetName val="SYD 02 17112007"/>
      <sheetName val="SYD 03 17112007"/>
      <sheetName val="SYD 05 17112007"/>
      <sheetName val="MELB 02 17112007"/>
      <sheetName val="MELB 03 17112007 "/>
      <sheetName val="MELB 05 17112007"/>
      <sheetName val="MELB 07 17112007"/>
      <sheetName val="MELB 09 17112007"/>
      <sheetName val="MELB 10 17112007"/>
      <sheetName val="can5 11 07112007 "/>
      <sheetName val="can 06 11112007 "/>
      <sheetName val="ADEL 03 07112007"/>
      <sheetName val="ADEL 04 07112007"/>
      <sheetName val="ADEL 07 07112007"/>
      <sheetName val="ADEL 08 07112007"/>
      <sheetName val="LIS 02 06112007 "/>
      <sheetName val="LIS 05 06112007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>
        <row r="1">
          <cell r="B1" t="str">
            <v>distance</v>
          </cell>
        </row>
        <row r="2">
          <cell r="D2" t="str">
            <v>normdist</v>
          </cell>
        </row>
        <row r="3">
          <cell r="D3">
            <v>-0.15523047140904059</v>
          </cell>
        </row>
        <row r="4">
          <cell r="D4">
            <v>1.1679458996504966</v>
          </cell>
        </row>
        <row r="5">
          <cell r="D5">
            <v>-7.2436404352764642E-3</v>
          </cell>
        </row>
        <row r="6">
          <cell r="D6">
            <v>-0.9059929309832595</v>
          </cell>
        </row>
        <row r="7">
          <cell r="D7">
            <v>-1.6153672036835152</v>
          </cell>
        </row>
        <row r="8">
          <cell r="D8">
            <v>1.4762341042041649</v>
          </cell>
        </row>
        <row r="9">
          <cell r="D9">
            <v>-7.2436404352764642E-3</v>
          </cell>
        </row>
        <row r="10">
          <cell r="D10">
            <v>4.6897883091708926E-2</v>
          </cell>
        </row>
        <row r="11">
          <cell r="D11">
            <v>-11.879606499524041</v>
          </cell>
        </row>
        <row r="12">
          <cell r="D12">
            <v>-12.882097935152768</v>
          </cell>
        </row>
        <row r="15">
          <cell r="D15">
            <v>2.6281060661048627E-16</v>
          </cell>
        </row>
        <row r="16">
          <cell r="D16">
            <v>2.6281060661048627E-16</v>
          </cell>
        </row>
        <row r="17">
          <cell r="D17">
            <v>-7.2436404352764642E-3</v>
          </cell>
        </row>
        <row r="18">
          <cell r="D18">
            <v>0.99999999999997746</v>
          </cell>
        </row>
        <row r="19">
          <cell r="D19">
            <v>2.6281060661048036E-16</v>
          </cell>
        </row>
        <row r="21">
          <cell r="D21" t="str">
            <v>WIN PLACE not Quinella!!!</v>
          </cell>
        </row>
        <row r="22">
          <cell r="D22">
            <v>-6.8000945736870655E-2</v>
          </cell>
        </row>
        <row r="28">
          <cell r="D28" t="str">
            <v>Rank of Second(+)</v>
          </cell>
        </row>
        <row r="29">
          <cell r="D29">
            <v>7</v>
          </cell>
        </row>
        <row r="31">
          <cell r="D31" t="str">
            <v>Place</v>
          </cell>
        </row>
        <row r="32">
          <cell r="D32" t="str">
            <v>Odds</v>
          </cell>
        </row>
        <row r="33">
          <cell r="D33" t="str">
            <v>2.00 </v>
          </cell>
        </row>
        <row r="34">
          <cell r="D34" t="str">
            <v>3.00 </v>
          </cell>
        </row>
        <row r="35">
          <cell r="D35" t="str">
            <v>2.30 </v>
          </cell>
        </row>
      </sheetData>
      <sheetData sheetId="251"/>
      <sheetData sheetId="252"/>
      <sheetData sheetId="253"/>
      <sheetData sheetId="2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king Plan"/>
      <sheetName val="ORIGINAL DUTCH"/>
      <sheetName val="MODIFIED "/>
      <sheetName val="MR5170710"/>
      <sheetName val="MR6170710+S-K"/>
      <sheetName val="MR7170710-S+K"/>
      <sheetName val="MR8170710+SK"/>
      <sheetName val="SR6170710-SK"/>
      <sheetName val="SR7170710+SK"/>
      <sheetName val="SR8170710=SK"/>
      <sheetName val="Template (4)"/>
      <sheetName val="Template (2)"/>
      <sheetName val="Template (5)"/>
      <sheetName val="Template (6)"/>
      <sheetName val="Template"/>
      <sheetName val="Melbourne Cup 2009+S-K"/>
      <sheetName val="mr5100710+s-k"/>
      <sheetName val="m6100710+sk"/>
      <sheetName val="mr7100710+sk"/>
      <sheetName val="mr8100710-sk"/>
      <sheetName val="mr530710-s+k"/>
      <sheetName val="mr630710+sk"/>
      <sheetName val="mr730710+sk"/>
      <sheetName val="m830710-s+k"/>
      <sheetName val="MR6260610+S-K"/>
      <sheetName val="MR7260610-S+K"/>
      <sheetName val="MR8260610+S-K"/>
      <sheetName val="BR5190610+S-K"/>
      <sheetName val="BR6190610-SK"/>
      <sheetName val="BR7190610+S-K"/>
      <sheetName val="BR4120610-sk"/>
      <sheetName val="BR5120610+sk"/>
      <sheetName val="BR7120610-s+k"/>
      <sheetName val="MR90210+SK"/>
      <sheetName val="MR 6 191209 +SK"/>
      <sheetName val="BR5050610+sk"/>
      <sheetName val="BR6050610+sk"/>
      <sheetName val="BR7050610+s-k"/>
      <sheetName val="BR8050610+SK"/>
      <sheetName val="SR5050610+sk"/>
      <sheetName val="SR6050610-s+k"/>
      <sheetName val="SR8050610+sk"/>
      <sheetName val="BR6290510-SK"/>
      <sheetName val="BR7Dooben10K290510-s+K"/>
      <sheetName val="SR6030410+SK"/>
      <sheetName val="MR6220510+sk"/>
      <sheetName val="BR7220510+s-k"/>
      <sheetName val="MR8220510-sk"/>
      <sheetName val="MR72008-sk"/>
      <sheetName val="SR8080510+S-K"/>
      <sheetName val="MR7080510+SK"/>
      <sheetName val="MR8080510-SK"/>
      <sheetName val="MR8010510+sk"/>
      <sheetName val="MOONEE VALLEY 7 241009+sk"/>
      <sheetName val="SR6SYDNY CUP 240410+S-K"/>
      <sheetName val="SR6doncaster"/>
      <sheetName val="SR8"/>
      <sheetName val="SR8100410-S+K"/>
      <sheetName val="MR80410-S+K"/>
      <sheetName val="BR 7270210-S+K"/>
      <sheetName val="SR5030410-SK"/>
      <sheetName val="MR6030410+S-K"/>
      <sheetName val="GOLDENSLIPPERSR070410-SK"/>
      <sheetName val="SR6270310+S-K"/>
      <sheetName val="SR9270310+SK"/>
      <sheetName val="CoolmoreSR7200310-SK"/>
      <sheetName val="MR 6 060310+SK"/>
      <sheetName val="SR8 270210 +S-K"/>
      <sheetName val="MR5 160110+S-K "/>
      <sheetName val="MR8200210-SK"/>
      <sheetName val="WILLIAM REID STKG1MR7100213+S-K"/>
      <sheetName val="BR8 130210+SK"/>
      <sheetName val="SALE7+S-K"/>
      <sheetName val="sunshine6+SK"/>
      <sheetName val="MR8060210-SK"/>
      <sheetName val="MR9060210-SK"/>
      <sheetName val="MR6160110-SK"/>
      <sheetName val="MR8 160110-SK"/>
      <sheetName val="JWALKER MM BR 050110 SK+"/>
      <sheetName val="QLD MM BR 6 100110 +S-K"/>
      <sheetName val="BMW MM BR 7 100110-SK"/>
      <sheetName val="RM WILLIAMS MMBR 8 100110 +S-K"/>
      <sheetName val="LR 020110"/>
      <sheetName val="Mr6 261209-S-K"/>
      <sheetName val="mr8  261209 +s-k"/>
      <sheetName val="MR 5 121209"/>
      <sheetName val="MR 7 051209"/>
      <sheetName val="sub"/>
      <sheetName val="MACKINNON STAKES 311009 +SK"/>
      <sheetName val="sr8241009 -SK"/>
      <sheetName val="mr9 241009 +s-k"/>
      <sheetName val="ROSEHILLSR6241009 +SK "/>
      <sheetName val="DAVID JONES MR7171009"/>
      <sheetName val="CAULFIELD CUPMR81710 2009+sk"/>
      <sheetName val="YALUMBA MR5 101009"/>
      <sheetName val="DJS TOORAKHCP MR6 10 10 09-SK"/>
      <sheetName val="Caulfied GuineasMR7 10 10 09-SK"/>
      <sheetName val="HERB POWER STAKES MR 8 10 11 09"/>
      <sheetName val="MR8 10 10 09+S-K"/>
      <sheetName val="MR7 04 10 09+S-K"/>
      <sheetName val="MR6 19092009 _S_K _2_"/>
      <sheetName val="MR8 19092009 _S_K _2_"/>
      <sheetName val="MR7 05092009 _SK _1_"/>
      <sheetName val="MR8 05092009 _SK _2_"/>
      <sheetName val="MR9 05092009 _SK"/>
      <sheetName val="SR7 08082009 _SK_1_"/>
      <sheetName val="SR8 08082009 _SK_2_"/>
      <sheetName val="MR7 08082009_SK_3_"/>
      <sheetName val="MR8 08082009_S_K_4_"/>
      <sheetName val="MR6 25072009 _S_K _1_"/>
      <sheetName val="MR8 25072009 _S_K _2_"/>
      <sheetName val="MR6 18072009 _S_K _1_"/>
      <sheetName val="SR6 18072009 _S_K _2_"/>
      <sheetName val="MR7 18072009 _SK _3_"/>
      <sheetName val="SR7 18072009 _S_K _4_"/>
      <sheetName val="MR8 18072009 _SK _5_"/>
      <sheetName val="SR8 18072009 _SK _6_"/>
      <sheetName val="SR5 11072009 _+SK __"/>
      <sheetName val="SR6 11072009 +S-K _1_"/>
      <sheetName val="SR7 11072009 _SK _2_"/>
      <sheetName val="SR8 11072009 _SK _3_"/>
      <sheetName val="MR5 04072009 _SK _1_"/>
      <sheetName val="MR6 04072009 _SK _2_"/>
      <sheetName val="MR8 04072009_ S_K _3_"/>
      <sheetName val="MR627062009 S_K"/>
      <sheetName val="SR920062009+S-K"/>
      <sheetName val="MR827062009_S_K"/>
      <sheetName val="BR620062009+SK"/>
      <sheetName val="BR820062009+SK"/>
      <sheetName val="BR806062009+S-K"/>
      <sheetName val="BR716052009+SK"/>
      <sheetName val="BR509052009-S+K _2_"/>
      <sheetName val="SR718042009+S-K _1_"/>
      <sheetName val="SR818042009_S_K _2_"/>
      <sheetName val="SR411042009_S_K _1_"/>
      <sheetName val="SR511042009_S_K _2_"/>
      <sheetName val="SR7 DJS DERBY 11042009_S_K _3_"/>
      <sheetName val="SR811042009_S_K _4_"/>
      <sheetName val="MR604042009_S_K _2_"/>
      <sheetName val="GOLDSLIPPERSR704042009_S_K _1_"/>
      <sheetName val="SR6 28032009_S_K _1_"/>
      <sheetName val="MR6 28032009_SK _2_"/>
      <sheetName val="BR5 21032009_S_K _5_"/>
      <sheetName val="BR7 21032009_S_K _2_"/>
      <sheetName val="BR8 21032009_S_K _3_"/>
      <sheetName val="SR7 21032009_S_K _4_"/>
      <sheetName val="_Y8 14032009_S_K _1_"/>
      <sheetName val="_S6 14032009_S_K _2_"/>
      <sheetName val="_S7 14032009_S_K _3_"/>
      <sheetName val="_S9 14032009_S_K _4_"/>
      <sheetName val="M6 14032009_S_K _4_"/>
      <sheetName val="M7 14032009_S_K _2_"/>
      <sheetName val="BR8 08032009_S_K _2_"/>
      <sheetName val="BR7 08032009_S_K _1_"/>
      <sheetName val="New Zeland Y9 04032009_S_K _1_"/>
      <sheetName val="BR7 28022009_S_K _2_"/>
      <sheetName val="BR6 28022009_S_K _2_"/>
      <sheetName val="MR9 21022009_S_K _2_"/>
      <sheetName val="MR8 21022009_S_K _1_"/>
      <sheetName val="MR6 21022009_S_K _3_"/>
      <sheetName val="MR8 08022009_S_K _6_"/>
      <sheetName val="MR7 08022009_S_K _6_"/>
      <sheetName val="BR8 07022009_S_K _5_"/>
      <sheetName val="BR7 07022009_S_K _4_"/>
      <sheetName val="BR6 07022009_S_K _3_"/>
      <sheetName val="BR5 07022009_S_K _2_"/>
      <sheetName val="BR4 07022009_S_K _1_"/>
      <sheetName val="M7 26012009_S_K __"/>
      <sheetName val="Y8 24012009_S_K _4_"/>
      <sheetName val="ML5 170120098_S_K _3_"/>
      <sheetName val="Bris 07 06122008_S_K _2_"/>
      <sheetName val="Bris 07 06122008_S_K _1_"/>
      <sheetName val="Sydney 6 13122008_S_K _2_"/>
      <sheetName val="Adelaide 07 13122008_S_K _1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>
        <row r="3">
          <cell r="A3" t="str">
            <v xml:space="preserve">CHASM (1) </v>
          </cell>
          <cell r="C3">
            <v>19</v>
          </cell>
        </row>
        <row r="4">
          <cell r="A4" t="str">
            <v xml:space="preserve">GOLD SALUTE (4) </v>
          </cell>
          <cell r="C4">
            <v>21</v>
          </cell>
        </row>
        <row r="5">
          <cell r="A5" t="str">
            <v xml:space="preserve">MIDNIGHT MUSTANG (11) </v>
          </cell>
          <cell r="C5">
            <v>21</v>
          </cell>
        </row>
        <row r="6">
          <cell r="A6" t="str">
            <v xml:space="preserve">MASKED ASSASSIN (9) </v>
          </cell>
          <cell r="C6">
            <v>20</v>
          </cell>
        </row>
        <row r="7">
          <cell r="A7" t="str">
            <v xml:space="preserve">TURFFONTEIN (13) </v>
          </cell>
          <cell r="C7">
            <v>24</v>
          </cell>
        </row>
        <row r="8">
          <cell r="A8" t="str">
            <v xml:space="preserve">MR BARITONE (8) </v>
          </cell>
          <cell r="C8">
            <v>51</v>
          </cell>
        </row>
        <row r="9">
          <cell r="A9" t="str">
            <v xml:space="preserve">RAHEEB (14) </v>
          </cell>
          <cell r="C9">
            <v>18</v>
          </cell>
        </row>
        <row r="10">
          <cell r="A10" t="str">
            <v xml:space="preserve">ORANGE COUNTY (18) </v>
          </cell>
          <cell r="C10">
            <v>41</v>
          </cell>
        </row>
        <row r="11">
          <cell r="A11" t="str">
            <v xml:space="preserve">JUNGLE RULER (17) </v>
          </cell>
          <cell r="C11">
            <v>58</v>
          </cell>
        </row>
        <row r="12">
          <cell r="A12" t="str">
            <v xml:space="preserve">RIOS (2) </v>
          </cell>
          <cell r="C12">
            <v>22</v>
          </cell>
        </row>
        <row r="13">
          <cell r="A13" t="str">
            <v xml:space="preserve">PINNACLES (5) </v>
          </cell>
          <cell r="C13">
            <v>38</v>
          </cell>
        </row>
        <row r="14">
          <cell r="A14" t="str">
            <v xml:space="preserve">ESTEE (3) </v>
          </cell>
          <cell r="C14">
            <v>18</v>
          </cell>
        </row>
        <row r="15">
          <cell r="A15" t="str">
            <v xml:space="preserve">FAMOUS ROMAN (16) </v>
          </cell>
          <cell r="C15">
            <v>25</v>
          </cell>
        </row>
        <row r="16">
          <cell r="A16" t="str">
            <v xml:space="preserve">STICKPIN (15) </v>
          </cell>
          <cell r="C16">
            <v>40</v>
          </cell>
        </row>
        <row r="17">
          <cell r="A17" t="str">
            <v xml:space="preserve">RAFFAELLO (7) </v>
          </cell>
          <cell r="C17">
            <v>30</v>
          </cell>
        </row>
        <row r="18">
          <cell r="A18" t="str">
            <v xml:space="preserve">VON COSTA DE HERO (12) </v>
          </cell>
          <cell r="C18">
            <v>16</v>
          </cell>
        </row>
        <row r="19">
          <cell r="A19" t="str">
            <v xml:space="preserve">ALL AMERICAN (6) </v>
          </cell>
          <cell r="C19">
            <v>19</v>
          </cell>
        </row>
        <row r="20">
          <cell r="A20" t="str">
            <v xml:space="preserve">PILLAR OF HERCULES (10) </v>
          </cell>
          <cell r="C20">
            <v>20</v>
          </cell>
        </row>
      </sheetData>
      <sheetData sheetId="101" refreshError="1">
        <row r="3">
          <cell r="A3" t="str">
            <v xml:space="preserve">NEROLI </v>
          </cell>
          <cell r="C3">
            <v>13</v>
          </cell>
        </row>
        <row r="4">
          <cell r="A4" t="str">
            <v xml:space="preserve">DOLLOPS </v>
          </cell>
          <cell r="C4">
            <v>18</v>
          </cell>
        </row>
        <row r="5">
          <cell r="A5" t="str">
            <v xml:space="preserve">TEMPEST TOST </v>
          </cell>
          <cell r="C5">
            <v>10</v>
          </cell>
        </row>
        <row r="6">
          <cell r="A6" t="str">
            <v xml:space="preserve">FLYING RUBY </v>
          </cell>
          <cell r="C6">
            <v>20</v>
          </cell>
        </row>
        <row r="7">
          <cell r="A7" t="str">
            <v xml:space="preserve">VELOCITEA </v>
          </cell>
          <cell r="C7">
            <v>11</v>
          </cell>
        </row>
        <row r="8">
          <cell r="A8" t="str">
            <v xml:space="preserve">BEAMING </v>
          </cell>
          <cell r="C8">
            <v>13</v>
          </cell>
        </row>
        <row r="9">
          <cell r="A9" t="str">
            <v xml:space="preserve">DELYARA </v>
          </cell>
          <cell r="C9">
            <v>20</v>
          </cell>
        </row>
        <row r="10">
          <cell r="A10" t="str">
            <v xml:space="preserve">TOOTSIE </v>
          </cell>
          <cell r="C10">
            <v>15</v>
          </cell>
        </row>
        <row r="11">
          <cell r="A11" t="str">
            <v xml:space="preserve">ABSOLUT GLAM  </v>
          </cell>
          <cell r="C11">
            <v>21</v>
          </cell>
        </row>
        <row r="12">
          <cell r="A12" t="str">
            <v xml:space="preserve">CHAMPAGNE HARMONY </v>
          </cell>
          <cell r="C12">
            <v>7</v>
          </cell>
        </row>
        <row r="13">
          <cell r="A13" t="str">
            <v xml:space="preserve">PRINCESS GISELLA </v>
          </cell>
          <cell r="C13">
            <v>22</v>
          </cell>
        </row>
        <row r="14">
          <cell r="A14" t="str">
            <v xml:space="preserve">RAPID SENSATION </v>
          </cell>
          <cell r="C14">
            <v>8</v>
          </cell>
        </row>
        <row r="15">
          <cell r="A15" t="str">
            <v xml:space="preserve">JACQUELINE ROUGE </v>
          </cell>
          <cell r="C15">
            <v>33</v>
          </cell>
        </row>
        <row r="16">
          <cell r="A16" t="str">
            <v xml:space="preserve">ANNESONG </v>
          </cell>
          <cell r="C16">
            <v>30</v>
          </cell>
        </row>
        <row r="17">
          <cell r="A17" t="str">
            <v xml:space="preserve">PRIMA NOVA </v>
          </cell>
          <cell r="C17">
            <v>25</v>
          </cell>
        </row>
      </sheetData>
      <sheetData sheetId="102" refreshError="1">
        <row r="3">
          <cell r="A3" t="str">
            <v xml:space="preserve">TYPHOON TRACY </v>
          </cell>
          <cell r="C3">
            <v>6</v>
          </cell>
        </row>
        <row r="4">
          <cell r="A4" t="str">
            <v xml:space="preserve">HEART OF DREAMS </v>
          </cell>
          <cell r="C4">
            <v>9</v>
          </cell>
        </row>
        <row r="5">
          <cell r="A5" t="str">
            <v xml:space="preserve">VIGOR </v>
          </cell>
          <cell r="C5">
            <v>16</v>
          </cell>
        </row>
        <row r="6">
          <cell r="A6" t="str">
            <v xml:space="preserve">MACO'REILLY </v>
          </cell>
          <cell r="C6">
            <v>30</v>
          </cell>
        </row>
        <row r="7">
          <cell r="A7" t="str">
            <v xml:space="preserve">PREDATORY PRICER </v>
          </cell>
          <cell r="C7">
            <v>13</v>
          </cell>
        </row>
        <row r="8">
          <cell r="A8" t="str">
            <v xml:space="preserve">KIBBUTZ </v>
          </cell>
          <cell r="C8">
            <v>12</v>
          </cell>
        </row>
        <row r="9">
          <cell r="A9" t="str">
            <v xml:space="preserve">C'EST LA GUERRE </v>
          </cell>
          <cell r="C9">
            <v>16</v>
          </cell>
        </row>
        <row r="10">
          <cell r="A10" t="str">
            <v xml:space="preserve">MASTER O'REILLY  </v>
          </cell>
          <cell r="C10">
            <v>31</v>
          </cell>
        </row>
        <row r="11">
          <cell r="A11" t="str">
            <v xml:space="preserve">RED RULER </v>
          </cell>
          <cell r="C11">
            <v>19</v>
          </cell>
        </row>
        <row r="12">
          <cell r="A12" t="str">
            <v xml:space="preserve">PACINO </v>
          </cell>
          <cell r="C12">
            <v>36</v>
          </cell>
        </row>
        <row r="13">
          <cell r="A13" t="str">
            <v xml:space="preserve">HE'S SOMETHING </v>
          </cell>
          <cell r="C13">
            <v>21</v>
          </cell>
        </row>
        <row r="14">
          <cell r="A14" t="str">
            <v xml:space="preserve">ZAGREB </v>
          </cell>
          <cell r="C14">
            <v>15</v>
          </cell>
        </row>
      </sheetData>
      <sheetData sheetId="103" refreshError="1">
        <row r="3">
          <cell r="A3" t="str">
            <v xml:space="preserve">SWIFT ALLIANCE </v>
          </cell>
          <cell r="C3">
            <v>6</v>
          </cell>
        </row>
        <row r="4">
          <cell r="A4" t="str">
            <v xml:space="preserve">CHASM </v>
          </cell>
          <cell r="C4">
            <v>18</v>
          </cell>
        </row>
        <row r="5">
          <cell r="A5" t="str">
            <v xml:space="preserve">ARINOS </v>
          </cell>
          <cell r="C5">
            <v>14</v>
          </cell>
        </row>
        <row r="6">
          <cell r="A6" t="str">
            <v xml:space="preserve">MALDIVIAN  </v>
          </cell>
          <cell r="C6">
            <v>27</v>
          </cell>
        </row>
        <row r="7">
          <cell r="A7" t="str">
            <v xml:space="preserve">CHAMPAGNE HARMONY </v>
          </cell>
          <cell r="C7">
            <v>6</v>
          </cell>
        </row>
        <row r="8">
          <cell r="A8" t="str">
            <v xml:space="preserve">MIDNIGHT MUSTANG </v>
          </cell>
          <cell r="C8">
            <v>20</v>
          </cell>
        </row>
        <row r="9">
          <cell r="A9" t="str">
            <v xml:space="preserve">KRONER </v>
          </cell>
          <cell r="C9">
            <v>17</v>
          </cell>
        </row>
        <row r="10">
          <cell r="A10" t="str">
            <v xml:space="preserve">GOLD SALUTE </v>
          </cell>
          <cell r="C10">
            <v>20</v>
          </cell>
        </row>
        <row r="11">
          <cell r="A11" t="str">
            <v xml:space="preserve">TURFFONTEIN </v>
          </cell>
          <cell r="C11">
            <v>23</v>
          </cell>
        </row>
        <row r="12">
          <cell r="A12" t="str">
            <v xml:space="preserve">RAHEEB </v>
          </cell>
          <cell r="C12">
            <v>17</v>
          </cell>
        </row>
        <row r="13">
          <cell r="A13" t="str">
            <v xml:space="preserve">SHREWD RHYTHM </v>
          </cell>
          <cell r="C13">
            <v>17</v>
          </cell>
        </row>
        <row r="14">
          <cell r="A14" t="str">
            <v xml:space="preserve">DR NIPANDTUCK </v>
          </cell>
          <cell r="C14">
            <v>43</v>
          </cell>
        </row>
        <row r="15">
          <cell r="A15" t="str">
            <v xml:space="preserve">ALL AMERICAN </v>
          </cell>
          <cell r="C15">
            <v>18</v>
          </cell>
        </row>
        <row r="16">
          <cell r="A16" t="str">
            <v xml:space="preserve">FALAISE </v>
          </cell>
          <cell r="C16">
            <v>42</v>
          </cell>
        </row>
        <row r="17">
          <cell r="A17" t="str">
            <v xml:space="preserve">SHADOWAYS </v>
          </cell>
          <cell r="C17">
            <v>27</v>
          </cell>
        </row>
      </sheetData>
      <sheetData sheetId="104" refreshError="1">
        <row r="3">
          <cell r="A3" t="str">
            <v xml:space="preserve">UNSUNG HEROINE  </v>
          </cell>
          <cell r="C3">
            <v>4</v>
          </cell>
        </row>
        <row r="4">
          <cell r="A4" t="str">
            <v xml:space="preserve">OUR CANNAVARO </v>
          </cell>
          <cell r="C4">
            <v>7</v>
          </cell>
        </row>
        <row r="5">
          <cell r="A5" t="str">
            <v xml:space="preserve">HISSING SID </v>
          </cell>
          <cell r="C5">
            <v>15</v>
          </cell>
        </row>
        <row r="6">
          <cell r="A6" t="str">
            <v xml:space="preserve">MACKNUCKLE </v>
          </cell>
          <cell r="C6">
            <v>23</v>
          </cell>
        </row>
        <row r="7">
          <cell r="A7" t="str">
            <v xml:space="preserve">LEICA LARRIKIN </v>
          </cell>
          <cell r="C7">
            <v>7</v>
          </cell>
        </row>
        <row r="8">
          <cell r="A8" t="str">
            <v xml:space="preserve">READY WHEN YOU ARE </v>
          </cell>
          <cell r="C8">
            <v>35</v>
          </cell>
        </row>
        <row r="9">
          <cell r="A9" t="str">
            <v xml:space="preserve">THE FOREMAN </v>
          </cell>
          <cell r="C9">
            <v>16</v>
          </cell>
        </row>
        <row r="10">
          <cell r="A10" t="str">
            <v xml:space="preserve">SPEED GIFTED </v>
          </cell>
          <cell r="C10">
            <v>9</v>
          </cell>
        </row>
        <row r="11">
          <cell r="A11" t="str">
            <v xml:space="preserve">CATS FUN </v>
          </cell>
          <cell r="C11">
            <v>29</v>
          </cell>
        </row>
        <row r="12">
          <cell r="A12" t="str">
            <v xml:space="preserve">YOUNG CENTAUR </v>
          </cell>
          <cell r="C12">
            <v>36</v>
          </cell>
        </row>
        <row r="13">
          <cell r="A13" t="str">
            <v xml:space="preserve">VANDALO </v>
          </cell>
          <cell r="C13">
            <v>25</v>
          </cell>
        </row>
        <row r="14">
          <cell r="A14" t="str">
            <v xml:space="preserve">ACOSTA </v>
          </cell>
          <cell r="C14">
            <v>20</v>
          </cell>
        </row>
        <row r="15">
          <cell r="A15" t="str">
            <v xml:space="preserve">ARAPAHO MISS </v>
          </cell>
          <cell r="C15">
            <v>22</v>
          </cell>
        </row>
        <row r="16">
          <cell r="A16" t="str">
            <v xml:space="preserve">RED LORD </v>
          </cell>
          <cell r="C16">
            <v>38</v>
          </cell>
        </row>
        <row r="17">
          <cell r="A17" t="str">
            <v xml:space="preserve">SADDLER'S STORY </v>
          </cell>
          <cell r="C17">
            <v>29</v>
          </cell>
        </row>
      </sheetData>
      <sheetData sheetId="105" refreshError="1">
        <row r="3">
          <cell r="A3" t="str">
            <v xml:space="preserve">CULLEN CASTLE  </v>
          </cell>
          <cell r="C3">
            <v>16</v>
          </cell>
        </row>
        <row r="4">
          <cell r="A4" t="str">
            <v xml:space="preserve">NATMANA </v>
          </cell>
          <cell r="C4">
            <v>30</v>
          </cell>
        </row>
        <row r="5">
          <cell r="A5" t="str">
            <v xml:space="preserve">INSPIRED CHOICE </v>
          </cell>
          <cell r="C5">
            <v>18</v>
          </cell>
        </row>
        <row r="6">
          <cell r="A6" t="str">
            <v xml:space="preserve">SIR FUSSALOT </v>
          </cell>
          <cell r="C6">
            <v>22</v>
          </cell>
        </row>
        <row r="7">
          <cell r="A7" t="str">
            <v xml:space="preserve">ROMANY STAR </v>
          </cell>
          <cell r="C7">
            <v>11</v>
          </cell>
        </row>
        <row r="8">
          <cell r="A8" t="str">
            <v xml:space="preserve">BIEN PENSANT </v>
          </cell>
          <cell r="C8">
            <v>27</v>
          </cell>
        </row>
        <row r="9">
          <cell r="A9" t="str">
            <v xml:space="preserve">GUNNADOIT </v>
          </cell>
          <cell r="C9">
            <v>21</v>
          </cell>
        </row>
        <row r="10">
          <cell r="A10" t="str">
            <v xml:space="preserve">INADESERT </v>
          </cell>
          <cell r="C10">
            <v>28</v>
          </cell>
        </row>
        <row r="11">
          <cell r="A11" t="str">
            <v xml:space="preserve">DANZIBAA </v>
          </cell>
          <cell r="C11">
            <v>39</v>
          </cell>
        </row>
        <row r="12">
          <cell r="A12" t="str">
            <v xml:space="preserve">ANOTHER NIP </v>
          </cell>
          <cell r="C12">
            <v>21</v>
          </cell>
        </row>
        <row r="13">
          <cell r="A13" t="str">
            <v xml:space="preserve">CHINGGIS </v>
          </cell>
          <cell r="C13">
            <v>18</v>
          </cell>
        </row>
        <row r="14">
          <cell r="A14" t="str">
            <v xml:space="preserve">REGAL TROCHE </v>
          </cell>
          <cell r="C14">
            <v>10</v>
          </cell>
        </row>
      </sheetData>
      <sheetData sheetId="106" refreshError="1">
        <row r="3">
          <cell r="A3" t="str">
            <v xml:space="preserve">MCCLINTOCK </v>
          </cell>
          <cell r="C3">
            <v>13</v>
          </cell>
        </row>
        <row r="4">
          <cell r="A4" t="str">
            <v xml:space="preserve">VOICE COMMANDER </v>
          </cell>
          <cell r="C4">
            <v>20</v>
          </cell>
        </row>
        <row r="5">
          <cell r="A5" t="str">
            <v xml:space="preserve">TESTIMONIAL </v>
          </cell>
          <cell r="C5">
            <v>41</v>
          </cell>
        </row>
        <row r="6">
          <cell r="A6" t="str">
            <v xml:space="preserve">PINS ON PARADE </v>
          </cell>
          <cell r="C6">
            <v>17</v>
          </cell>
        </row>
        <row r="7">
          <cell r="A7" t="str">
            <v xml:space="preserve">COMEPSA </v>
          </cell>
          <cell r="C7">
            <v>19</v>
          </cell>
        </row>
        <row r="8">
          <cell r="A8" t="str">
            <v xml:space="preserve">HELLO PRETTY  </v>
          </cell>
          <cell r="C8">
            <v>16</v>
          </cell>
        </row>
        <row r="9">
          <cell r="A9" t="str">
            <v xml:space="preserve">FANGLES </v>
          </cell>
          <cell r="C9">
            <v>29</v>
          </cell>
        </row>
        <row r="10">
          <cell r="A10" t="str">
            <v xml:space="preserve">GO CART </v>
          </cell>
          <cell r="C10">
            <v>34</v>
          </cell>
        </row>
        <row r="11">
          <cell r="A11" t="str">
            <v xml:space="preserve">SACRED ORDERS </v>
          </cell>
          <cell r="C11">
            <v>25</v>
          </cell>
        </row>
        <row r="12">
          <cell r="A12" t="str">
            <v xml:space="preserve">ZARVISTA </v>
          </cell>
          <cell r="C12">
            <v>22</v>
          </cell>
        </row>
        <row r="13">
          <cell r="A13" t="str">
            <v xml:space="preserve">MURRAY'S SUN </v>
          </cell>
          <cell r="C13">
            <v>14</v>
          </cell>
        </row>
        <row r="14">
          <cell r="A14" t="str">
            <v xml:space="preserve">MUSTARD </v>
          </cell>
          <cell r="C14">
            <v>91</v>
          </cell>
        </row>
      </sheetData>
      <sheetData sheetId="107" refreshError="1">
        <row r="3">
          <cell r="A3" t="str">
            <v xml:space="preserve">SCENIC SCENE </v>
          </cell>
          <cell r="C3">
            <v>39</v>
          </cell>
        </row>
        <row r="4">
          <cell r="A4" t="str">
            <v xml:space="preserve">FIELD HUNTER  </v>
          </cell>
          <cell r="C4">
            <v>40</v>
          </cell>
        </row>
        <row r="5">
          <cell r="A5" t="str">
            <v xml:space="preserve">RUBIJON </v>
          </cell>
          <cell r="C5">
            <v>38</v>
          </cell>
        </row>
        <row r="6">
          <cell r="A6" t="str">
            <v xml:space="preserve">CLANDON </v>
          </cell>
          <cell r="C6">
            <v>38</v>
          </cell>
        </row>
        <row r="7">
          <cell r="A7" t="str">
            <v xml:space="preserve">LEICA LARRIKIN </v>
          </cell>
          <cell r="C7">
            <v>6</v>
          </cell>
        </row>
        <row r="8">
          <cell r="A8" t="str">
            <v xml:space="preserve">GREATWALL OF CHINA </v>
          </cell>
          <cell r="C8">
            <v>26</v>
          </cell>
        </row>
        <row r="9">
          <cell r="A9" t="str">
            <v xml:space="preserve">GAME SERENA </v>
          </cell>
          <cell r="C9">
            <v>40</v>
          </cell>
        </row>
        <row r="10">
          <cell r="A10" t="str">
            <v xml:space="preserve">VANDALO </v>
          </cell>
          <cell r="C10">
            <v>22</v>
          </cell>
        </row>
        <row r="11">
          <cell r="A11" t="str">
            <v xml:space="preserve">KAAVERT </v>
          </cell>
          <cell r="C11">
            <v>10</v>
          </cell>
        </row>
        <row r="12">
          <cell r="A12" t="str">
            <v xml:space="preserve">ACOSTA </v>
          </cell>
          <cell r="C12">
            <v>19</v>
          </cell>
        </row>
        <row r="13">
          <cell r="A13" t="str">
            <v xml:space="preserve">LEICA FALCON </v>
          </cell>
          <cell r="C13">
            <v>17</v>
          </cell>
        </row>
      </sheetData>
      <sheetData sheetId="108" refreshError="1">
        <row r="3">
          <cell r="A3" t="str">
            <v xml:space="preserve">LA ROCKET </v>
          </cell>
          <cell r="C3">
            <v>18</v>
          </cell>
        </row>
        <row r="4">
          <cell r="A4" t="str">
            <v xml:space="preserve">SILKY SMOOTH </v>
          </cell>
          <cell r="C4">
            <v>20</v>
          </cell>
        </row>
        <row r="5">
          <cell r="A5" t="str">
            <v xml:space="preserve">DRIFFIELD GOLD </v>
          </cell>
          <cell r="C5">
            <v>28</v>
          </cell>
        </row>
        <row r="6">
          <cell r="A6" t="str">
            <v xml:space="preserve">JUNGLE RULER </v>
          </cell>
          <cell r="C6">
            <v>54</v>
          </cell>
        </row>
        <row r="7">
          <cell r="A7" t="str">
            <v xml:space="preserve">GUILD </v>
          </cell>
          <cell r="C7">
            <v>16</v>
          </cell>
        </row>
        <row r="8">
          <cell r="A8" t="str">
            <v xml:space="preserve">KELTAH </v>
          </cell>
          <cell r="C8">
            <v>37</v>
          </cell>
        </row>
        <row r="9">
          <cell r="A9" t="str">
            <v xml:space="preserve">CATS FUN </v>
          </cell>
          <cell r="C9">
            <v>27</v>
          </cell>
        </row>
        <row r="10">
          <cell r="A10" t="str">
            <v xml:space="preserve">FRIGID </v>
          </cell>
          <cell r="C10">
            <v>34</v>
          </cell>
        </row>
        <row r="11">
          <cell r="A11" t="str">
            <v xml:space="preserve">FORDEE </v>
          </cell>
          <cell r="C11">
            <v>16</v>
          </cell>
        </row>
        <row r="12">
          <cell r="A12" t="str">
            <v xml:space="preserve">RICH SUCCESS </v>
          </cell>
          <cell r="C12">
            <v>13</v>
          </cell>
        </row>
      </sheetData>
      <sheetData sheetId="109" refreshError="1">
        <row r="3">
          <cell r="A3" t="str">
            <v xml:space="preserve">FIELD HUNTER  </v>
          </cell>
          <cell r="C3">
            <v>39</v>
          </cell>
        </row>
        <row r="4">
          <cell r="A4" t="str">
            <v xml:space="preserve">CLANDON </v>
          </cell>
          <cell r="C4">
            <v>37</v>
          </cell>
        </row>
        <row r="5">
          <cell r="A5" t="str">
            <v xml:space="preserve">KELTAH </v>
          </cell>
          <cell r="C5">
            <v>36</v>
          </cell>
        </row>
        <row r="6">
          <cell r="A6" t="str">
            <v xml:space="preserve">GREATWALL OF CHINA </v>
          </cell>
          <cell r="C6">
            <v>25</v>
          </cell>
        </row>
        <row r="7">
          <cell r="A7" t="str">
            <v xml:space="preserve">JENNINGS </v>
          </cell>
          <cell r="C7">
            <v>35</v>
          </cell>
        </row>
        <row r="8">
          <cell r="A8" t="str">
            <v xml:space="preserve">DESERT MASTER </v>
          </cell>
          <cell r="C8">
            <v>44</v>
          </cell>
        </row>
        <row r="9">
          <cell r="A9" t="str">
            <v xml:space="preserve">TOLKA ROCK </v>
          </cell>
          <cell r="C9">
            <v>18</v>
          </cell>
        </row>
        <row r="10">
          <cell r="A10" t="str">
            <v xml:space="preserve">VANDALO </v>
          </cell>
          <cell r="C10">
            <v>21</v>
          </cell>
        </row>
        <row r="11">
          <cell r="A11" t="str">
            <v xml:space="preserve">SENTIRE </v>
          </cell>
          <cell r="C11">
            <v>44</v>
          </cell>
        </row>
        <row r="12">
          <cell r="A12" t="str">
            <v xml:space="preserve">ACOSTA </v>
          </cell>
          <cell r="C12">
            <v>18</v>
          </cell>
        </row>
      </sheetData>
      <sheetData sheetId="110" refreshError="1">
        <row r="3">
          <cell r="A3" t="str">
            <v xml:space="preserve">BOHIKA </v>
          </cell>
          <cell r="C3">
            <v>10</v>
          </cell>
        </row>
        <row r="4">
          <cell r="A4" t="str">
            <v xml:space="preserve">COMMANDING HOPE </v>
          </cell>
          <cell r="C4">
            <v>16</v>
          </cell>
        </row>
        <row r="5">
          <cell r="A5" t="str">
            <v xml:space="preserve">GUILD </v>
          </cell>
          <cell r="C5">
            <v>15</v>
          </cell>
        </row>
        <row r="6">
          <cell r="A6" t="str">
            <v xml:space="preserve">MR SARGOOD </v>
          </cell>
          <cell r="C6">
            <v>32</v>
          </cell>
        </row>
        <row r="7">
          <cell r="A7" t="str">
            <v xml:space="preserve">IN THE SHADOWS  </v>
          </cell>
          <cell r="C7">
            <v>36</v>
          </cell>
        </row>
        <row r="8">
          <cell r="A8" t="str">
            <v xml:space="preserve">AMERRYKING </v>
          </cell>
          <cell r="C8">
            <v>34</v>
          </cell>
        </row>
        <row r="9">
          <cell r="A9" t="str">
            <v xml:space="preserve">SIGNOR SOCKS </v>
          </cell>
          <cell r="C9">
            <v>16</v>
          </cell>
        </row>
        <row r="10">
          <cell r="A10" t="str">
            <v xml:space="preserve">PROSPECT </v>
          </cell>
          <cell r="C10">
            <v>35</v>
          </cell>
        </row>
        <row r="11">
          <cell r="A11" t="str">
            <v xml:space="preserve">OUR MONTAGUE </v>
          </cell>
          <cell r="C11">
            <v>26</v>
          </cell>
        </row>
        <row r="12">
          <cell r="A12" t="str">
            <v xml:space="preserve">RICH SUCCESS </v>
          </cell>
          <cell r="C12">
            <v>12</v>
          </cell>
        </row>
      </sheetData>
      <sheetData sheetId="111" refreshError="1">
        <row r="3">
          <cell r="A3" t="str">
            <v xml:space="preserve">DAMSELFLY </v>
          </cell>
          <cell r="C3">
            <v>6</v>
          </cell>
        </row>
        <row r="4">
          <cell r="A4" t="str">
            <v xml:space="preserve">GRAN SASSO </v>
          </cell>
          <cell r="C4">
            <v>24</v>
          </cell>
        </row>
        <row r="5">
          <cell r="A5" t="str">
            <v xml:space="preserve">I AM INVINCIBLE </v>
          </cell>
          <cell r="C5">
            <v>10</v>
          </cell>
        </row>
        <row r="6">
          <cell r="A6" t="str">
            <v xml:space="preserve">GLOBAL WARMING </v>
          </cell>
          <cell r="C6">
            <v>27</v>
          </cell>
        </row>
        <row r="7">
          <cell r="A7" t="str">
            <v xml:space="preserve">SNAPPY TOM </v>
          </cell>
          <cell r="C7">
            <v>52</v>
          </cell>
        </row>
        <row r="8">
          <cell r="A8" t="str">
            <v xml:space="preserve">ORANGE COUNTY </v>
          </cell>
          <cell r="C8">
            <v>37</v>
          </cell>
        </row>
        <row r="9">
          <cell r="A9" t="str">
            <v xml:space="preserve">LA GOULUE </v>
          </cell>
          <cell r="C9">
            <v>15</v>
          </cell>
        </row>
        <row r="10">
          <cell r="A10" t="str">
            <v xml:space="preserve">MIND YOUR HEAD </v>
          </cell>
          <cell r="C10">
            <v>27</v>
          </cell>
        </row>
      </sheetData>
      <sheetData sheetId="112" refreshError="1">
        <row r="3">
          <cell r="A3" t="str">
            <v xml:space="preserve">BAY WINDOW </v>
          </cell>
          <cell r="C3">
            <v>10</v>
          </cell>
        </row>
        <row r="4">
          <cell r="A4" t="str">
            <v xml:space="preserve">COCORURU </v>
          </cell>
          <cell r="C4">
            <v>19</v>
          </cell>
        </row>
        <row r="5">
          <cell r="A5" t="str">
            <v xml:space="preserve">STRAT'S FLYER </v>
          </cell>
          <cell r="C5">
            <v>26</v>
          </cell>
        </row>
        <row r="6">
          <cell r="A6" t="str">
            <v xml:space="preserve">SYNONYM </v>
          </cell>
          <cell r="C6">
            <v>27</v>
          </cell>
        </row>
        <row r="7">
          <cell r="A7" t="str">
            <v xml:space="preserve">CRUISY LADY </v>
          </cell>
          <cell r="C7">
            <v>23</v>
          </cell>
        </row>
        <row r="8">
          <cell r="A8" t="str">
            <v xml:space="preserve">DOTHIS DOTHAT </v>
          </cell>
          <cell r="C8">
            <v>27</v>
          </cell>
        </row>
        <row r="9">
          <cell r="A9" t="str">
            <v xml:space="preserve">HADAAF </v>
          </cell>
          <cell r="C9">
            <v>60</v>
          </cell>
        </row>
        <row r="10">
          <cell r="A10" t="str">
            <v xml:space="preserve">ALLABOUTUS </v>
          </cell>
          <cell r="C10">
            <v>28</v>
          </cell>
        </row>
        <row r="11">
          <cell r="A11" t="str">
            <v xml:space="preserve">TREVBAR </v>
          </cell>
          <cell r="C11">
            <v>42</v>
          </cell>
        </row>
        <row r="12">
          <cell r="A12" t="str">
            <v xml:space="preserve">TAGUS </v>
          </cell>
          <cell r="C12">
            <v>18</v>
          </cell>
        </row>
        <row r="13">
          <cell r="A13" t="str">
            <v xml:space="preserve">STARRY LIGHT </v>
          </cell>
          <cell r="C13">
            <v>26</v>
          </cell>
        </row>
        <row r="14">
          <cell r="A14" t="str">
            <v xml:space="preserve">PARFUMIER </v>
          </cell>
          <cell r="C14">
            <v>34</v>
          </cell>
        </row>
        <row r="15">
          <cell r="A15" t="str">
            <v xml:space="preserve">MR UNFORGETTABLE </v>
          </cell>
          <cell r="C15">
            <v>17</v>
          </cell>
        </row>
      </sheetData>
      <sheetData sheetId="113" refreshError="1">
        <row r="3">
          <cell r="A3" t="str">
            <v xml:space="preserve">AFTERBURN </v>
          </cell>
          <cell r="C3">
            <v>24</v>
          </cell>
        </row>
        <row r="4">
          <cell r="A4" t="str">
            <v xml:space="preserve">RUNNING RIOT </v>
          </cell>
          <cell r="C4">
            <v>18</v>
          </cell>
        </row>
        <row r="5">
          <cell r="A5" t="str">
            <v xml:space="preserve">JEUNEYMAN </v>
          </cell>
          <cell r="C5">
            <v>21</v>
          </cell>
        </row>
        <row r="6">
          <cell r="A6" t="str">
            <v xml:space="preserve">CAPE D'AMORE </v>
          </cell>
          <cell r="C6">
            <v>25</v>
          </cell>
        </row>
        <row r="7">
          <cell r="A7" t="str">
            <v xml:space="preserve">WOODWIN </v>
          </cell>
          <cell r="C7">
            <v>18</v>
          </cell>
        </row>
        <row r="8">
          <cell r="A8" t="str">
            <v xml:space="preserve">FIELD HUNTER </v>
          </cell>
          <cell r="C8">
            <v>38</v>
          </cell>
        </row>
        <row r="9">
          <cell r="A9" t="str">
            <v xml:space="preserve">BASHFUL GIRL </v>
          </cell>
          <cell r="C9">
            <v>24</v>
          </cell>
        </row>
        <row r="10">
          <cell r="A10" t="str">
            <v xml:space="preserve">TRUSTUS </v>
          </cell>
          <cell r="C10">
            <v>15</v>
          </cell>
        </row>
        <row r="11">
          <cell r="A11" t="str">
            <v xml:space="preserve">SCENIC SILVER </v>
          </cell>
          <cell r="C11">
            <v>25</v>
          </cell>
        </row>
        <row r="12">
          <cell r="A12" t="str">
            <v xml:space="preserve">JUNGLE RULER </v>
          </cell>
          <cell r="C12">
            <v>53</v>
          </cell>
        </row>
        <row r="13">
          <cell r="A13" t="str">
            <v xml:space="preserve">THREEDEE </v>
          </cell>
          <cell r="C13">
            <v>33</v>
          </cell>
        </row>
        <row r="14">
          <cell r="A14" t="str">
            <v xml:space="preserve">JENNINGS </v>
          </cell>
          <cell r="C14">
            <v>34</v>
          </cell>
        </row>
        <row r="15">
          <cell r="A15" t="str">
            <v xml:space="preserve">ZYZXX </v>
          </cell>
          <cell r="C15">
            <v>32</v>
          </cell>
        </row>
        <row r="16">
          <cell r="A16" t="str">
            <v xml:space="preserve">KING OF ASHFORD </v>
          </cell>
          <cell r="C16">
            <v>45</v>
          </cell>
        </row>
        <row r="17">
          <cell r="A17" t="str">
            <v xml:space="preserve">MONSIEUR FERAUD </v>
          </cell>
          <cell r="C17">
            <v>25</v>
          </cell>
        </row>
        <row r="18">
          <cell r="A18" t="str">
            <v xml:space="preserve">WIND SHEAR </v>
          </cell>
          <cell r="C18">
            <v>23</v>
          </cell>
        </row>
      </sheetData>
      <sheetData sheetId="114" refreshError="1">
        <row r="3">
          <cell r="A3" t="str">
            <v xml:space="preserve">JEST CREWSIN' </v>
          </cell>
          <cell r="C3">
            <v>15</v>
          </cell>
        </row>
        <row r="4">
          <cell r="A4" t="str">
            <v xml:space="preserve">ZARVISTA </v>
          </cell>
          <cell r="C4">
            <v>21</v>
          </cell>
        </row>
        <row r="5">
          <cell r="A5" t="str">
            <v xml:space="preserve">GREAT FEELING </v>
          </cell>
          <cell r="C5">
            <v>25</v>
          </cell>
        </row>
        <row r="6">
          <cell r="A6" t="str">
            <v xml:space="preserve">BEAU SECRET </v>
          </cell>
          <cell r="C6">
            <v>29</v>
          </cell>
        </row>
        <row r="7">
          <cell r="A7" t="str">
            <v xml:space="preserve">FLUSHING MEADOWS </v>
          </cell>
          <cell r="C7">
            <v>24</v>
          </cell>
        </row>
        <row r="8">
          <cell r="A8" t="str">
            <v xml:space="preserve">THE TAKE </v>
          </cell>
          <cell r="C8">
            <v>13</v>
          </cell>
        </row>
        <row r="9">
          <cell r="A9" t="str">
            <v xml:space="preserve">KOICHI </v>
          </cell>
          <cell r="C9">
            <v>21</v>
          </cell>
        </row>
        <row r="10">
          <cell r="A10" t="str">
            <v xml:space="preserve">SAVAGE SEVENS </v>
          </cell>
          <cell r="C10">
            <v>51</v>
          </cell>
        </row>
        <row r="11">
          <cell r="A11" t="str">
            <v xml:space="preserve">MOTSPUR </v>
          </cell>
          <cell r="C11">
            <v>17</v>
          </cell>
        </row>
        <row r="12">
          <cell r="A12" t="str">
            <v xml:space="preserve">ORPEN ROSE </v>
          </cell>
          <cell r="C12">
            <v>32</v>
          </cell>
        </row>
        <row r="13">
          <cell r="A13" t="str">
            <v xml:space="preserve">MUSIC ACADEMY </v>
          </cell>
          <cell r="C13">
            <v>15</v>
          </cell>
        </row>
        <row r="14">
          <cell r="A14" t="str">
            <v xml:space="preserve">MUSTARD </v>
          </cell>
          <cell r="C14">
            <v>90</v>
          </cell>
        </row>
        <row r="15">
          <cell r="A15" t="str">
            <v xml:space="preserve">DOWN THE WICKET </v>
          </cell>
          <cell r="C15">
            <v>19</v>
          </cell>
        </row>
      </sheetData>
      <sheetData sheetId="115" refreshError="1">
        <row r="3">
          <cell r="A3" t="str">
            <v xml:space="preserve">LA BELLA ROO </v>
          </cell>
          <cell r="C3">
            <v>4</v>
          </cell>
        </row>
        <row r="4">
          <cell r="A4" t="str">
            <v xml:space="preserve">ROAD TO DUNDEE </v>
          </cell>
          <cell r="C4">
            <v>17</v>
          </cell>
        </row>
        <row r="5">
          <cell r="A5" t="str">
            <v xml:space="preserve">MISTRY </v>
          </cell>
          <cell r="C5">
            <v>16</v>
          </cell>
        </row>
        <row r="6">
          <cell r="A6" t="str">
            <v xml:space="preserve">GREENMOUNT BELLE </v>
          </cell>
          <cell r="C6">
            <v>26</v>
          </cell>
        </row>
        <row r="7">
          <cell r="A7" t="str">
            <v xml:space="preserve">EXPRESSMOSS </v>
          </cell>
          <cell r="C7">
            <v>25</v>
          </cell>
        </row>
        <row r="8">
          <cell r="A8" t="str">
            <v xml:space="preserve">RED GEISHA </v>
          </cell>
          <cell r="C8">
            <v>20</v>
          </cell>
        </row>
        <row r="9">
          <cell r="A9" t="str">
            <v xml:space="preserve">MANILA JEWEL </v>
          </cell>
          <cell r="C9">
            <v>7</v>
          </cell>
        </row>
        <row r="10">
          <cell r="A10" t="str">
            <v xml:space="preserve">BELLE'S READY </v>
          </cell>
          <cell r="C10">
            <v>7</v>
          </cell>
        </row>
        <row r="11">
          <cell r="A11" t="str">
            <v xml:space="preserve">WITH APOLOGIES </v>
          </cell>
          <cell r="C11">
            <v>19</v>
          </cell>
        </row>
        <row r="12">
          <cell r="A12" t="str">
            <v xml:space="preserve">LIL' CESNA </v>
          </cell>
          <cell r="C12">
            <v>12</v>
          </cell>
        </row>
        <row r="13">
          <cell r="A13" t="str">
            <v xml:space="preserve">FIRST DRINKS </v>
          </cell>
          <cell r="C13">
            <v>40</v>
          </cell>
        </row>
        <row r="14">
          <cell r="A14" t="str">
            <v xml:space="preserve">DONNA ROSSA </v>
          </cell>
          <cell r="C14">
            <v>21</v>
          </cell>
        </row>
      </sheetData>
      <sheetData sheetId="116" refreshError="1">
        <row r="3">
          <cell r="A3" t="str">
            <v xml:space="preserve">CENTRE ARENA </v>
          </cell>
          <cell r="C3">
            <v>13</v>
          </cell>
        </row>
        <row r="4">
          <cell r="A4" t="str">
            <v xml:space="preserve">AUSWORLD </v>
          </cell>
          <cell r="C4">
            <v>11</v>
          </cell>
        </row>
        <row r="5">
          <cell r="A5" t="str">
            <v xml:space="preserve">THUNDERBIRDSAREGO </v>
          </cell>
          <cell r="C5">
            <v>51</v>
          </cell>
        </row>
        <row r="6">
          <cell r="A6" t="str">
            <v xml:space="preserve">SUPERREACT </v>
          </cell>
          <cell r="C6">
            <v>32</v>
          </cell>
        </row>
        <row r="7">
          <cell r="A7" t="str">
            <v xml:space="preserve">IN BOCCA LUPO </v>
          </cell>
          <cell r="C7">
            <v>13</v>
          </cell>
        </row>
        <row r="8">
          <cell r="A8" t="str">
            <v xml:space="preserve">UNIVERSAL COLOURS </v>
          </cell>
          <cell r="C8">
            <v>17</v>
          </cell>
        </row>
        <row r="9">
          <cell r="A9" t="str">
            <v xml:space="preserve">ULTRA </v>
          </cell>
          <cell r="C9">
            <v>20</v>
          </cell>
        </row>
        <row r="10">
          <cell r="A10" t="str">
            <v xml:space="preserve">SMOKEY HAZE </v>
          </cell>
          <cell r="C10">
            <v>35</v>
          </cell>
        </row>
        <row r="11">
          <cell r="A11" t="str">
            <v xml:space="preserve">NARWEE </v>
          </cell>
          <cell r="C11">
            <v>18</v>
          </cell>
        </row>
        <row r="12">
          <cell r="A12" t="str">
            <v xml:space="preserve">CHINGGIS </v>
          </cell>
          <cell r="C12">
            <v>17</v>
          </cell>
        </row>
        <row r="13">
          <cell r="A13" t="str">
            <v xml:space="preserve">TEARS TO LAUGHTER </v>
          </cell>
          <cell r="C13">
            <v>15</v>
          </cell>
        </row>
      </sheetData>
      <sheetData sheetId="117" refreshError="1">
        <row r="3">
          <cell r="A3" t="str">
            <v xml:space="preserve">THE INVINCIBLE ONE </v>
          </cell>
          <cell r="C3">
            <v>5</v>
          </cell>
        </row>
        <row r="4">
          <cell r="A4" t="str">
            <v xml:space="preserve">GENTLY BENTLEY </v>
          </cell>
          <cell r="C4">
            <v>19</v>
          </cell>
        </row>
        <row r="5">
          <cell r="A5" t="str">
            <v xml:space="preserve">MONARO MAGIC </v>
          </cell>
          <cell r="C5">
            <v>21</v>
          </cell>
        </row>
        <row r="6">
          <cell r="A6" t="str">
            <v xml:space="preserve">COUSIN WAL </v>
          </cell>
          <cell r="C6">
            <v>10</v>
          </cell>
        </row>
        <row r="7">
          <cell r="A7" t="str">
            <v xml:space="preserve">COSSACK COURT </v>
          </cell>
          <cell r="C7">
            <v>10</v>
          </cell>
        </row>
        <row r="8">
          <cell r="A8" t="str">
            <v xml:space="preserve">ZAKYNTHOS EXPECTUS </v>
          </cell>
          <cell r="C8">
            <v>13</v>
          </cell>
        </row>
        <row r="9">
          <cell r="A9" t="str">
            <v xml:space="preserve">CARDINAL ANGEL </v>
          </cell>
          <cell r="C9">
            <v>12</v>
          </cell>
        </row>
        <row r="10">
          <cell r="A10" t="str">
            <v xml:space="preserve">LOUISIANNA FLYER </v>
          </cell>
          <cell r="C10">
            <v>28</v>
          </cell>
        </row>
        <row r="11">
          <cell r="A11" t="str">
            <v xml:space="preserve">MULAMAN  </v>
          </cell>
          <cell r="C11">
            <v>25</v>
          </cell>
        </row>
        <row r="12">
          <cell r="A12" t="str">
            <v xml:space="preserve">YOBURG </v>
          </cell>
          <cell r="C12">
            <v>14</v>
          </cell>
        </row>
        <row r="13">
          <cell r="A13" t="str">
            <v xml:space="preserve">CLEVERGAZE </v>
          </cell>
          <cell r="C13">
            <v>55</v>
          </cell>
        </row>
      </sheetData>
      <sheetData sheetId="118" refreshError="1">
        <row r="3">
          <cell r="A3" t="str">
            <v xml:space="preserve">TOGNI </v>
          </cell>
          <cell r="C3">
            <v>15</v>
          </cell>
        </row>
        <row r="4">
          <cell r="A4" t="str">
            <v xml:space="preserve">THEOPHORUS </v>
          </cell>
          <cell r="C4">
            <v>16</v>
          </cell>
        </row>
        <row r="5">
          <cell r="A5" t="str">
            <v xml:space="preserve">GERGIS </v>
          </cell>
          <cell r="C5">
            <v>18</v>
          </cell>
        </row>
        <row r="6">
          <cell r="A6" t="str">
            <v xml:space="preserve">HELENE BRILLIANT </v>
          </cell>
          <cell r="C6">
            <v>17</v>
          </cell>
        </row>
        <row r="7">
          <cell r="A7" t="str">
            <v xml:space="preserve">WITH A CHANCE  </v>
          </cell>
          <cell r="C7">
            <v>60</v>
          </cell>
        </row>
        <row r="8">
          <cell r="A8" t="str">
            <v xml:space="preserve">GUNNA HAPPEN </v>
          </cell>
          <cell r="C8">
            <v>41</v>
          </cell>
        </row>
        <row r="9">
          <cell r="A9" t="str">
            <v xml:space="preserve">BLACK PANTHER </v>
          </cell>
          <cell r="C9">
            <v>42</v>
          </cell>
        </row>
        <row r="10">
          <cell r="A10" t="str">
            <v xml:space="preserve">SEQUINELLA </v>
          </cell>
          <cell r="C10">
            <v>31</v>
          </cell>
        </row>
        <row r="11">
          <cell r="A11" t="str">
            <v xml:space="preserve">MOSSURMI </v>
          </cell>
          <cell r="C11">
            <v>30</v>
          </cell>
        </row>
        <row r="12">
          <cell r="A12" t="str">
            <v xml:space="preserve">DON LUIGI </v>
          </cell>
          <cell r="C12">
            <v>54</v>
          </cell>
        </row>
        <row r="13">
          <cell r="A13" t="str">
            <v xml:space="preserve">RARE POPPI </v>
          </cell>
          <cell r="C13">
            <v>47</v>
          </cell>
        </row>
      </sheetData>
      <sheetData sheetId="119" refreshError="1">
        <row r="3">
          <cell r="A3" t="str">
            <v xml:space="preserve">SWIFT ALLIANCE  </v>
          </cell>
          <cell r="C3">
            <v>3</v>
          </cell>
        </row>
        <row r="4">
          <cell r="A4" t="str">
            <v xml:space="preserve">PLATINUM SKYE </v>
          </cell>
          <cell r="C4">
            <v>5</v>
          </cell>
        </row>
        <row r="5">
          <cell r="A5" t="str">
            <v xml:space="preserve">CLOUDY MORNING </v>
          </cell>
          <cell r="C5">
            <v>5</v>
          </cell>
        </row>
        <row r="6">
          <cell r="A6" t="str">
            <v xml:space="preserve">MAGIC WEEKEND </v>
          </cell>
          <cell r="C6">
            <v>7</v>
          </cell>
        </row>
        <row r="7">
          <cell r="A7" t="str">
            <v xml:space="preserve">ONTHELOOKOUT </v>
          </cell>
          <cell r="C7">
            <v>9</v>
          </cell>
        </row>
        <row r="8">
          <cell r="A8" t="str">
            <v xml:space="preserve">MISS INDEPENDENT </v>
          </cell>
          <cell r="C8">
            <v>13</v>
          </cell>
        </row>
        <row r="9">
          <cell r="A9" t="str">
            <v xml:space="preserve">HEALY CREEK </v>
          </cell>
          <cell r="C9">
            <v>9</v>
          </cell>
        </row>
        <row r="10">
          <cell r="A10" t="str">
            <v xml:space="preserve">WITHOUTME </v>
          </cell>
          <cell r="C10">
            <v>12</v>
          </cell>
        </row>
        <row r="11">
          <cell r="A11" t="str">
            <v xml:space="preserve">ADMIRALS HONOUR </v>
          </cell>
          <cell r="C11">
            <v>16</v>
          </cell>
        </row>
      </sheetData>
      <sheetData sheetId="120" refreshError="1">
        <row r="3">
          <cell r="A3" t="str">
            <v xml:space="preserve">BEJEWELLED </v>
          </cell>
          <cell r="C3">
            <v>12</v>
          </cell>
        </row>
        <row r="4">
          <cell r="A4" t="str">
            <v xml:space="preserve">SILENT BUT DEADLY </v>
          </cell>
          <cell r="C4">
            <v>13</v>
          </cell>
        </row>
        <row r="5">
          <cell r="A5" t="str">
            <v xml:space="preserve">MARGHAM </v>
          </cell>
          <cell r="C5">
            <v>11</v>
          </cell>
        </row>
        <row r="6">
          <cell r="A6" t="str">
            <v xml:space="preserve">BELLEVENT </v>
          </cell>
          <cell r="C6">
            <v>24</v>
          </cell>
        </row>
        <row r="7">
          <cell r="A7" t="str">
            <v xml:space="preserve">MISSYALUKE </v>
          </cell>
          <cell r="C7">
            <v>16</v>
          </cell>
        </row>
        <row r="8">
          <cell r="A8" t="str">
            <v xml:space="preserve">ASSHEWAQUA </v>
          </cell>
          <cell r="C8">
            <v>21</v>
          </cell>
        </row>
        <row r="9">
          <cell r="A9" t="str">
            <v xml:space="preserve">MATCHLESS </v>
          </cell>
          <cell r="C9">
            <v>39</v>
          </cell>
        </row>
        <row r="10">
          <cell r="A10" t="str">
            <v xml:space="preserve">VERY GRAND </v>
          </cell>
          <cell r="C10">
            <v>27</v>
          </cell>
        </row>
        <row r="11">
          <cell r="A11" t="str">
            <v xml:space="preserve">GLOBAL START </v>
          </cell>
          <cell r="C11">
            <v>38</v>
          </cell>
        </row>
        <row r="12">
          <cell r="A12" t="str">
            <v xml:space="preserve">IMAGINING </v>
          </cell>
          <cell r="C12">
            <v>24</v>
          </cell>
        </row>
        <row r="13">
          <cell r="A13" t="str">
            <v xml:space="preserve">LIMANI </v>
          </cell>
          <cell r="C13">
            <v>34</v>
          </cell>
        </row>
        <row r="14">
          <cell r="A14" t="str">
            <v xml:space="preserve">BLAMELESS </v>
          </cell>
          <cell r="C14">
            <v>22</v>
          </cell>
        </row>
      </sheetData>
      <sheetData sheetId="121" refreshError="1">
        <row r="3">
          <cell r="A3" t="str">
            <v>AWIMOWEH 1</v>
          </cell>
          <cell r="C3">
            <v>8</v>
          </cell>
        </row>
        <row r="4">
          <cell r="A4" t="str">
            <v xml:space="preserve">SPIRIT OF ST LOUIS </v>
          </cell>
          <cell r="C4">
            <v>6</v>
          </cell>
        </row>
        <row r="5">
          <cell r="A5" t="str">
            <v xml:space="preserve">HOOKER ROAD </v>
          </cell>
          <cell r="C5">
            <v>52</v>
          </cell>
        </row>
        <row r="6">
          <cell r="A6" t="str">
            <v xml:space="preserve">INKSTER </v>
          </cell>
          <cell r="C6">
            <v>16</v>
          </cell>
        </row>
        <row r="7">
          <cell r="A7" t="str">
            <v xml:space="preserve">GRIZZ </v>
          </cell>
          <cell r="C7">
            <v>46</v>
          </cell>
        </row>
        <row r="8">
          <cell r="A8" t="str">
            <v xml:space="preserve">HE'S SOMETHING </v>
          </cell>
          <cell r="C8">
            <v>20</v>
          </cell>
        </row>
        <row r="9">
          <cell r="A9" t="str">
            <v xml:space="preserve">GRAND DESTINY </v>
          </cell>
          <cell r="C9">
            <v>32</v>
          </cell>
        </row>
        <row r="10">
          <cell r="A10" t="str">
            <v xml:space="preserve">TELLAN DAVE </v>
          </cell>
          <cell r="C10">
            <v>32</v>
          </cell>
        </row>
        <row r="11">
          <cell r="A11" t="str">
            <v xml:space="preserve">FIGURE OF SPEECH </v>
          </cell>
          <cell r="C11">
            <v>41</v>
          </cell>
        </row>
        <row r="12">
          <cell r="A12" t="str">
            <v xml:space="preserve">ELMORE </v>
          </cell>
          <cell r="C12">
            <v>36</v>
          </cell>
        </row>
        <row r="13">
          <cell r="A13" t="str">
            <v xml:space="preserve">SPARE A DIME </v>
          </cell>
          <cell r="C13">
            <v>28</v>
          </cell>
        </row>
        <row r="14">
          <cell r="A14" t="str">
            <v xml:space="preserve">DIAMONDSONDINSIDE </v>
          </cell>
          <cell r="C14">
            <v>52</v>
          </cell>
        </row>
        <row r="15">
          <cell r="A15" t="str">
            <v xml:space="preserve">DOOSRA DIAMOND </v>
          </cell>
          <cell r="C15">
            <v>38</v>
          </cell>
        </row>
        <row r="16">
          <cell r="A16" t="str">
            <v xml:space="preserve">SARATIME </v>
          </cell>
          <cell r="C16">
            <v>36</v>
          </cell>
        </row>
        <row r="17">
          <cell r="A17" t="str">
            <v xml:space="preserve">PRINCE VITALITY </v>
          </cell>
          <cell r="C17">
            <v>66</v>
          </cell>
        </row>
        <row r="18">
          <cell r="A18" t="str">
            <v xml:space="preserve">DOUBLE PORTION </v>
          </cell>
          <cell r="C18">
            <v>60</v>
          </cell>
        </row>
      </sheetData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Y1"/>
      <sheetName val="Dashboard"/>
      <sheetName val="Worksheet"/>
      <sheetName val="Raw Data"/>
    </sheetNames>
    <sheetDataSet>
      <sheetData sheetId="0"/>
      <sheetData sheetId="1">
        <row r="20">
          <cell r="AX20" t="str">
            <v>TOPPICKS</v>
          </cell>
        </row>
        <row r="21">
          <cell r="AX21" t="str">
            <v>ALLPICKS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Macros\RACING%20TEMPLATE%20A1_CopyContentsFromFile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00"/>
  <sheetViews>
    <sheetView tabSelected="1" zoomScale="90" zoomScaleNormal="9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E21" sqref="E21"/>
    </sheetView>
  </sheetViews>
  <sheetFormatPr defaultRowHeight="14.4" x14ac:dyDescent="0.3"/>
  <cols>
    <col min="1" max="1" width="30.44140625" customWidth="1"/>
    <col min="2" max="2" width="8.6640625" bestFit="1" customWidth="1"/>
    <col min="3" max="3" width="67.21875" customWidth="1"/>
    <col min="4" max="4" width="5.6640625" customWidth="1"/>
    <col min="5" max="5" width="19.21875" bestFit="1" customWidth="1"/>
    <col min="6" max="6" width="11.5546875" customWidth="1"/>
    <col min="7" max="7" width="8.88671875" customWidth="1"/>
    <col min="8" max="8" width="8.5546875" style="61" customWidth="1"/>
    <col min="9" max="9" width="36" style="61" bestFit="1" customWidth="1"/>
    <col min="10" max="10" width="34.33203125" style="68" hidden="1" customWidth="1"/>
    <col min="11" max="11" width="9.88671875" hidden="1" customWidth="1"/>
    <col min="12" max="12" width="34.21875" style="68" hidden="1" customWidth="1"/>
    <col min="13" max="13" width="13" style="52" hidden="1" customWidth="1"/>
    <col min="14" max="14" width="18.21875" style="52" hidden="1" customWidth="1"/>
    <col min="15" max="16" width="13.109375" style="52" hidden="1" customWidth="1"/>
    <col min="17" max="17" width="21.33203125" style="52" hidden="1" customWidth="1"/>
    <col min="18" max="18" width="8.44140625" style="56" hidden="1" customWidth="1"/>
    <col min="19" max="19" width="7.33203125" style="37" hidden="1" customWidth="1"/>
    <col min="20" max="20" width="12.33203125" hidden="1" customWidth="1"/>
    <col min="21" max="21" width="8.33203125" hidden="1" customWidth="1"/>
    <col min="22" max="22" width="7.21875" style="37" hidden="1" customWidth="1"/>
    <col min="23" max="23" width="2.6640625" style="61" hidden="1" customWidth="1"/>
    <col min="24" max="25" width="9.33203125" hidden="1" customWidth="1"/>
    <col min="26" max="26" width="9.33203125" style="37" hidden="1" customWidth="1"/>
    <col min="27" max="29" width="9.33203125" hidden="1" customWidth="1"/>
    <col min="30" max="30" width="27" style="52" customWidth="1"/>
    <col min="31" max="31" width="3" customWidth="1"/>
    <col min="32" max="32" width="27.6640625" style="71" bestFit="1" customWidth="1"/>
    <col min="33" max="33" width="24.109375" customWidth="1"/>
    <col min="34" max="34" width="12.5546875" hidden="1" customWidth="1"/>
    <col min="35" max="35" width="12" hidden="1" customWidth="1"/>
    <col min="36" max="36" width="12" customWidth="1"/>
    <col min="37" max="44" width="10.33203125" hidden="1" customWidth="1"/>
    <col min="45" max="45" width="10.77734375" hidden="1" customWidth="1"/>
    <col min="46" max="46" width="12.77734375" customWidth="1"/>
    <col min="47" max="48" width="10.33203125" style="45" customWidth="1"/>
    <col min="49" max="49" width="8.33203125" style="45" customWidth="1"/>
    <col min="50" max="50" width="9.109375" style="45" customWidth="1"/>
    <col min="51" max="51" width="11.109375" style="45" bestFit="1" customWidth="1"/>
    <col min="52" max="52" width="15.109375" customWidth="1"/>
    <col min="53" max="53" width="14.44140625" bestFit="1" customWidth="1"/>
    <col min="54" max="54" width="78.77734375" bestFit="1" customWidth="1"/>
  </cols>
  <sheetData>
    <row r="1" spans="1:56" s="6" customFormat="1" ht="31.2" customHeight="1" x14ac:dyDescent="0.3">
      <c r="A1" s="80">
        <v>30</v>
      </c>
      <c r="B1" s="59" t="e">
        <f>MEDIAN($B$3:$B$100)</f>
        <v>#NUM!</v>
      </c>
      <c r="C1" s="60" t="e">
        <f>"Need"&amp;ROUND($AT$1/$E$1,0)&amp;"wins"&amp;" "&amp;"from"&amp;" "&amp;COUNTIF($AJ3:$AJ$100,"AMANDA")&amp;" "&amp;"Races"</f>
        <v>#NUM!</v>
      </c>
      <c r="D1" s="87">
        <f>SUM(D3:D99)</f>
        <v>4</v>
      </c>
      <c r="E1" s="89" t="e">
        <f>MEDIAN($AW$3:$AW$100)</f>
        <v>#NUM!</v>
      </c>
      <c r="F1" s="12" t="s">
        <v>5</v>
      </c>
      <c r="G1" s="10" t="s">
        <v>41</v>
      </c>
      <c r="H1" s="74" t="s">
        <v>7</v>
      </c>
      <c r="I1" s="74" t="s">
        <v>8</v>
      </c>
      <c r="J1" s="65" t="s">
        <v>16</v>
      </c>
      <c r="K1" s="7" t="s">
        <v>19</v>
      </c>
      <c r="L1" s="65" t="s">
        <v>18</v>
      </c>
      <c r="M1" s="57" t="e">
        <f>ROUND(MEDIAN($AV$3:$AV$100),2)&amp;" median.Odds"</f>
        <v>#NUM!</v>
      </c>
      <c r="N1" s="57" t="str">
        <f>$AX$2&amp;" TAB Debt"</f>
        <v>0 TAB Debt</v>
      </c>
      <c r="O1" s="47"/>
      <c r="P1" s="47"/>
      <c r="Q1" s="58" t="s">
        <v>35</v>
      </c>
      <c r="R1" s="57">
        <f>70-COUNTBLANK($R$3:$R$100)</f>
        <v>-28</v>
      </c>
      <c r="S1" s="62"/>
      <c r="T1" s="19" t="s">
        <v>21</v>
      </c>
      <c r="U1" s="22" t="s">
        <v>20</v>
      </c>
      <c r="V1" s="64" t="s">
        <v>36</v>
      </c>
      <c r="W1" s="74"/>
      <c r="X1" s="36">
        <f t="shared" ref="X1:AC1" si="0">AVERAGE(X3:X100)</f>
        <v>0.20841334680103599</v>
      </c>
      <c r="Y1" s="36">
        <f t="shared" si="0"/>
        <v>1.7389490430494755E-2</v>
      </c>
      <c r="Z1" s="35">
        <f t="shared" si="0"/>
        <v>1.4556270177057473</v>
      </c>
      <c r="AA1" s="36">
        <f t="shared" si="0"/>
        <v>0.12442214547791298</v>
      </c>
      <c r="AB1" s="36">
        <f t="shared" si="0"/>
        <v>-0.11979930930121685</v>
      </c>
      <c r="AC1" s="36" t="e">
        <f t="shared" si="0"/>
        <v>#DIV/0!</v>
      </c>
      <c r="AD1" s="84">
        <f>IFERROR(ROUND($AV$2/$AE$1,2)," "&amp;" mean.Odds")</f>
        <v>0</v>
      </c>
      <c r="AE1" s="57">
        <f>COUNTIF($AJ$3:$AJ$100,"AMANDA")-R1</f>
        <v>28</v>
      </c>
      <c r="AF1" s="74" t="s">
        <v>49</v>
      </c>
      <c r="AG1" s="57" t="e">
        <f>"Need"&amp;ROUND($AT$1/$E$1,0)&amp;"wins"&amp;" "&amp;"from"&amp;" "&amp;COUNTIF($AJ3:$AJ$100,"AMANDA")&amp;" "&amp;"Races"</f>
        <v>#NUM!</v>
      </c>
      <c r="AH1" s="87">
        <f>SUM(AH3:AH99)</f>
        <v>0</v>
      </c>
      <c r="AI1" s="57" t="s">
        <v>54</v>
      </c>
      <c r="AJ1" s="38">
        <v>0.22</v>
      </c>
      <c r="AK1" s="10" t="s">
        <v>15</v>
      </c>
      <c r="AL1" s="10" t="s">
        <v>6</v>
      </c>
      <c r="AM1" s="10" t="s">
        <v>38</v>
      </c>
      <c r="AN1" s="5" t="s">
        <v>13</v>
      </c>
      <c r="AO1" s="5" t="s">
        <v>12</v>
      </c>
      <c r="AP1" s="5" t="s">
        <v>9</v>
      </c>
      <c r="AQ1" s="5" t="s">
        <v>10</v>
      </c>
      <c r="AR1" s="5" t="s">
        <v>11</v>
      </c>
      <c r="AS1" s="20" t="s">
        <v>23</v>
      </c>
      <c r="AT1" s="39">
        <v>21</v>
      </c>
      <c r="AU1" s="10" t="s">
        <v>14</v>
      </c>
      <c r="AV1" s="78" t="s">
        <v>50</v>
      </c>
      <c r="AW1" s="10" t="s">
        <v>31</v>
      </c>
      <c r="AX1" s="10" t="s">
        <v>4</v>
      </c>
      <c r="AY1" s="10" t="s">
        <v>22</v>
      </c>
      <c r="AZ1" s="5" t="s">
        <v>2</v>
      </c>
      <c r="BA1" s="5" t="s">
        <v>3</v>
      </c>
      <c r="BB1" s="52" t="str">
        <f ca="1">CELL("filename")</f>
        <v>F:\myGear\Kingston\Gaming\Templates\GitHubTemplates\summary\[Total Daily Run Card_.xlsm]amanda</v>
      </c>
      <c r="BD1" s="6" t="e">
        <f>AW2/AU2</f>
        <v>#DIV/0!</v>
      </c>
    </row>
    <row r="2" spans="1:56" s="18" customFormat="1" ht="17.399999999999999" customHeight="1" x14ac:dyDescent="0.3">
      <c r="A2" s="16" t="s">
        <v>17</v>
      </c>
      <c r="B2" s="17" t="s">
        <v>16</v>
      </c>
      <c r="C2" s="73" t="s">
        <v>45</v>
      </c>
      <c r="D2" s="11" t="s">
        <v>0</v>
      </c>
      <c r="E2" s="11" t="s">
        <v>1</v>
      </c>
      <c r="F2" s="17"/>
      <c r="G2" s="82" t="s">
        <v>51</v>
      </c>
      <c r="H2" s="75" t="s">
        <v>47</v>
      </c>
      <c r="I2" s="75" t="s">
        <v>8</v>
      </c>
      <c r="J2" s="72" t="s">
        <v>44</v>
      </c>
      <c r="K2" s="3"/>
      <c r="L2" s="66" t="s">
        <v>42</v>
      </c>
      <c r="M2" s="48" t="s">
        <v>43</v>
      </c>
      <c r="N2" s="48" t="s">
        <v>32</v>
      </c>
      <c r="O2" s="48" t="s">
        <v>33</v>
      </c>
      <c r="P2" s="48" t="s">
        <v>30</v>
      </c>
      <c r="Q2" s="48" t="s">
        <v>46</v>
      </c>
      <c r="R2" s="54" t="s">
        <v>34</v>
      </c>
      <c r="S2" s="63" t="s">
        <v>39</v>
      </c>
      <c r="T2" s="3" t="s">
        <v>8</v>
      </c>
      <c r="U2" s="23" t="s">
        <v>8</v>
      </c>
      <c r="V2" s="63" t="s">
        <v>40</v>
      </c>
      <c r="W2" s="75" t="s">
        <v>29</v>
      </c>
      <c r="X2" s="24" t="s">
        <v>28</v>
      </c>
      <c r="Y2" s="24" t="s">
        <v>27</v>
      </c>
      <c r="Z2" s="24" t="s">
        <v>24</v>
      </c>
      <c r="AA2" s="24" t="s">
        <v>26</v>
      </c>
      <c r="AB2" s="24" t="s">
        <v>25</v>
      </c>
      <c r="AC2" s="24" t="s">
        <v>37</v>
      </c>
      <c r="AD2" s="84" t="str">
        <f>IFERROR(ROUND(AX2/AE2,0)," "&amp;" WinsRequired")</f>
        <v xml:space="preserve">  WinsRequired</v>
      </c>
      <c r="AE2" s="34">
        <f>IFERROR(AX2/$AE$1,0)</f>
        <v>0</v>
      </c>
      <c r="AF2" s="75" t="s">
        <v>48</v>
      </c>
      <c r="AG2" s="79">
        <f>AJ1</f>
        <v>0.22</v>
      </c>
      <c r="AH2" s="11" t="s">
        <v>56</v>
      </c>
      <c r="AI2" s="86" t="s">
        <v>53</v>
      </c>
      <c r="AJ2" s="53" t="s">
        <v>55</v>
      </c>
      <c r="AK2" s="8">
        <f t="shared" ref="AK2:AS2" si="1">SUM(AK3:AK100)</f>
        <v>0</v>
      </c>
      <c r="AL2" s="8">
        <f t="shared" si="1"/>
        <v>0</v>
      </c>
      <c r="AM2" s="46">
        <f t="shared" si="1"/>
        <v>0</v>
      </c>
      <c r="AN2" s="14">
        <f>SUM(AN3:AN100)</f>
        <v>0</v>
      </c>
      <c r="AO2" s="3">
        <f>SUM(AO3:AO100)</f>
        <v>0</v>
      </c>
      <c r="AP2" s="8">
        <f t="shared" si="1"/>
        <v>0</v>
      </c>
      <c r="AQ2" s="3">
        <f t="shared" si="1"/>
        <v>0</v>
      </c>
      <c r="AR2" s="3">
        <f t="shared" si="1"/>
        <v>0</v>
      </c>
      <c r="AS2" s="21">
        <f t="shared" si="1"/>
        <v>0</v>
      </c>
      <c r="AT2" s="40" t="str">
        <f>IF($AY$2&lt;=0,"LOSS","PROFIT")</f>
        <v>LOSS</v>
      </c>
      <c r="AU2" s="41">
        <f>SUM(AU3:AU100)</f>
        <v>0</v>
      </c>
      <c r="AV2" s="41">
        <f>SUM(AV3:AV100)</f>
        <v>0</v>
      </c>
      <c r="AW2" s="41">
        <f>SUM(AW3:AW100)</f>
        <v>0</v>
      </c>
      <c r="AX2" s="41">
        <f>SUM(AX3:AX100)</f>
        <v>0</v>
      </c>
      <c r="AY2" s="41">
        <f>SUM(AY3:AY100)</f>
        <v>0</v>
      </c>
      <c r="AZ2" s="15">
        <f>IFERROR(MEDIAN($AZ$3:$AZ$100),MIN($AZ$3:$AZ$100))</f>
        <v>0</v>
      </c>
      <c r="BA2" s="15" t="str">
        <f>IF(ISERROR(AX2/AU2)," ",(AX2/AU2))</f>
        <v xml:space="preserve"> </v>
      </c>
      <c r="BB2" s="18" t="s">
        <v>52</v>
      </c>
    </row>
    <row r="3" spans="1:56" x14ac:dyDescent="0.3">
      <c r="A3" s="28" t="s">
        <v>57</v>
      </c>
      <c r="B3" s="29"/>
      <c r="C3" s="77" t="s">
        <v>58</v>
      </c>
      <c r="D3" s="30">
        <v>4</v>
      </c>
      <c r="E3" s="30" t="s">
        <v>59</v>
      </c>
      <c r="F3" s="31">
        <v>0.44444444444444442</v>
      </c>
      <c r="G3" s="25" t="s">
        <v>60</v>
      </c>
      <c r="H3" s="76">
        <v>5</v>
      </c>
      <c r="I3" s="76" t="s">
        <v>61</v>
      </c>
      <c r="J3" s="69" t="s">
        <v>62</v>
      </c>
      <c r="K3" s="32">
        <v>44188.787869791668</v>
      </c>
      <c r="L3" s="67" t="s">
        <v>63</v>
      </c>
      <c r="M3" s="50" t="s">
        <v>63</v>
      </c>
      <c r="N3" s="50" t="s">
        <v>64</v>
      </c>
      <c r="O3" s="49" t="s">
        <v>65</v>
      </c>
      <c r="P3" s="50" t="s">
        <v>66</v>
      </c>
      <c r="Q3" s="83" t="s">
        <v>67</v>
      </c>
      <c r="R3" s="55" t="s">
        <v>61</v>
      </c>
      <c r="S3" s="27">
        <v>2.2879355379386892</v>
      </c>
      <c r="T3" s="25" t="e">
        <v>#N/A</v>
      </c>
      <c r="U3" s="33" t="s">
        <v>68</v>
      </c>
      <c r="V3" s="27">
        <v>6.1022855614107012</v>
      </c>
      <c r="W3" s="76">
        <v>5</v>
      </c>
      <c r="X3" s="26">
        <v>0.20841334680103599</v>
      </c>
      <c r="Y3" s="26">
        <v>1.7389490430494755E-2</v>
      </c>
      <c r="Z3" s="27">
        <v>1.4556270177057473</v>
      </c>
      <c r="AA3" s="26">
        <v>0.12442214547791298</v>
      </c>
      <c r="AB3" s="26">
        <v>-0.11979930930121685</v>
      </c>
      <c r="AC3" s="26" t="s">
        <v>69</v>
      </c>
      <c r="AD3" s="85" t="s">
        <v>70</v>
      </c>
      <c r="AE3" s="27" t="s">
        <v>71</v>
      </c>
      <c r="AF3" s="70" t="s">
        <v>72</v>
      </c>
      <c r="AG3" s="81" t="str">
        <f>IFERROR(HYPERLINK($AI$2&amp;A3,A3)," ")</f>
        <v>2312020-Ascot_R2.xlsm</v>
      </c>
      <c r="AH3" s="90" t="str">
        <f>IF(AJ3="AMANDA",D3," ")</f>
        <v xml:space="preserve"> </v>
      </c>
      <c r="AI3" s="88" t="str">
        <f>IF(A3=" "," ",IF($AH3=" "," ",IF(AJ3="AMANDA",AH3/$AH$1)))</f>
        <v xml:space="preserve"> </v>
      </c>
      <c r="AJ3" s="13" t="str">
        <f>IF(A3=""," ",IF(AND(B3&gt;=$AG$2),"AMANDA","LAY"))</f>
        <v>LAY</v>
      </c>
      <c r="AK3" s="4" t="str">
        <f>IF(AND($A3&lt;&gt;"",$AJ3="LAY"),"",IFERROR($B3*$F3*$AI3," "))</f>
        <v/>
      </c>
      <c r="AL3" s="4" t="str">
        <f>IFERROR(IF(AK3=" "," ",AK3/$AK$2)," ")</f>
        <v xml:space="preserve"> </v>
      </c>
      <c r="AM3" s="13" t="str">
        <f>IF(AJ3=" "," ",IF(AJ3="LAY"," ",IF(AJ3&lt;&gt;"LAY",ROUNDUP(AL3*$AT$1,0))))</f>
        <v xml:space="preserve"> </v>
      </c>
      <c r="AN3" s="2" t="str">
        <f>IF(AJ3="AMANDA",(1+B3)," ")</f>
        <v xml:space="preserve"> </v>
      </c>
      <c r="AO3" s="2" t="str">
        <f>IFERROR(100/AN3," ")</f>
        <v xml:space="preserve"> </v>
      </c>
      <c r="AP3" s="9" t="str">
        <f>IFERROR(AO3/$AO$2," ")</f>
        <v xml:space="preserve"> </v>
      </c>
      <c r="AQ3" s="2" t="str">
        <f>IFERROR(ROUNDUP($AN$2/AN3,0)," ")</f>
        <v xml:space="preserve"> </v>
      </c>
      <c r="AR3" s="2" t="str">
        <f>IFERROR(AN3*AQ3," ")</f>
        <v xml:space="preserve"> </v>
      </c>
      <c r="AS3" s="4" t="str">
        <f>IFERROR(IF(B3=" "," ",IF(AJ3="LAY"," ",IF(A3&lt;&gt;" ",AI3*AP3," ")))," ")</f>
        <v xml:space="preserve"> </v>
      </c>
      <c r="AT3" s="4" t="str">
        <f>IFERROR(AS3/$AS$2," ")</f>
        <v xml:space="preserve"> </v>
      </c>
      <c r="AU3" s="42" t="str">
        <f>IFERROR(ROUNDUP(AT3*$AT$1,0)," ")</f>
        <v xml:space="preserve"> </v>
      </c>
      <c r="AV3" s="43" t="str">
        <f t="shared" ref="AV3:AV21" si="2">IFERROR(($AN3*$AU3)-($AU$2)," ")</f>
        <v xml:space="preserve"> </v>
      </c>
      <c r="AW3" s="44" t="str">
        <f>IFERROR(AU3*AN3," ")</f>
        <v xml:space="preserve"> </v>
      </c>
      <c r="AX3" s="43" t="str">
        <f>IFERROR(AW3-AU3," ")</f>
        <v xml:space="preserve"> </v>
      </c>
      <c r="AY3" s="43" t="str">
        <f>IFERROR(ABS($AV3-$AU$2)," ")</f>
        <v xml:space="preserve"> </v>
      </c>
      <c r="AZ3" s="1" t="str">
        <f>IFERROR(AY3/$AU$2," ")</f>
        <v xml:space="preserve"> </v>
      </c>
      <c r="BA3" s="1" t="str">
        <f>IFERROR((AX3/$AU$2)," ")</f>
        <v xml:space="preserve"> </v>
      </c>
    </row>
    <row r="4" spans="1:56" x14ac:dyDescent="0.3">
      <c r="A4" s="28"/>
      <c r="B4" s="29"/>
      <c r="C4" s="77"/>
      <c r="D4" s="30"/>
      <c r="E4" s="30"/>
      <c r="F4" s="31"/>
      <c r="G4" s="25"/>
      <c r="H4" s="76"/>
      <c r="I4" s="76"/>
      <c r="J4" s="69"/>
      <c r="K4" s="32"/>
      <c r="L4" s="67"/>
      <c r="M4" s="50"/>
      <c r="N4" s="50"/>
      <c r="O4" s="49"/>
      <c r="P4" s="50"/>
      <c r="Q4" s="83"/>
      <c r="R4" s="55"/>
      <c r="S4" s="27"/>
      <c r="T4" s="25"/>
      <c r="U4" s="33"/>
      <c r="V4" s="27"/>
      <c r="W4" s="76"/>
      <c r="X4" s="26"/>
      <c r="Y4" s="26"/>
      <c r="Z4" s="27"/>
      <c r="AA4" s="26"/>
      <c r="AB4" s="26"/>
      <c r="AC4" s="26"/>
      <c r="AD4" s="85"/>
      <c r="AE4" s="27"/>
      <c r="AF4" s="70"/>
      <c r="AG4" s="81">
        <f t="shared" ref="AG4:AG67" si="3">IFERROR(HYPERLINK($AI$2&amp;A4,A4)," ")</f>
        <v>0</v>
      </c>
      <c r="AH4" s="90" t="str">
        <f t="shared" ref="AH4:AH67" si="4">IF(AJ4="AMANDA",D4," ")</f>
        <v xml:space="preserve"> </v>
      </c>
      <c r="AI4" s="88" t="str">
        <f t="shared" ref="AI4:AI67" si="5">IF(A4=" "," ",IF($AH4=" "," ",IF(AJ4="AMANDA",AH4/$AH$1)))</f>
        <v xml:space="preserve"> </v>
      </c>
      <c r="AJ4" s="13" t="str">
        <f t="shared" ref="AJ4:AJ67" si="6">IF(A4=""," ",IF(AND(B4&gt;=$AG$2),"AMANDA","LAY"))</f>
        <v xml:space="preserve"> </v>
      </c>
      <c r="AK4" s="4" t="str">
        <f t="shared" ref="AK4:AK35" si="7">IF(AND(A4&lt;&gt;"",AJ4="LAY"),"",IFERROR(B4*F4*AI4," "))</f>
        <v xml:space="preserve"> </v>
      </c>
      <c r="AL4" s="4" t="str">
        <f t="shared" ref="AL4:AL67" si="8">IFERROR(IF(AK4=" "," ",AK4/$AK$2)," ")</f>
        <v xml:space="preserve"> </v>
      </c>
      <c r="AM4" s="13" t="str">
        <f t="shared" ref="AM4:AM67" si="9">IF(AJ4=" "," ",IF(AJ4="LAY"," ",IF(AJ4&lt;&gt;"LAY",ROUNDUP(AL4*$AT$1,0))))</f>
        <v xml:space="preserve"> </v>
      </c>
      <c r="AN4" s="2" t="str">
        <f t="shared" ref="AN4:AN67" si="10">IF(AJ4="AMANDA",(1+B4)," ")</f>
        <v xml:space="preserve"> </v>
      </c>
      <c r="AO4" s="2" t="str">
        <f t="shared" ref="AO4:AO67" si="11">IFERROR(100/AN4," ")</f>
        <v xml:space="preserve"> </v>
      </c>
      <c r="AP4" s="9" t="str">
        <f>IFERROR(AO4/$AO$2," ")</f>
        <v xml:space="preserve"> </v>
      </c>
      <c r="AQ4" s="2" t="str">
        <f t="shared" ref="AQ4:AQ67" si="12">IFERROR(ROUNDUP($AN$2/AN4,0)," ")</f>
        <v xml:space="preserve"> </v>
      </c>
      <c r="AR4" s="2" t="str">
        <f t="shared" ref="AR4:AR67" si="13">IFERROR(AN4*AQ4," ")</f>
        <v xml:space="preserve"> </v>
      </c>
      <c r="AS4" s="4" t="str">
        <f t="shared" ref="AS4:AS67" si="14">IFERROR(IF(B4=" "," ",IF(AJ4="LAY"," ",IF(A4&lt;&gt;" ",AI4*AP4," ")))," ")</f>
        <v xml:space="preserve"> </v>
      </c>
      <c r="AT4" s="4" t="str">
        <f>IFERROR(AS4/$AS$2," ")</f>
        <v xml:space="preserve"> </v>
      </c>
      <c r="AU4" s="42" t="str">
        <f>IFERROR(ROUNDUP(AT4*$AT$1,0)," ")</f>
        <v xml:space="preserve"> </v>
      </c>
      <c r="AV4" s="43" t="str">
        <f t="shared" si="2"/>
        <v xml:space="preserve"> </v>
      </c>
      <c r="AW4" s="44" t="str">
        <f t="shared" ref="AW4:AW67" si="15">IFERROR(AU4*AN4," ")</f>
        <v xml:space="preserve"> </v>
      </c>
      <c r="AX4" s="43" t="str">
        <f t="shared" ref="AX4:AX67" si="16">IFERROR(AW4-AU4," ")</f>
        <v xml:space="preserve"> </v>
      </c>
      <c r="AY4" s="43" t="str">
        <f t="shared" ref="AY4:AY67" si="17">IFERROR(ABS($AV4-$AU$2)," ")</f>
        <v xml:space="preserve"> </v>
      </c>
      <c r="AZ4" s="1" t="str">
        <f t="shared" ref="AZ4:AZ67" si="18">IFERROR(AY4/$AU$2," ")</f>
        <v xml:space="preserve"> </v>
      </c>
      <c r="BA4" s="1" t="str">
        <f t="shared" ref="BA4:BA67" si="19">IFERROR((AX4/$AU$2)," ")</f>
        <v xml:space="preserve"> </v>
      </c>
    </row>
    <row r="5" spans="1:56" x14ac:dyDescent="0.3">
      <c r="A5" s="28"/>
      <c r="B5" s="29"/>
      <c r="C5" s="77"/>
      <c r="D5" s="30"/>
      <c r="E5" s="30"/>
      <c r="F5" s="31"/>
      <c r="G5" s="25"/>
      <c r="H5" s="76"/>
      <c r="I5" s="76"/>
      <c r="J5" s="69"/>
      <c r="K5" s="32"/>
      <c r="L5" s="67"/>
      <c r="M5" s="50"/>
      <c r="N5" s="50"/>
      <c r="O5" s="49"/>
      <c r="P5" s="50"/>
      <c r="Q5" s="83"/>
      <c r="R5" s="55"/>
      <c r="S5" s="27"/>
      <c r="T5" s="25"/>
      <c r="U5" s="33"/>
      <c r="V5" s="27"/>
      <c r="W5" s="76"/>
      <c r="X5" s="26"/>
      <c r="Y5" s="26"/>
      <c r="Z5" s="27"/>
      <c r="AA5" s="26"/>
      <c r="AB5" s="26"/>
      <c r="AC5" s="26"/>
      <c r="AD5" s="85"/>
      <c r="AE5" s="27"/>
      <c r="AF5" s="70"/>
      <c r="AG5" s="81">
        <f>IFERROR(HYPERLINK($AI$2&amp;A5,A5)," ")</f>
        <v>0</v>
      </c>
      <c r="AH5" s="90" t="str">
        <f t="shared" si="4"/>
        <v xml:space="preserve"> </v>
      </c>
      <c r="AI5" s="88" t="str">
        <f t="shared" si="5"/>
        <v xml:space="preserve"> </v>
      </c>
      <c r="AJ5" s="13" t="str">
        <f t="shared" si="6"/>
        <v xml:space="preserve"> </v>
      </c>
      <c r="AK5" s="4" t="str">
        <f t="shared" si="7"/>
        <v xml:space="preserve"> </v>
      </c>
      <c r="AL5" s="4" t="str">
        <f t="shared" si="8"/>
        <v xml:space="preserve"> </v>
      </c>
      <c r="AM5" s="13" t="str">
        <f t="shared" si="9"/>
        <v xml:space="preserve"> </v>
      </c>
      <c r="AN5" s="2" t="str">
        <f t="shared" si="10"/>
        <v xml:space="preserve"> </v>
      </c>
      <c r="AO5" s="2" t="str">
        <f t="shared" si="11"/>
        <v xml:space="preserve"> </v>
      </c>
      <c r="AP5" s="9" t="str">
        <f t="shared" ref="AP5:AP67" si="20">IFERROR(AO5/$AO$2," ")</f>
        <v xml:space="preserve"> </v>
      </c>
      <c r="AQ5" s="2" t="str">
        <f t="shared" si="12"/>
        <v xml:space="preserve"> </v>
      </c>
      <c r="AR5" s="2" t="str">
        <f t="shared" si="13"/>
        <v xml:space="preserve"> </v>
      </c>
      <c r="AS5" s="4" t="str">
        <f t="shared" si="14"/>
        <v xml:space="preserve"> </v>
      </c>
      <c r="AT5" s="4" t="str">
        <f t="shared" ref="AT5:AT67" si="21">IFERROR(AS5/$AS$2," ")</f>
        <v xml:space="preserve"> </v>
      </c>
      <c r="AU5" s="42" t="str">
        <f t="shared" ref="AU5:AU67" si="22">IFERROR(ROUNDUP(AT5*$AT$1,0)," ")</f>
        <v xml:space="preserve"> </v>
      </c>
      <c r="AV5" s="43" t="str">
        <f t="shared" si="2"/>
        <v xml:space="preserve"> </v>
      </c>
      <c r="AW5" s="44" t="str">
        <f t="shared" si="15"/>
        <v xml:space="preserve"> </v>
      </c>
      <c r="AX5" s="43" t="str">
        <f t="shared" si="16"/>
        <v xml:space="preserve"> </v>
      </c>
      <c r="AY5" s="43" t="str">
        <f t="shared" si="17"/>
        <v xml:space="preserve"> </v>
      </c>
      <c r="AZ5" s="1" t="str">
        <f t="shared" si="18"/>
        <v xml:space="preserve"> </v>
      </c>
      <c r="BA5" s="1" t="str">
        <f t="shared" si="19"/>
        <v xml:space="preserve"> </v>
      </c>
    </row>
    <row r="6" spans="1:56" x14ac:dyDescent="0.3">
      <c r="A6" s="28"/>
      <c r="B6" s="29"/>
      <c r="C6" s="77"/>
      <c r="D6" s="30"/>
      <c r="E6" s="30"/>
      <c r="F6" s="31"/>
      <c r="G6" s="25"/>
      <c r="H6" s="76"/>
      <c r="I6" s="76"/>
      <c r="J6" s="69"/>
      <c r="K6" s="32"/>
      <c r="L6" s="67"/>
      <c r="M6" s="50"/>
      <c r="N6" s="50"/>
      <c r="O6" s="49"/>
      <c r="P6" s="50"/>
      <c r="Q6" s="83"/>
      <c r="R6" s="55"/>
      <c r="S6" s="27"/>
      <c r="T6" s="25"/>
      <c r="U6" s="33"/>
      <c r="V6" s="27"/>
      <c r="W6" s="76"/>
      <c r="X6" s="26"/>
      <c r="Y6" s="26"/>
      <c r="Z6" s="27"/>
      <c r="AA6" s="26"/>
      <c r="AB6" s="26"/>
      <c r="AC6" s="26"/>
      <c r="AD6" s="85"/>
      <c r="AE6" s="27"/>
      <c r="AF6" s="70"/>
      <c r="AG6" s="81">
        <f t="shared" si="3"/>
        <v>0</v>
      </c>
      <c r="AH6" s="90" t="str">
        <f t="shared" si="4"/>
        <v xml:space="preserve"> </v>
      </c>
      <c r="AI6" s="88" t="str">
        <f t="shared" si="5"/>
        <v xml:space="preserve"> </v>
      </c>
      <c r="AJ6" s="13" t="str">
        <f t="shared" si="6"/>
        <v xml:space="preserve"> </v>
      </c>
      <c r="AK6" s="4" t="str">
        <f t="shared" si="7"/>
        <v xml:space="preserve"> </v>
      </c>
      <c r="AL6" s="4" t="str">
        <f t="shared" si="8"/>
        <v xml:space="preserve"> </v>
      </c>
      <c r="AM6" s="13" t="str">
        <f t="shared" si="9"/>
        <v xml:space="preserve"> </v>
      </c>
      <c r="AN6" s="2" t="str">
        <f t="shared" si="10"/>
        <v xml:space="preserve"> </v>
      </c>
      <c r="AO6" s="2" t="str">
        <f t="shared" si="11"/>
        <v xml:space="preserve"> </v>
      </c>
      <c r="AP6" s="9" t="str">
        <f t="shared" si="20"/>
        <v xml:space="preserve"> </v>
      </c>
      <c r="AQ6" s="2" t="str">
        <f t="shared" si="12"/>
        <v xml:space="preserve"> </v>
      </c>
      <c r="AR6" s="2" t="str">
        <f t="shared" si="13"/>
        <v xml:space="preserve"> </v>
      </c>
      <c r="AS6" s="4" t="str">
        <f t="shared" si="14"/>
        <v xml:space="preserve"> </v>
      </c>
      <c r="AT6" s="4" t="str">
        <f t="shared" si="21"/>
        <v xml:space="preserve"> </v>
      </c>
      <c r="AU6" s="42" t="str">
        <f t="shared" si="22"/>
        <v xml:space="preserve"> </v>
      </c>
      <c r="AV6" s="43" t="str">
        <f t="shared" si="2"/>
        <v xml:space="preserve"> </v>
      </c>
      <c r="AW6" s="44" t="str">
        <f t="shared" si="15"/>
        <v xml:space="preserve"> </v>
      </c>
      <c r="AX6" s="43" t="str">
        <f t="shared" si="16"/>
        <v xml:space="preserve"> </v>
      </c>
      <c r="AY6" s="43" t="str">
        <f t="shared" si="17"/>
        <v xml:space="preserve"> </v>
      </c>
      <c r="AZ6" s="1" t="str">
        <f t="shared" si="18"/>
        <v xml:space="preserve"> </v>
      </c>
      <c r="BA6" s="1" t="str">
        <f t="shared" si="19"/>
        <v xml:space="preserve"> </v>
      </c>
    </row>
    <row r="7" spans="1:56" x14ac:dyDescent="0.3">
      <c r="A7" s="28"/>
      <c r="B7" s="29"/>
      <c r="C7" s="77"/>
      <c r="D7" s="30"/>
      <c r="E7" s="30"/>
      <c r="F7" s="31"/>
      <c r="G7" s="25"/>
      <c r="H7" s="76"/>
      <c r="I7" s="76"/>
      <c r="J7" s="69"/>
      <c r="K7" s="32"/>
      <c r="L7" s="67"/>
      <c r="M7" s="50"/>
      <c r="N7" s="50"/>
      <c r="O7" s="49"/>
      <c r="P7" s="50"/>
      <c r="Q7" s="83"/>
      <c r="R7" s="55"/>
      <c r="S7" s="27"/>
      <c r="T7" s="25"/>
      <c r="U7" s="33"/>
      <c r="V7" s="27"/>
      <c r="W7" s="76"/>
      <c r="X7" s="26"/>
      <c r="Y7" s="26"/>
      <c r="Z7" s="27"/>
      <c r="AA7" s="26"/>
      <c r="AB7" s="26"/>
      <c r="AC7" s="26"/>
      <c r="AD7" s="85"/>
      <c r="AE7" s="27"/>
      <c r="AF7" s="70"/>
      <c r="AG7" s="81">
        <f t="shared" si="3"/>
        <v>0</v>
      </c>
      <c r="AH7" s="90" t="str">
        <f t="shared" si="4"/>
        <v xml:space="preserve"> </v>
      </c>
      <c r="AI7" s="88" t="str">
        <f t="shared" si="5"/>
        <v xml:space="preserve"> </v>
      </c>
      <c r="AJ7" s="13" t="str">
        <f t="shared" si="6"/>
        <v xml:space="preserve"> </v>
      </c>
      <c r="AK7" s="4" t="str">
        <f t="shared" si="7"/>
        <v xml:space="preserve"> </v>
      </c>
      <c r="AL7" s="4" t="str">
        <f t="shared" si="8"/>
        <v xml:space="preserve"> </v>
      </c>
      <c r="AM7" s="13" t="str">
        <f t="shared" si="9"/>
        <v xml:space="preserve"> </v>
      </c>
      <c r="AN7" s="2" t="str">
        <f t="shared" si="10"/>
        <v xml:space="preserve"> </v>
      </c>
      <c r="AO7" s="2" t="str">
        <f t="shared" si="11"/>
        <v xml:space="preserve"> </v>
      </c>
      <c r="AP7" s="9" t="str">
        <f t="shared" si="20"/>
        <v xml:space="preserve"> </v>
      </c>
      <c r="AQ7" s="2" t="str">
        <f t="shared" si="12"/>
        <v xml:space="preserve"> </v>
      </c>
      <c r="AR7" s="2" t="str">
        <f t="shared" si="13"/>
        <v xml:space="preserve"> </v>
      </c>
      <c r="AS7" s="4" t="str">
        <f t="shared" si="14"/>
        <v xml:space="preserve"> </v>
      </c>
      <c r="AT7" s="4" t="str">
        <f t="shared" si="21"/>
        <v xml:space="preserve"> </v>
      </c>
      <c r="AU7" s="42" t="str">
        <f t="shared" si="22"/>
        <v xml:space="preserve"> </v>
      </c>
      <c r="AV7" s="43" t="str">
        <f t="shared" si="2"/>
        <v xml:space="preserve"> </v>
      </c>
      <c r="AW7" s="44" t="str">
        <f t="shared" si="15"/>
        <v xml:space="preserve"> </v>
      </c>
      <c r="AX7" s="43" t="str">
        <f t="shared" si="16"/>
        <v xml:space="preserve"> </v>
      </c>
      <c r="AY7" s="43" t="str">
        <f t="shared" si="17"/>
        <v xml:space="preserve"> </v>
      </c>
      <c r="AZ7" s="1" t="str">
        <f t="shared" si="18"/>
        <v xml:space="preserve"> </v>
      </c>
      <c r="BA7" s="1" t="str">
        <f t="shared" si="19"/>
        <v xml:space="preserve"> </v>
      </c>
    </row>
    <row r="8" spans="1:56" x14ac:dyDescent="0.3">
      <c r="A8" s="28"/>
      <c r="B8" s="29"/>
      <c r="C8" s="77"/>
      <c r="D8" s="30"/>
      <c r="E8" s="30"/>
      <c r="F8" s="31"/>
      <c r="G8" s="25"/>
      <c r="H8" s="76"/>
      <c r="I8" s="76"/>
      <c r="J8" s="69"/>
      <c r="K8" s="32"/>
      <c r="L8" s="67"/>
      <c r="M8" s="50"/>
      <c r="N8" s="50"/>
      <c r="O8" s="49"/>
      <c r="P8" s="50"/>
      <c r="Q8" s="83"/>
      <c r="R8" s="55"/>
      <c r="S8" s="27"/>
      <c r="T8" s="25"/>
      <c r="U8" s="33"/>
      <c r="V8" s="27"/>
      <c r="W8" s="76"/>
      <c r="X8" s="26"/>
      <c r="Y8" s="26"/>
      <c r="Z8" s="27"/>
      <c r="AA8" s="26"/>
      <c r="AB8" s="26"/>
      <c r="AC8" s="26"/>
      <c r="AD8" s="85"/>
      <c r="AE8" s="27"/>
      <c r="AF8" s="70"/>
      <c r="AG8" s="81">
        <f t="shared" si="3"/>
        <v>0</v>
      </c>
      <c r="AH8" s="90" t="str">
        <f t="shared" si="4"/>
        <v xml:space="preserve"> </v>
      </c>
      <c r="AI8" s="88" t="str">
        <f t="shared" si="5"/>
        <v xml:space="preserve"> </v>
      </c>
      <c r="AJ8" s="13" t="str">
        <f t="shared" si="6"/>
        <v xml:space="preserve"> </v>
      </c>
      <c r="AK8" s="4" t="str">
        <f t="shared" si="7"/>
        <v xml:space="preserve"> </v>
      </c>
      <c r="AL8" s="4" t="str">
        <f t="shared" si="8"/>
        <v xml:space="preserve"> </v>
      </c>
      <c r="AM8" s="13" t="str">
        <f t="shared" si="9"/>
        <v xml:space="preserve"> </v>
      </c>
      <c r="AN8" s="2" t="str">
        <f t="shared" si="10"/>
        <v xml:space="preserve"> </v>
      </c>
      <c r="AO8" s="2" t="str">
        <f t="shared" si="11"/>
        <v xml:space="preserve"> </v>
      </c>
      <c r="AP8" s="9" t="str">
        <f t="shared" si="20"/>
        <v xml:space="preserve"> </v>
      </c>
      <c r="AQ8" s="2" t="str">
        <f t="shared" si="12"/>
        <v xml:space="preserve"> </v>
      </c>
      <c r="AR8" s="2" t="str">
        <f t="shared" si="13"/>
        <v xml:space="preserve"> </v>
      </c>
      <c r="AS8" s="4" t="str">
        <f t="shared" si="14"/>
        <v xml:space="preserve"> </v>
      </c>
      <c r="AT8" s="4" t="str">
        <f t="shared" si="21"/>
        <v xml:space="preserve"> </v>
      </c>
      <c r="AU8" s="42" t="str">
        <f t="shared" si="22"/>
        <v xml:space="preserve"> </v>
      </c>
      <c r="AV8" s="43" t="str">
        <f t="shared" si="2"/>
        <v xml:space="preserve"> </v>
      </c>
      <c r="AW8" s="44" t="str">
        <f t="shared" si="15"/>
        <v xml:space="preserve"> </v>
      </c>
      <c r="AX8" s="43" t="str">
        <f t="shared" si="16"/>
        <v xml:space="preserve"> </v>
      </c>
      <c r="AY8" s="43" t="str">
        <f t="shared" si="17"/>
        <v xml:space="preserve"> </v>
      </c>
      <c r="AZ8" s="1" t="str">
        <f t="shared" si="18"/>
        <v xml:space="preserve"> </v>
      </c>
      <c r="BA8" s="1" t="str">
        <f t="shared" si="19"/>
        <v xml:space="preserve"> </v>
      </c>
    </row>
    <row r="9" spans="1:56" x14ac:dyDescent="0.3">
      <c r="A9" s="28"/>
      <c r="B9" s="29"/>
      <c r="C9" s="77"/>
      <c r="D9" s="30"/>
      <c r="E9" s="30"/>
      <c r="F9" s="31"/>
      <c r="G9" s="25"/>
      <c r="H9" s="76"/>
      <c r="I9" s="76"/>
      <c r="J9" s="69"/>
      <c r="K9" s="32"/>
      <c r="L9" s="67"/>
      <c r="M9" s="50"/>
      <c r="N9" s="50"/>
      <c r="O9" s="49"/>
      <c r="P9" s="50"/>
      <c r="Q9" s="83"/>
      <c r="R9" s="55"/>
      <c r="S9" s="27"/>
      <c r="T9" s="25"/>
      <c r="U9" s="33"/>
      <c r="V9" s="27"/>
      <c r="W9" s="76"/>
      <c r="X9" s="26"/>
      <c r="Y9" s="26"/>
      <c r="Z9" s="27"/>
      <c r="AA9" s="26"/>
      <c r="AB9" s="26"/>
      <c r="AC9" s="26"/>
      <c r="AD9" s="85"/>
      <c r="AE9" s="27"/>
      <c r="AF9" s="70"/>
      <c r="AG9" s="81">
        <f t="shared" si="3"/>
        <v>0</v>
      </c>
      <c r="AH9" s="90" t="str">
        <f t="shared" si="4"/>
        <v xml:space="preserve"> </v>
      </c>
      <c r="AI9" s="88" t="str">
        <f t="shared" si="5"/>
        <v xml:space="preserve"> </v>
      </c>
      <c r="AJ9" s="13" t="str">
        <f t="shared" si="6"/>
        <v xml:space="preserve"> </v>
      </c>
      <c r="AK9" s="4" t="str">
        <f t="shared" si="7"/>
        <v xml:space="preserve"> </v>
      </c>
      <c r="AL9" s="4" t="str">
        <f t="shared" si="8"/>
        <v xml:space="preserve"> </v>
      </c>
      <c r="AM9" s="13" t="str">
        <f t="shared" si="9"/>
        <v xml:space="preserve"> </v>
      </c>
      <c r="AN9" s="2" t="str">
        <f t="shared" si="10"/>
        <v xml:space="preserve"> </v>
      </c>
      <c r="AO9" s="2" t="str">
        <f t="shared" si="11"/>
        <v xml:space="preserve"> </v>
      </c>
      <c r="AP9" s="9" t="str">
        <f t="shared" si="20"/>
        <v xml:space="preserve"> </v>
      </c>
      <c r="AQ9" s="2" t="str">
        <f t="shared" si="12"/>
        <v xml:space="preserve"> </v>
      </c>
      <c r="AR9" s="2" t="str">
        <f t="shared" si="13"/>
        <v xml:space="preserve"> </v>
      </c>
      <c r="AS9" s="4" t="str">
        <f t="shared" si="14"/>
        <v xml:space="preserve"> </v>
      </c>
      <c r="AT9" s="4" t="str">
        <f t="shared" si="21"/>
        <v xml:space="preserve"> </v>
      </c>
      <c r="AU9" s="42" t="str">
        <f t="shared" si="22"/>
        <v xml:space="preserve"> </v>
      </c>
      <c r="AV9" s="43" t="str">
        <f t="shared" si="2"/>
        <v xml:space="preserve"> </v>
      </c>
      <c r="AW9" s="44" t="str">
        <f t="shared" si="15"/>
        <v xml:space="preserve"> </v>
      </c>
      <c r="AX9" s="43" t="str">
        <f t="shared" si="16"/>
        <v xml:space="preserve"> </v>
      </c>
      <c r="AY9" s="43" t="str">
        <f t="shared" si="17"/>
        <v xml:space="preserve"> </v>
      </c>
      <c r="AZ9" s="1" t="str">
        <f t="shared" si="18"/>
        <v xml:space="preserve"> </v>
      </c>
      <c r="BA9" s="1" t="str">
        <f t="shared" si="19"/>
        <v xml:space="preserve"> </v>
      </c>
    </row>
    <row r="10" spans="1:56" x14ac:dyDescent="0.3">
      <c r="A10" s="28"/>
      <c r="B10" s="29"/>
      <c r="C10" s="77"/>
      <c r="D10" s="30"/>
      <c r="E10" s="30"/>
      <c r="F10" s="31"/>
      <c r="G10" s="25"/>
      <c r="H10" s="76"/>
      <c r="I10" s="76"/>
      <c r="J10" s="69"/>
      <c r="K10" s="32"/>
      <c r="L10" s="67"/>
      <c r="M10" s="50"/>
      <c r="N10" s="50"/>
      <c r="O10" s="49"/>
      <c r="P10" s="50"/>
      <c r="Q10" s="83"/>
      <c r="R10" s="55"/>
      <c r="S10" s="27"/>
      <c r="T10" s="25"/>
      <c r="U10" s="33"/>
      <c r="V10" s="27"/>
      <c r="W10" s="76"/>
      <c r="X10" s="26"/>
      <c r="Y10" s="26"/>
      <c r="Z10" s="27"/>
      <c r="AA10" s="26"/>
      <c r="AB10" s="26"/>
      <c r="AC10" s="26"/>
      <c r="AD10" s="85"/>
      <c r="AE10" s="27"/>
      <c r="AF10" s="70"/>
      <c r="AG10" s="81">
        <f t="shared" si="3"/>
        <v>0</v>
      </c>
      <c r="AH10" s="90" t="str">
        <f t="shared" si="4"/>
        <v xml:space="preserve"> </v>
      </c>
      <c r="AI10" s="88" t="str">
        <f t="shared" si="5"/>
        <v xml:space="preserve"> </v>
      </c>
      <c r="AJ10" s="13" t="str">
        <f t="shared" si="6"/>
        <v xml:space="preserve"> </v>
      </c>
      <c r="AK10" s="4" t="str">
        <f t="shared" si="7"/>
        <v xml:space="preserve"> </v>
      </c>
      <c r="AL10" s="4" t="str">
        <f t="shared" si="8"/>
        <v xml:space="preserve"> </v>
      </c>
      <c r="AM10" s="13" t="str">
        <f t="shared" si="9"/>
        <v xml:space="preserve"> </v>
      </c>
      <c r="AN10" s="2" t="str">
        <f t="shared" si="10"/>
        <v xml:space="preserve"> </v>
      </c>
      <c r="AO10" s="2" t="str">
        <f t="shared" si="11"/>
        <v xml:space="preserve"> </v>
      </c>
      <c r="AP10" s="9" t="str">
        <f t="shared" si="20"/>
        <v xml:space="preserve"> </v>
      </c>
      <c r="AQ10" s="2" t="str">
        <f t="shared" si="12"/>
        <v xml:space="preserve"> </v>
      </c>
      <c r="AR10" s="2" t="str">
        <f t="shared" si="13"/>
        <v xml:space="preserve"> </v>
      </c>
      <c r="AS10" s="4" t="str">
        <f t="shared" si="14"/>
        <v xml:space="preserve"> </v>
      </c>
      <c r="AT10" s="4" t="str">
        <f t="shared" si="21"/>
        <v xml:space="preserve"> </v>
      </c>
      <c r="AU10" s="42" t="str">
        <f t="shared" si="22"/>
        <v xml:space="preserve"> </v>
      </c>
      <c r="AV10" s="43" t="str">
        <f t="shared" si="2"/>
        <v xml:space="preserve"> </v>
      </c>
      <c r="AW10" s="44" t="str">
        <f t="shared" si="15"/>
        <v xml:space="preserve"> </v>
      </c>
      <c r="AX10" s="43" t="str">
        <f t="shared" si="16"/>
        <v xml:space="preserve"> </v>
      </c>
      <c r="AY10" s="43" t="str">
        <f t="shared" si="17"/>
        <v xml:space="preserve"> </v>
      </c>
      <c r="AZ10" s="1" t="str">
        <f t="shared" si="18"/>
        <v xml:space="preserve"> </v>
      </c>
      <c r="BA10" s="1" t="str">
        <f t="shared" si="19"/>
        <v xml:space="preserve"> </v>
      </c>
    </row>
    <row r="11" spans="1:56" x14ac:dyDescent="0.3">
      <c r="A11" s="28"/>
      <c r="B11" s="29"/>
      <c r="C11" s="77"/>
      <c r="D11" s="30"/>
      <c r="E11" s="30"/>
      <c r="F11" s="31"/>
      <c r="G11" s="25"/>
      <c r="H11" s="76"/>
      <c r="I11" s="76"/>
      <c r="J11" s="69"/>
      <c r="K11" s="32"/>
      <c r="L11" s="67"/>
      <c r="M11" s="50"/>
      <c r="N11" s="50"/>
      <c r="O11" s="49"/>
      <c r="P11" s="50"/>
      <c r="Q11" s="83"/>
      <c r="R11" s="55"/>
      <c r="S11" s="27"/>
      <c r="T11" s="25"/>
      <c r="U11" s="33"/>
      <c r="V11" s="27"/>
      <c r="W11" s="76"/>
      <c r="X11" s="26"/>
      <c r="Y11" s="26"/>
      <c r="Z11" s="27"/>
      <c r="AA11" s="26"/>
      <c r="AB11" s="26"/>
      <c r="AC11" s="26"/>
      <c r="AD11" s="85"/>
      <c r="AE11" s="27"/>
      <c r="AF11" s="70"/>
      <c r="AG11" s="81">
        <f t="shared" si="3"/>
        <v>0</v>
      </c>
      <c r="AH11" s="90" t="str">
        <f t="shared" si="4"/>
        <v xml:space="preserve"> </v>
      </c>
      <c r="AI11" s="88" t="str">
        <f t="shared" si="5"/>
        <v xml:space="preserve"> </v>
      </c>
      <c r="AJ11" s="13" t="str">
        <f t="shared" si="6"/>
        <v xml:space="preserve"> </v>
      </c>
      <c r="AK11" s="4" t="str">
        <f t="shared" si="7"/>
        <v xml:space="preserve"> </v>
      </c>
      <c r="AL11" s="4" t="str">
        <f t="shared" si="8"/>
        <v xml:space="preserve"> </v>
      </c>
      <c r="AM11" s="13" t="str">
        <f t="shared" si="9"/>
        <v xml:space="preserve"> </v>
      </c>
      <c r="AN11" s="2" t="str">
        <f t="shared" si="10"/>
        <v xml:space="preserve"> </v>
      </c>
      <c r="AO11" s="2" t="str">
        <f t="shared" si="11"/>
        <v xml:space="preserve"> </v>
      </c>
      <c r="AP11" s="9" t="str">
        <f t="shared" si="20"/>
        <v xml:space="preserve"> </v>
      </c>
      <c r="AQ11" s="2" t="str">
        <f t="shared" si="12"/>
        <v xml:space="preserve"> </v>
      </c>
      <c r="AR11" s="2" t="str">
        <f t="shared" si="13"/>
        <v xml:space="preserve"> </v>
      </c>
      <c r="AS11" s="4" t="str">
        <f t="shared" si="14"/>
        <v xml:space="preserve"> </v>
      </c>
      <c r="AT11" s="4" t="str">
        <f t="shared" si="21"/>
        <v xml:space="preserve"> </v>
      </c>
      <c r="AU11" s="42" t="str">
        <f t="shared" si="22"/>
        <v xml:space="preserve"> </v>
      </c>
      <c r="AV11" s="43" t="str">
        <f t="shared" si="2"/>
        <v xml:space="preserve"> </v>
      </c>
      <c r="AW11" s="44" t="str">
        <f t="shared" si="15"/>
        <v xml:space="preserve"> </v>
      </c>
      <c r="AX11" s="43" t="str">
        <f t="shared" si="16"/>
        <v xml:space="preserve"> </v>
      </c>
      <c r="AY11" s="43" t="str">
        <f t="shared" si="17"/>
        <v xml:space="preserve"> </v>
      </c>
      <c r="AZ11" s="1" t="str">
        <f t="shared" si="18"/>
        <v xml:space="preserve"> </v>
      </c>
      <c r="BA11" s="1" t="str">
        <f t="shared" si="19"/>
        <v xml:space="preserve"> </v>
      </c>
    </row>
    <row r="12" spans="1:56" x14ac:dyDescent="0.3">
      <c r="A12" s="28"/>
      <c r="B12" s="29"/>
      <c r="C12" s="77"/>
      <c r="D12" s="30"/>
      <c r="E12" s="30"/>
      <c r="F12" s="31"/>
      <c r="G12" s="25"/>
      <c r="H12" s="76"/>
      <c r="I12" s="76"/>
      <c r="J12" s="69"/>
      <c r="K12" s="32"/>
      <c r="L12" s="67"/>
      <c r="M12" s="50"/>
      <c r="N12" s="50"/>
      <c r="O12" s="49"/>
      <c r="P12" s="50"/>
      <c r="Q12" s="83"/>
      <c r="R12" s="55"/>
      <c r="S12" s="27"/>
      <c r="T12" s="25"/>
      <c r="U12" s="33"/>
      <c r="V12" s="27"/>
      <c r="W12" s="76"/>
      <c r="X12" s="26"/>
      <c r="Y12" s="26"/>
      <c r="Z12" s="27"/>
      <c r="AA12" s="26"/>
      <c r="AB12" s="26"/>
      <c r="AC12" s="26"/>
      <c r="AD12" s="85"/>
      <c r="AE12" s="27"/>
      <c r="AF12" s="70"/>
      <c r="AG12" s="81">
        <f t="shared" si="3"/>
        <v>0</v>
      </c>
      <c r="AH12" s="90" t="str">
        <f t="shared" si="4"/>
        <v xml:space="preserve"> </v>
      </c>
      <c r="AI12" s="88" t="str">
        <f t="shared" si="5"/>
        <v xml:space="preserve"> </v>
      </c>
      <c r="AJ12" s="13" t="str">
        <f t="shared" si="6"/>
        <v xml:space="preserve"> </v>
      </c>
      <c r="AK12" s="4" t="str">
        <f t="shared" si="7"/>
        <v xml:space="preserve"> </v>
      </c>
      <c r="AL12" s="4" t="str">
        <f t="shared" si="8"/>
        <v xml:space="preserve"> </v>
      </c>
      <c r="AM12" s="13" t="str">
        <f t="shared" si="9"/>
        <v xml:space="preserve"> </v>
      </c>
      <c r="AN12" s="2" t="str">
        <f t="shared" si="10"/>
        <v xml:space="preserve"> </v>
      </c>
      <c r="AO12" s="2" t="str">
        <f t="shared" si="11"/>
        <v xml:space="preserve"> </v>
      </c>
      <c r="AP12" s="9" t="str">
        <f t="shared" si="20"/>
        <v xml:space="preserve"> </v>
      </c>
      <c r="AQ12" s="2" t="str">
        <f t="shared" si="12"/>
        <v xml:space="preserve"> </v>
      </c>
      <c r="AR12" s="2" t="str">
        <f t="shared" si="13"/>
        <v xml:space="preserve"> </v>
      </c>
      <c r="AS12" s="4" t="str">
        <f t="shared" si="14"/>
        <v xml:space="preserve"> </v>
      </c>
      <c r="AT12" s="4" t="str">
        <f t="shared" si="21"/>
        <v xml:space="preserve"> </v>
      </c>
      <c r="AU12" s="42" t="str">
        <f t="shared" si="22"/>
        <v xml:space="preserve"> </v>
      </c>
      <c r="AV12" s="43" t="str">
        <f t="shared" si="2"/>
        <v xml:space="preserve"> </v>
      </c>
      <c r="AW12" s="44" t="str">
        <f t="shared" si="15"/>
        <v xml:space="preserve"> </v>
      </c>
      <c r="AX12" s="43" t="str">
        <f t="shared" si="16"/>
        <v xml:space="preserve"> </v>
      </c>
      <c r="AY12" s="43" t="str">
        <f t="shared" si="17"/>
        <v xml:space="preserve"> </v>
      </c>
      <c r="AZ12" s="1" t="str">
        <f t="shared" si="18"/>
        <v xml:space="preserve"> </v>
      </c>
      <c r="BA12" s="1" t="str">
        <f t="shared" si="19"/>
        <v xml:space="preserve"> </v>
      </c>
    </row>
    <row r="13" spans="1:56" x14ac:dyDescent="0.3">
      <c r="A13" s="28"/>
      <c r="B13" s="29"/>
      <c r="C13" s="29"/>
      <c r="D13" s="30"/>
      <c r="E13" s="30"/>
      <c r="F13" s="31"/>
      <c r="G13" s="25"/>
      <c r="H13" s="76"/>
      <c r="I13" s="76"/>
      <c r="J13" s="69"/>
      <c r="K13" s="32"/>
      <c r="L13" s="67"/>
      <c r="M13" s="50"/>
      <c r="N13" s="50"/>
      <c r="O13" s="49"/>
      <c r="P13" s="50"/>
      <c r="Q13" s="83"/>
      <c r="R13" s="55"/>
      <c r="S13" s="27"/>
      <c r="T13" s="25"/>
      <c r="U13" s="33"/>
      <c r="V13" s="27"/>
      <c r="W13" s="76"/>
      <c r="X13" s="26"/>
      <c r="Y13" s="26"/>
      <c r="Z13" s="27"/>
      <c r="AA13" s="26"/>
      <c r="AB13" s="26"/>
      <c r="AC13" s="26"/>
      <c r="AD13" s="85"/>
      <c r="AE13" s="27"/>
      <c r="AF13" s="70"/>
      <c r="AG13" s="81">
        <f t="shared" si="3"/>
        <v>0</v>
      </c>
      <c r="AH13" s="90" t="str">
        <f t="shared" si="4"/>
        <v xml:space="preserve"> </v>
      </c>
      <c r="AI13" s="88" t="str">
        <f t="shared" si="5"/>
        <v xml:space="preserve"> </v>
      </c>
      <c r="AJ13" s="13" t="str">
        <f t="shared" si="6"/>
        <v xml:space="preserve"> </v>
      </c>
      <c r="AK13" s="4" t="str">
        <f t="shared" si="7"/>
        <v xml:space="preserve"> </v>
      </c>
      <c r="AL13" s="4" t="str">
        <f t="shared" si="8"/>
        <v xml:space="preserve"> </v>
      </c>
      <c r="AM13" s="13" t="str">
        <f t="shared" si="9"/>
        <v xml:space="preserve"> </v>
      </c>
      <c r="AN13" s="2" t="str">
        <f t="shared" si="10"/>
        <v xml:space="preserve"> </v>
      </c>
      <c r="AO13" s="2" t="str">
        <f t="shared" si="11"/>
        <v xml:space="preserve"> </v>
      </c>
      <c r="AP13" s="9" t="str">
        <f t="shared" si="20"/>
        <v xml:space="preserve"> </v>
      </c>
      <c r="AQ13" s="2" t="str">
        <f t="shared" si="12"/>
        <v xml:space="preserve"> </v>
      </c>
      <c r="AR13" s="2" t="str">
        <f t="shared" si="13"/>
        <v xml:space="preserve"> </v>
      </c>
      <c r="AS13" s="4" t="str">
        <f t="shared" si="14"/>
        <v xml:space="preserve"> </v>
      </c>
      <c r="AT13" s="4" t="str">
        <f t="shared" si="21"/>
        <v xml:space="preserve"> </v>
      </c>
      <c r="AU13" s="42" t="str">
        <f t="shared" si="22"/>
        <v xml:space="preserve"> </v>
      </c>
      <c r="AV13" s="43" t="str">
        <f t="shared" si="2"/>
        <v xml:space="preserve"> </v>
      </c>
      <c r="AW13" s="44" t="str">
        <f t="shared" si="15"/>
        <v xml:space="preserve"> </v>
      </c>
      <c r="AX13" s="43" t="str">
        <f t="shared" si="16"/>
        <v xml:space="preserve"> </v>
      </c>
      <c r="AY13" s="43" t="str">
        <f t="shared" si="17"/>
        <v xml:space="preserve"> </v>
      </c>
      <c r="AZ13" s="1" t="str">
        <f t="shared" si="18"/>
        <v xml:space="preserve"> </v>
      </c>
      <c r="BA13" s="1" t="str">
        <f t="shared" si="19"/>
        <v xml:space="preserve"> </v>
      </c>
    </row>
    <row r="14" spans="1:56" x14ac:dyDescent="0.3">
      <c r="A14" s="28"/>
      <c r="B14" s="29"/>
      <c r="C14" s="29"/>
      <c r="D14" s="30"/>
      <c r="E14" s="30"/>
      <c r="F14" s="31"/>
      <c r="G14" s="25"/>
      <c r="H14" s="76"/>
      <c r="I14" s="76"/>
      <c r="J14" s="69"/>
      <c r="K14" s="32"/>
      <c r="L14" s="67"/>
      <c r="M14" s="50"/>
      <c r="N14" s="50"/>
      <c r="O14" s="49"/>
      <c r="P14" s="50"/>
      <c r="Q14" s="83"/>
      <c r="R14" s="55"/>
      <c r="S14" s="27"/>
      <c r="T14" s="25"/>
      <c r="U14" s="33"/>
      <c r="V14" s="27"/>
      <c r="W14" s="76"/>
      <c r="X14" s="26"/>
      <c r="Y14" s="26"/>
      <c r="Z14" s="27"/>
      <c r="AA14" s="26"/>
      <c r="AB14" s="26"/>
      <c r="AC14" s="26"/>
      <c r="AD14" s="85"/>
      <c r="AE14" s="27"/>
      <c r="AF14" s="70"/>
      <c r="AG14" s="81">
        <f t="shared" si="3"/>
        <v>0</v>
      </c>
      <c r="AH14" s="90" t="str">
        <f t="shared" si="4"/>
        <v xml:space="preserve"> </v>
      </c>
      <c r="AI14" s="88" t="str">
        <f t="shared" si="5"/>
        <v xml:space="preserve"> </v>
      </c>
      <c r="AJ14" s="13" t="str">
        <f t="shared" si="6"/>
        <v xml:space="preserve"> </v>
      </c>
      <c r="AK14" s="4" t="str">
        <f t="shared" si="7"/>
        <v xml:space="preserve"> </v>
      </c>
      <c r="AL14" s="4" t="str">
        <f t="shared" si="8"/>
        <v xml:space="preserve"> </v>
      </c>
      <c r="AM14" s="13" t="str">
        <f t="shared" ref="AM14:AM24" si="23">IF(AJ14=" "," ",IF(AJ14="LAY"," ",IF(AJ14&lt;&gt;"LAY",ROUNDUP(AL14*$AT$1,0))))</f>
        <v xml:space="preserve"> </v>
      </c>
      <c r="AN14" s="2" t="str">
        <f t="shared" ref="AN14:AN24" si="24">IF(AJ14="AMANDA",(1+B14)," ")</f>
        <v xml:space="preserve"> </v>
      </c>
      <c r="AO14" s="2" t="str">
        <f t="shared" ref="AO14:AO24" si="25">IFERROR(100/AN14," ")</f>
        <v xml:space="preserve"> </v>
      </c>
      <c r="AP14" s="9" t="str">
        <f t="shared" ref="AP14:AP24" si="26">IFERROR(AO14/$AO$2," ")</f>
        <v xml:space="preserve"> </v>
      </c>
      <c r="AQ14" s="2" t="str">
        <f t="shared" ref="AQ14:AQ24" si="27">IFERROR(ROUNDUP($AN$2/AN14,0)," ")</f>
        <v xml:space="preserve"> </v>
      </c>
      <c r="AR14" s="2" t="str">
        <f t="shared" ref="AR14:AR24" si="28">IFERROR(AN14*AQ14," ")</f>
        <v xml:space="preserve"> </v>
      </c>
      <c r="AS14" s="4" t="str">
        <f t="shared" si="14"/>
        <v xml:space="preserve"> </v>
      </c>
      <c r="AT14" s="4" t="str">
        <f t="shared" ref="AT14:AT24" si="29">IFERROR(AS14/$AS$2," ")</f>
        <v xml:space="preserve"> </v>
      </c>
      <c r="AU14" s="42" t="str">
        <f t="shared" ref="AU14:AU24" si="30">IFERROR(ROUNDUP(AT14*$AT$1,0)," ")</f>
        <v xml:space="preserve"> </v>
      </c>
      <c r="AV14" s="43" t="str">
        <f t="shared" si="2"/>
        <v xml:space="preserve"> </v>
      </c>
      <c r="AW14" s="44" t="str">
        <f t="shared" si="15"/>
        <v xml:space="preserve"> </v>
      </c>
      <c r="AX14" s="43" t="str">
        <f t="shared" ref="AX14:AX24" si="31">IFERROR(AW14-AU14," ")</f>
        <v xml:space="preserve"> </v>
      </c>
      <c r="AY14" s="43" t="str">
        <f t="shared" si="17"/>
        <v xml:space="preserve"> </v>
      </c>
      <c r="AZ14" s="1" t="str">
        <f t="shared" ref="AZ14:AZ24" si="32">IFERROR(AY14/$AU$2," ")</f>
        <v xml:space="preserve"> </v>
      </c>
      <c r="BA14" s="1" t="str">
        <f t="shared" ref="BA14:BA24" si="33">IFERROR((AX14/$AU$2)," ")</f>
        <v xml:space="preserve"> </v>
      </c>
    </row>
    <row r="15" spans="1:56" x14ac:dyDescent="0.3">
      <c r="A15" s="28"/>
      <c r="B15" s="29"/>
      <c r="C15" s="29"/>
      <c r="D15" s="30"/>
      <c r="E15" s="30"/>
      <c r="F15" s="31"/>
      <c r="G15" s="25"/>
      <c r="H15" s="76"/>
      <c r="I15" s="76"/>
      <c r="J15" s="69"/>
      <c r="K15" s="32"/>
      <c r="L15" s="67"/>
      <c r="M15" s="50"/>
      <c r="N15" s="50"/>
      <c r="O15" s="49"/>
      <c r="P15" s="50"/>
      <c r="Q15" s="83"/>
      <c r="R15" s="55"/>
      <c r="S15" s="27"/>
      <c r="T15" s="25"/>
      <c r="U15" s="33"/>
      <c r="V15" s="27"/>
      <c r="W15" s="76"/>
      <c r="X15" s="26"/>
      <c r="Y15" s="26"/>
      <c r="Z15" s="27"/>
      <c r="AA15" s="26"/>
      <c r="AB15" s="26"/>
      <c r="AC15" s="26"/>
      <c r="AD15" s="85"/>
      <c r="AE15" s="27"/>
      <c r="AF15" s="70"/>
      <c r="AG15" s="81">
        <f t="shared" si="3"/>
        <v>0</v>
      </c>
      <c r="AH15" s="90" t="str">
        <f t="shared" si="4"/>
        <v xml:space="preserve"> </v>
      </c>
      <c r="AI15" s="88" t="str">
        <f t="shared" si="5"/>
        <v xml:space="preserve"> </v>
      </c>
      <c r="AJ15" s="13" t="str">
        <f t="shared" si="6"/>
        <v xml:space="preserve"> </v>
      </c>
      <c r="AK15" s="4" t="str">
        <f t="shared" si="7"/>
        <v xml:space="preserve"> </v>
      </c>
      <c r="AL15" s="4" t="str">
        <f t="shared" si="8"/>
        <v xml:space="preserve"> </v>
      </c>
      <c r="AM15" s="13" t="str">
        <f t="shared" si="23"/>
        <v xml:space="preserve"> </v>
      </c>
      <c r="AN15" s="2" t="str">
        <f t="shared" si="24"/>
        <v xml:space="preserve"> </v>
      </c>
      <c r="AO15" s="2" t="str">
        <f t="shared" si="25"/>
        <v xml:space="preserve"> </v>
      </c>
      <c r="AP15" s="9" t="str">
        <f t="shared" si="26"/>
        <v xml:space="preserve"> </v>
      </c>
      <c r="AQ15" s="2" t="str">
        <f t="shared" si="27"/>
        <v xml:space="preserve"> </v>
      </c>
      <c r="AR15" s="2" t="str">
        <f t="shared" si="28"/>
        <v xml:space="preserve"> </v>
      </c>
      <c r="AS15" s="4" t="str">
        <f t="shared" si="14"/>
        <v xml:space="preserve"> </v>
      </c>
      <c r="AT15" s="4" t="str">
        <f t="shared" si="29"/>
        <v xml:space="preserve"> </v>
      </c>
      <c r="AU15" s="42" t="str">
        <f t="shared" si="30"/>
        <v xml:space="preserve"> </v>
      </c>
      <c r="AV15" s="43" t="str">
        <f t="shared" si="2"/>
        <v xml:space="preserve"> </v>
      </c>
      <c r="AW15" s="44" t="str">
        <f t="shared" si="15"/>
        <v xml:space="preserve"> </v>
      </c>
      <c r="AX15" s="43" t="str">
        <f t="shared" si="31"/>
        <v xml:space="preserve"> </v>
      </c>
      <c r="AY15" s="43" t="str">
        <f t="shared" si="17"/>
        <v xml:space="preserve"> </v>
      </c>
      <c r="AZ15" s="1" t="str">
        <f t="shared" si="32"/>
        <v xml:space="preserve"> </v>
      </c>
      <c r="BA15" s="1" t="str">
        <f t="shared" si="33"/>
        <v xml:space="preserve"> </v>
      </c>
    </row>
    <row r="16" spans="1:56" x14ac:dyDescent="0.3">
      <c r="A16" s="28"/>
      <c r="B16" s="29"/>
      <c r="C16" s="29"/>
      <c r="D16" s="30"/>
      <c r="E16" s="30"/>
      <c r="F16" s="31"/>
      <c r="G16" s="25"/>
      <c r="H16" s="76"/>
      <c r="I16" s="76"/>
      <c r="J16" s="69"/>
      <c r="K16" s="32"/>
      <c r="L16" s="67"/>
      <c r="M16" s="50"/>
      <c r="N16" s="50"/>
      <c r="O16" s="49"/>
      <c r="P16" s="50"/>
      <c r="Q16" s="83"/>
      <c r="R16" s="55"/>
      <c r="S16" s="27"/>
      <c r="T16" s="25"/>
      <c r="U16" s="33"/>
      <c r="V16" s="27"/>
      <c r="W16" s="76"/>
      <c r="X16" s="26"/>
      <c r="Y16" s="26"/>
      <c r="Z16" s="27"/>
      <c r="AA16" s="26"/>
      <c r="AB16" s="26"/>
      <c r="AC16" s="26"/>
      <c r="AD16" s="85"/>
      <c r="AE16" s="27"/>
      <c r="AF16" s="70"/>
      <c r="AG16" s="81">
        <f t="shared" si="3"/>
        <v>0</v>
      </c>
      <c r="AH16" s="90" t="str">
        <f t="shared" si="4"/>
        <v xml:space="preserve"> </v>
      </c>
      <c r="AI16" s="88" t="str">
        <f t="shared" si="5"/>
        <v xml:space="preserve"> </v>
      </c>
      <c r="AJ16" s="13" t="str">
        <f t="shared" si="6"/>
        <v xml:space="preserve"> </v>
      </c>
      <c r="AK16" s="4" t="str">
        <f t="shared" si="7"/>
        <v xml:space="preserve"> </v>
      </c>
      <c r="AL16" s="4" t="str">
        <f t="shared" si="8"/>
        <v xml:space="preserve"> </v>
      </c>
      <c r="AM16" s="13" t="str">
        <f t="shared" si="23"/>
        <v xml:space="preserve"> </v>
      </c>
      <c r="AN16" s="2" t="str">
        <f t="shared" si="24"/>
        <v xml:space="preserve"> </v>
      </c>
      <c r="AO16" s="2" t="str">
        <f t="shared" si="25"/>
        <v xml:space="preserve"> </v>
      </c>
      <c r="AP16" s="9" t="str">
        <f t="shared" si="26"/>
        <v xml:space="preserve"> </v>
      </c>
      <c r="AQ16" s="2" t="str">
        <f t="shared" si="27"/>
        <v xml:space="preserve"> </v>
      </c>
      <c r="AR16" s="2" t="str">
        <f t="shared" si="28"/>
        <v xml:space="preserve"> </v>
      </c>
      <c r="AS16" s="4" t="str">
        <f t="shared" si="14"/>
        <v xml:space="preserve"> </v>
      </c>
      <c r="AT16" s="4" t="str">
        <f t="shared" si="29"/>
        <v xml:space="preserve"> </v>
      </c>
      <c r="AU16" s="42" t="str">
        <f t="shared" si="30"/>
        <v xml:space="preserve"> </v>
      </c>
      <c r="AV16" s="43" t="str">
        <f t="shared" si="2"/>
        <v xml:space="preserve"> </v>
      </c>
      <c r="AW16" s="44" t="str">
        <f t="shared" si="15"/>
        <v xml:space="preserve"> </v>
      </c>
      <c r="AX16" s="43" t="str">
        <f t="shared" si="31"/>
        <v xml:space="preserve"> </v>
      </c>
      <c r="AY16" s="43" t="str">
        <f t="shared" si="17"/>
        <v xml:space="preserve"> </v>
      </c>
      <c r="AZ16" s="1" t="str">
        <f t="shared" si="32"/>
        <v xml:space="preserve"> </v>
      </c>
      <c r="BA16" s="1" t="str">
        <f t="shared" si="33"/>
        <v xml:space="preserve"> </v>
      </c>
    </row>
    <row r="17" spans="1:53" x14ac:dyDescent="0.3">
      <c r="A17" s="28"/>
      <c r="B17" s="29"/>
      <c r="C17" s="29"/>
      <c r="D17" s="30"/>
      <c r="E17" s="30"/>
      <c r="F17" s="31"/>
      <c r="G17" s="25"/>
      <c r="H17" s="76"/>
      <c r="I17" s="76"/>
      <c r="J17" s="69"/>
      <c r="K17" s="32"/>
      <c r="L17" s="67"/>
      <c r="M17" s="50"/>
      <c r="N17" s="50"/>
      <c r="O17" s="49"/>
      <c r="P17" s="50"/>
      <c r="Q17" s="83"/>
      <c r="R17" s="55"/>
      <c r="S17" s="27"/>
      <c r="T17" s="25"/>
      <c r="U17" s="33"/>
      <c r="V17" s="27"/>
      <c r="W17" s="76"/>
      <c r="X17" s="26"/>
      <c r="Y17" s="26"/>
      <c r="Z17" s="27"/>
      <c r="AA17" s="26"/>
      <c r="AB17" s="26"/>
      <c r="AC17" s="26"/>
      <c r="AD17" s="85"/>
      <c r="AE17" s="27"/>
      <c r="AF17" s="70"/>
      <c r="AG17" s="81">
        <f t="shared" si="3"/>
        <v>0</v>
      </c>
      <c r="AH17" s="90" t="str">
        <f t="shared" si="4"/>
        <v xml:space="preserve"> </v>
      </c>
      <c r="AI17" s="88" t="str">
        <f t="shared" si="5"/>
        <v xml:space="preserve"> </v>
      </c>
      <c r="AJ17" s="13" t="str">
        <f t="shared" si="6"/>
        <v xml:space="preserve"> </v>
      </c>
      <c r="AK17" s="4" t="str">
        <f t="shared" si="7"/>
        <v xml:space="preserve"> </v>
      </c>
      <c r="AL17" s="4" t="str">
        <f t="shared" si="8"/>
        <v xml:space="preserve"> </v>
      </c>
      <c r="AM17" s="13" t="str">
        <f t="shared" si="23"/>
        <v xml:space="preserve"> </v>
      </c>
      <c r="AN17" s="2" t="str">
        <f t="shared" si="24"/>
        <v xml:space="preserve"> </v>
      </c>
      <c r="AO17" s="2" t="str">
        <f t="shared" si="25"/>
        <v xml:space="preserve"> </v>
      </c>
      <c r="AP17" s="9" t="str">
        <f t="shared" si="26"/>
        <v xml:space="preserve"> </v>
      </c>
      <c r="AQ17" s="2" t="str">
        <f t="shared" si="27"/>
        <v xml:space="preserve"> </v>
      </c>
      <c r="AR17" s="2" t="str">
        <f t="shared" si="28"/>
        <v xml:space="preserve"> </v>
      </c>
      <c r="AS17" s="4" t="str">
        <f t="shared" si="14"/>
        <v xml:space="preserve"> </v>
      </c>
      <c r="AT17" s="4" t="str">
        <f t="shared" si="29"/>
        <v xml:space="preserve"> </v>
      </c>
      <c r="AU17" s="42" t="str">
        <f t="shared" si="30"/>
        <v xml:space="preserve"> </v>
      </c>
      <c r="AV17" s="43" t="str">
        <f t="shared" si="2"/>
        <v xml:space="preserve"> </v>
      </c>
      <c r="AW17" s="44" t="str">
        <f t="shared" si="15"/>
        <v xml:space="preserve"> </v>
      </c>
      <c r="AX17" s="43" t="str">
        <f t="shared" si="31"/>
        <v xml:space="preserve"> </v>
      </c>
      <c r="AY17" s="43" t="str">
        <f t="shared" si="17"/>
        <v xml:space="preserve"> </v>
      </c>
      <c r="AZ17" s="1" t="str">
        <f t="shared" si="32"/>
        <v xml:space="preserve"> </v>
      </c>
      <c r="BA17" s="1" t="str">
        <f t="shared" si="33"/>
        <v xml:space="preserve"> </v>
      </c>
    </row>
    <row r="18" spans="1:53" x14ac:dyDescent="0.3">
      <c r="A18" s="28"/>
      <c r="B18" s="29"/>
      <c r="C18" s="29"/>
      <c r="D18" s="30"/>
      <c r="E18" s="30"/>
      <c r="F18" s="31"/>
      <c r="G18" s="25"/>
      <c r="H18" s="76"/>
      <c r="I18" s="76"/>
      <c r="J18" s="69"/>
      <c r="K18" s="32"/>
      <c r="L18" s="67"/>
      <c r="M18" s="50"/>
      <c r="N18" s="50"/>
      <c r="O18" s="49"/>
      <c r="P18" s="50"/>
      <c r="Q18" s="83"/>
      <c r="R18" s="55"/>
      <c r="S18" s="27"/>
      <c r="T18" s="25"/>
      <c r="U18" s="33"/>
      <c r="V18" s="27"/>
      <c r="W18" s="76"/>
      <c r="X18" s="26"/>
      <c r="Y18" s="26"/>
      <c r="Z18" s="27"/>
      <c r="AA18" s="26"/>
      <c r="AB18" s="26"/>
      <c r="AC18" s="26"/>
      <c r="AD18" s="85"/>
      <c r="AE18" s="27"/>
      <c r="AF18" s="70"/>
      <c r="AG18" s="81">
        <f t="shared" si="3"/>
        <v>0</v>
      </c>
      <c r="AH18" s="90" t="str">
        <f t="shared" si="4"/>
        <v xml:space="preserve"> </v>
      </c>
      <c r="AI18" s="88" t="str">
        <f t="shared" si="5"/>
        <v xml:space="preserve"> </v>
      </c>
      <c r="AJ18" s="13" t="str">
        <f t="shared" si="6"/>
        <v xml:space="preserve"> </v>
      </c>
      <c r="AK18" s="4" t="str">
        <f t="shared" si="7"/>
        <v xml:space="preserve"> </v>
      </c>
      <c r="AL18" s="4" t="str">
        <f t="shared" si="8"/>
        <v xml:space="preserve"> </v>
      </c>
      <c r="AM18" s="13" t="str">
        <f t="shared" si="23"/>
        <v xml:space="preserve"> </v>
      </c>
      <c r="AN18" s="2" t="str">
        <f t="shared" si="24"/>
        <v xml:space="preserve"> </v>
      </c>
      <c r="AO18" s="2" t="str">
        <f t="shared" si="25"/>
        <v xml:space="preserve"> </v>
      </c>
      <c r="AP18" s="9" t="str">
        <f t="shared" si="26"/>
        <v xml:space="preserve"> </v>
      </c>
      <c r="AQ18" s="2" t="str">
        <f t="shared" si="27"/>
        <v xml:space="preserve"> </v>
      </c>
      <c r="AR18" s="2" t="str">
        <f t="shared" si="28"/>
        <v xml:space="preserve"> </v>
      </c>
      <c r="AS18" s="4" t="str">
        <f t="shared" si="14"/>
        <v xml:space="preserve"> </v>
      </c>
      <c r="AT18" s="4" t="str">
        <f t="shared" si="29"/>
        <v xml:space="preserve"> </v>
      </c>
      <c r="AU18" s="42" t="str">
        <f t="shared" si="30"/>
        <v xml:space="preserve"> </v>
      </c>
      <c r="AV18" s="43" t="str">
        <f t="shared" si="2"/>
        <v xml:space="preserve"> </v>
      </c>
      <c r="AW18" s="44" t="str">
        <f t="shared" si="15"/>
        <v xml:space="preserve"> </v>
      </c>
      <c r="AX18" s="43" t="str">
        <f t="shared" si="31"/>
        <v xml:space="preserve"> </v>
      </c>
      <c r="AY18" s="43" t="str">
        <f t="shared" si="17"/>
        <v xml:space="preserve"> </v>
      </c>
      <c r="AZ18" s="1" t="str">
        <f t="shared" si="32"/>
        <v xml:space="preserve"> </v>
      </c>
      <c r="BA18" s="1" t="str">
        <f t="shared" si="33"/>
        <v xml:space="preserve"> </v>
      </c>
    </row>
    <row r="19" spans="1:53" x14ac:dyDescent="0.3">
      <c r="A19" s="28"/>
      <c r="B19" s="29"/>
      <c r="C19" s="29"/>
      <c r="D19" s="30"/>
      <c r="E19" s="30"/>
      <c r="F19" s="31"/>
      <c r="G19" s="25"/>
      <c r="H19" s="76"/>
      <c r="I19" s="76"/>
      <c r="J19" s="69"/>
      <c r="K19" s="32"/>
      <c r="L19" s="67"/>
      <c r="M19" s="50"/>
      <c r="N19" s="50"/>
      <c r="O19" s="49"/>
      <c r="P19" s="50"/>
      <c r="Q19" s="83"/>
      <c r="R19" s="55"/>
      <c r="S19" s="27"/>
      <c r="T19" s="25"/>
      <c r="U19" s="33"/>
      <c r="V19" s="27"/>
      <c r="W19" s="76"/>
      <c r="X19" s="26"/>
      <c r="Y19" s="26"/>
      <c r="Z19" s="27"/>
      <c r="AA19" s="26"/>
      <c r="AB19" s="26"/>
      <c r="AC19" s="26"/>
      <c r="AD19" s="85"/>
      <c r="AE19" s="27"/>
      <c r="AF19" s="70"/>
      <c r="AG19" s="81">
        <f t="shared" si="3"/>
        <v>0</v>
      </c>
      <c r="AH19" s="90" t="str">
        <f t="shared" si="4"/>
        <v xml:space="preserve"> </v>
      </c>
      <c r="AI19" s="88" t="str">
        <f t="shared" si="5"/>
        <v xml:space="preserve"> </v>
      </c>
      <c r="AJ19" s="13" t="str">
        <f t="shared" si="6"/>
        <v xml:space="preserve"> </v>
      </c>
      <c r="AK19" s="4" t="str">
        <f t="shared" si="7"/>
        <v xml:space="preserve"> </v>
      </c>
      <c r="AL19" s="4" t="str">
        <f t="shared" si="8"/>
        <v xml:space="preserve"> </v>
      </c>
      <c r="AM19" s="13" t="str">
        <f t="shared" si="23"/>
        <v xml:space="preserve"> </v>
      </c>
      <c r="AN19" s="2" t="str">
        <f t="shared" si="24"/>
        <v xml:space="preserve"> </v>
      </c>
      <c r="AO19" s="2" t="str">
        <f t="shared" si="25"/>
        <v xml:space="preserve"> </v>
      </c>
      <c r="AP19" s="9" t="str">
        <f t="shared" si="26"/>
        <v xml:space="preserve"> </v>
      </c>
      <c r="AQ19" s="2" t="str">
        <f t="shared" si="27"/>
        <v xml:space="preserve"> </v>
      </c>
      <c r="AR19" s="2" t="str">
        <f t="shared" si="28"/>
        <v xml:space="preserve"> </v>
      </c>
      <c r="AS19" s="4" t="str">
        <f t="shared" si="14"/>
        <v xml:space="preserve"> </v>
      </c>
      <c r="AT19" s="4" t="str">
        <f t="shared" si="29"/>
        <v xml:space="preserve"> </v>
      </c>
      <c r="AU19" s="42" t="str">
        <f t="shared" si="30"/>
        <v xml:space="preserve"> </v>
      </c>
      <c r="AV19" s="43" t="str">
        <f t="shared" si="2"/>
        <v xml:space="preserve"> </v>
      </c>
      <c r="AW19" s="44" t="str">
        <f t="shared" si="15"/>
        <v xml:space="preserve"> </v>
      </c>
      <c r="AX19" s="43" t="str">
        <f t="shared" si="31"/>
        <v xml:space="preserve"> </v>
      </c>
      <c r="AY19" s="43" t="str">
        <f t="shared" si="17"/>
        <v xml:space="preserve"> </v>
      </c>
      <c r="AZ19" s="1" t="str">
        <f t="shared" si="32"/>
        <v xml:space="preserve"> </v>
      </c>
      <c r="BA19" s="1" t="str">
        <f t="shared" si="33"/>
        <v xml:space="preserve"> </v>
      </c>
    </row>
    <row r="20" spans="1:53" x14ac:dyDescent="0.3">
      <c r="A20" s="28"/>
      <c r="B20" s="29"/>
      <c r="C20" s="29"/>
      <c r="D20" s="30"/>
      <c r="E20" s="30"/>
      <c r="F20" s="31"/>
      <c r="G20" s="25"/>
      <c r="H20" s="76"/>
      <c r="I20" s="76"/>
      <c r="J20" s="69"/>
      <c r="K20" s="32"/>
      <c r="L20" s="67"/>
      <c r="M20" s="50"/>
      <c r="N20" s="50"/>
      <c r="O20" s="49"/>
      <c r="P20" s="50"/>
      <c r="Q20" s="83"/>
      <c r="R20" s="55"/>
      <c r="S20" s="27"/>
      <c r="T20" s="25"/>
      <c r="U20" s="33"/>
      <c r="V20" s="27"/>
      <c r="W20" s="76"/>
      <c r="X20" s="26"/>
      <c r="Y20" s="26"/>
      <c r="Z20" s="27"/>
      <c r="AA20" s="26"/>
      <c r="AB20" s="26"/>
      <c r="AC20" s="26"/>
      <c r="AD20" s="85"/>
      <c r="AE20" s="27"/>
      <c r="AF20" s="70"/>
      <c r="AG20" s="81">
        <f t="shared" si="3"/>
        <v>0</v>
      </c>
      <c r="AH20" s="90" t="str">
        <f t="shared" si="4"/>
        <v xml:space="preserve"> </v>
      </c>
      <c r="AI20" s="88" t="str">
        <f t="shared" si="5"/>
        <v xml:space="preserve"> </v>
      </c>
      <c r="AJ20" s="13" t="str">
        <f t="shared" si="6"/>
        <v xml:space="preserve"> </v>
      </c>
      <c r="AK20" s="4" t="str">
        <f t="shared" si="7"/>
        <v xml:space="preserve"> </v>
      </c>
      <c r="AL20" s="4" t="str">
        <f t="shared" si="8"/>
        <v xml:space="preserve"> </v>
      </c>
      <c r="AM20" s="13" t="str">
        <f t="shared" si="23"/>
        <v xml:space="preserve"> </v>
      </c>
      <c r="AN20" s="2" t="str">
        <f t="shared" si="24"/>
        <v xml:space="preserve"> </v>
      </c>
      <c r="AO20" s="2" t="str">
        <f t="shared" si="25"/>
        <v xml:space="preserve"> </v>
      </c>
      <c r="AP20" s="9" t="str">
        <f t="shared" si="26"/>
        <v xml:space="preserve"> </v>
      </c>
      <c r="AQ20" s="2" t="str">
        <f t="shared" si="27"/>
        <v xml:space="preserve"> </v>
      </c>
      <c r="AR20" s="2" t="str">
        <f t="shared" si="28"/>
        <v xml:space="preserve"> </v>
      </c>
      <c r="AS20" s="4" t="str">
        <f t="shared" si="14"/>
        <v xml:space="preserve"> </v>
      </c>
      <c r="AT20" s="4" t="str">
        <f t="shared" si="29"/>
        <v xml:space="preserve"> </v>
      </c>
      <c r="AU20" s="42" t="str">
        <f t="shared" si="30"/>
        <v xml:space="preserve"> </v>
      </c>
      <c r="AV20" s="43" t="str">
        <f t="shared" si="2"/>
        <v xml:space="preserve"> </v>
      </c>
      <c r="AW20" s="44" t="str">
        <f t="shared" si="15"/>
        <v xml:space="preserve"> </v>
      </c>
      <c r="AX20" s="43" t="str">
        <f t="shared" si="31"/>
        <v xml:space="preserve"> </v>
      </c>
      <c r="AY20" s="43" t="str">
        <f t="shared" si="17"/>
        <v xml:space="preserve"> </v>
      </c>
      <c r="AZ20" s="1" t="str">
        <f t="shared" si="32"/>
        <v xml:space="preserve"> </v>
      </c>
      <c r="BA20" s="1" t="str">
        <f t="shared" si="33"/>
        <v xml:space="preserve"> </v>
      </c>
    </row>
    <row r="21" spans="1:53" x14ac:dyDescent="0.3">
      <c r="A21" s="28"/>
      <c r="B21" s="29"/>
      <c r="C21" s="77"/>
      <c r="D21" s="30"/>
      <c r="E21" s="30"/>
      <c r="F21" s="31"/>
      <c r="G21" s="25"/>
      <c r="H21" s="76"/>
      <c r="I21" s="76"/>
      <c r="J21" s="69"/>
      <c r="K21" s="32"/>
      <c r="L21" s="67"/>
      <c r="M21" s="50"/>
      <c r="N21" s="50"/>
      <c r="O21" s="49"/>
      <c r="P21" s="50"/>
      <c r="Q21" s="83"/>
      <c r="R21" s="55"/>
      <c r="S21" s="27"/>
      <c r="T21" s="25"/>
      <c r="U21" s="33"/>
      <c r="V21" s="27"/>
      <c r="W21" s="76"/>
      <c r="X21" s="26"/>
      <c r="Y21" s="26"/>
      <c r="Z21" s="27"/>
      <c r="AA21" s="26"/>
      <c r="AB21" s="26"/>
      <c r="AC21" s="26"/>
      <c r="AD21" s="85"/>
      <c r="AE21" s="27"/>
      <c r="AF21" s="70"/>
      <c r="AG21" s="81">
        <f t="shared" si="3"/>
        <v>0</v>
      </c>
      <c r="AH21" s="90" t="str">
        <f t="shared" si="4"/>
        <v xml:space="preserve"> </v>
      </c>
      <c r="AI21" s="88" t="str">
        <f t="shared" si="5"/>
        <v xml:space="preserve"> </v>
      </c>
      <c r="AJ21" s="13" t="str">
        <f t="shared" si="6"/>
        <v xml:space="preserve"> </v>
      </c>
      <c r="AK21" s="4" t="str">
        <f t="shared" si="7"/>
        <v xml:space="preserve"> </v>
      </c>
      <c r="AL21" s="4" t="str">
        <f t="shared" si="8"/>
        <v xml:space="preserve"> </v>
      </c>
      <c r="AM21" s="13" t="str">
        <f t="shared" si="23"/>
        <v xml:space="preserve"> </v>
      </c>
      <c r="AN21" s="2" t="str">
        <f t="shared" si="24"/>
        <v xml:space="preserve"> </v>
      </c>
      <c r="AO21" s="2" t="str">
        <f t="shared" si="25"/>
        <v xml:space="preserve"> </v>
      </c>
      <c r="AP21" s="9" t="str">
        <f t="shared" si="26"/>
        <v xml:space="preserve"> </v>
      </c>
      <c r="AQ21" s="2" t="str">
        <f t="shared" si="27"/>
        <v xml:space="preserve"> </v>
      </c>
      <c r="AR21" s="2" t="str">
        <f t="shared" si="28"/>
        <v xml:space="preserve"> </v>
      </c>
      <c r="AS21" s="4" t="str">
        <f t="shared" si="14"/>
        <v xml:space="preserve"> </v>
      </c>
      <c r="AT21" s="4" t="str">
        <f t="shared" si="29"/>
        <v xml:space="preserve"> </v>
      </c>
      <c r="AU21" s="42" t="str">
        <f t="shared" si="30"/>
        <v xml:space="preserve"> </v>
      </c>
      <c r="AV21" s="43" t="str">
        <f t="shared" si="2"/>
        <v xml:space="preserve"> </v>
      </c>
      <c r="AW21" s="44" t="str">
        <f t="shared" si="15"/>
        <v xml:space="preserve"> </v>
      </c>
      <c r="AX21" s="43" t="str">
        <f t="shared" si="31"/>
        <v xml:space="preserve"> </v>
      </c>
      <c r="AY21" s="43" t="str">
        <f t="shared" si="17"/>
        <v xml:space="preserve"> </v>
      </c>
      <c r="AZ21" s="1" t="str">
        <f t="shared" si="32"/>
        <v xml:space="preserve"> </v>
      </c>
      <c r="BA21" s="1" t="str">
        <f t="shared" si="33"/>
        <v xml:space="preserve"> </v>
      </c>
    </row>
    <row r="22" spans="1:53" x14ac:dyDescent="0.3">
      <c r="A22" s="28"/>
      <c r="B22" s="29"/>
      <c r="C22" s="77"/>
      <c r="D22" s="30"/>
      <c r="E22" s="30"/>
      <c r="F22" s="31"/>
      <c r="G22" s="25"/>
      <c r="H22" s="76"/>
      <c r="I22" s="76"/>
      <c r="J22" s="69"/>
      <c r="K22" s="32"/>
      <c r="L22" s="67"/>
      <c r="M22" s="50"/>
      <c r="N22" s="50"/>
      <c r="O22" s="49"/>
      <c r="P22" s="50"/>
      <c r="Q22" s="83"/>
      <c r="R22" s="55"/>
      <c r="S22" s="27"/>
      <c r="T22" s="25"/>
      <c r="U22" s="33"/>
      <c r="V22" s="27"/>
      <c r="W22" s="76"/>
      <c r="X22" s="26"/>
      <c r="Y22" s="26"/>
      <c r="Z22" s="27"/>
      <c r="AA22" s="26"/>
      <c r="AB22" s="26"/>
      <c r="AC22" s="26"/>
      <c r="AD22" s="85"/>
      <c r="AE22" s="27"/>
      <c r="AF22" s="70"/>
      <c r="AG22" s="81">
        <f t="shared" si="3"/>
        <v>0</v>
      </c>
      <c r="AH22" s="90" t="str">
        <f t="shared" si="4"/>
        <v xml:space="preserve"> </v>
      </c>
      <c r="AI22" s="88" t="str">
        <f t="shared" si="5"/>
        <v xml:space="preserve"> </v>
      </c>
      <c r="AJ22" s="13" t="str">
        <f t="shared" si="6"/>
        <v xml:space="preserve"> </v>
      </c>
      <c r="AK22" s="4" t="str">
        <f t="shared" si="7"/>
        <v xml:space="preserve"> </v>
      </c>
      <c r="AL22" s="4" t="str">
        <f t="shared" si="8"/>
        <v xml:space="preserve"> </v>
      </c>
      <c r="AM22" s="13" t="str">
        <f t="shared" si="23"/>
        <v xml:space="preserve"> </v>
      </c>
      <c r="AN22" s="2" t="str">
        <f t="shared" si="24"/>
        <v xml:space="preserve"> </v>
      </c>
      <c r="AO22" s="2" t="str">
        <f t="shared" si="25"/>
        <v xml:space="preserve"> </v>
      </c>
      <c r="AP22" s="9" t="str">
        <f t="shared" si="26"/>
        <v xml:space="preserve"> </v>
      </c>
      <c r="AQ22" s="2" t="str">
        <f t="shared" si="27"/>
        <v xml:space="preserve"> </v>
      </c>
      <c r="AR22" s="2" t="str">
        <f t="shared" si="28"/>
        <v xml:space="preserve"> </v>
      </c>
      <c r="AS22" s="4" t="str">
        <f t="shared" si="14"/>
        <v xml:space="preserve"> </v>
      </c>
      <c r="AT22" s="4" t="str">
        <f t="shared" si="29"/>
        <v xml:space="preserve"> </v>
      </c>
      <c r="AU22" s="42" t="str">
        <f t="shared" si="30"/>
        <v xml:space="preserve"> </v>
      </c>
      <c r="AV22" s="43" t="str">
        <f>IFERROR(($AN22*$AU22)-($AU$2)," ")</f>
        <v xml:space="preserve"> </v>
      </c>
      <c r="AW22" s="44" t="str">
        <f t="shared" si="15"/>
        <v xml:space="preserve"> </v>
      </c>
      <c r="AX22" s="43" t="str">
        <f t="shared" si="31"/>
        <v xml:space="preserve"> </v>
      </c>
      <c r="AY22" s="43" t="str">
        <f t="shared" si="17"/>
        <v xml:space="preserve"> </v>
      </c>
      <c r="AZ22" s="1" t="str">
        <f t="shared" si="32"/>
        <v xml:space="preserve"> </v>
      </c>
      <c r="BA22" s="1" t="str">
        <f t="shared" si="33"/>
        <v xml:space="preserve"> </v>
      </c>
    </row>
    <row r="23" spans="1:53" x14ac:dyDescent="0.3">
      <c r="A23" s="28"/>
      <c r="B23" s="29"/>
      <c r="C23" s="77"/>
      <c r="D23" s="30"/>
      <c r="E23" s="30"/>
      <c r="F23" s="31"/>
      <c r="G23" s="25"/>
      <c r="H23" s="76"/>
      <c r="I23" s="76"/>
      <c r="J23" s="69"/>
      <c r="K23" s="32"/>
      <c r="L23" s="67"/>
      <c r="M23" s="50"/>
      <c r="N23" s="50"/>
      <c r="O23" s="49"/>
      <c r="P23" s="50"/>
      <c r="Q23" s="83"/>
      <c r="R23" s="55"/>
      <c r="S23" s="27"/>
      <c r="T23" s="25"/>
      <c r="U23" s="33"/>
      <c r="V23" s="27"/>
      <c r="W23" s="76"/>
      <c r="X23" s="26"/>
      <c r="Y23" s="26"/>
      <c r="Z23" s="27"/>
      <c r="AA23" s="26"/>
      <c r="AB23" s="26"/>
      <c r="AC23" s="26"/>
      <c r="AD23" s="85"/>
      <c r="AE23" s="27"/>
      <c r="AF23" s="70"/>
      <c r="AG23" s="81">
        <f t="shared" si="3"/>
        <v>0</v>
      </c>
      <c r="AH23" s="90" t="str">
        <f t="shared" si="4"/>
        <v xml:space="preserve"> </v>
      </c>
      <c r="AI23" s="88" t="str">
        <f t="shared" si="5"/>
        <v xml:space="preserve"> </v>
      </c>
      <c r="AJ23" s="13" t="str">
        <f t="shared" si="6"/>
        <v xml:space="preserve"> </v>
      </c>
      <c r="AK23" s="4" t="str">
        <f t="shared" si="7"/>
        <v xml:space="preserve"> </v>
      </c>
      <c r="AL23" s="4" t="str">
        <f t="shared" si="8"/>
        <v xml:space="preserve"> </v>
      </c>
      <c r="AM23" s="13" t="str">
        <f>IF(AJ23=" "," ",IF(AJ23="LAY"," ",IF(AJ23&lt;&gt;"LAY",ROUNDUP(AL23*$AT$1,0))))</f>
        <v xml:space="preserve"> </v>
      </c>
      <c r="AN23" s="2" t="str">
        <f t="shared" si="24"/>
        <v xml:space="preserve"> </v>
      </c>
      <c r="AO23" s="2" t="str">
        <f t="shared" si="25"/>
        <v xml:space="preserve"> </v>
      </c>
      <c r="AP23" s="9" t="str">
        <f t="shared" si="26"/>
        <v xml:space="preserve"> </v>
      </c>
      <c r="AQ23" s="2" t="str">
        <f t="shared" si="27"/>
        <v xml:space="preserve"> </v>
      </c>
      <c r="AR23" s="2" t="str">
        <f t="shared" si="28"/>
        <v xml:space="preserve"> </v>
      </c>
      <c r="AS23" s="4" t="str">
        <f t="shared" si="14"/>
        <v xml:space="preserve"> </v>
      </c>
      <c r="AT23" s="4" t="str">
        <f t="shared" si="29"/>
        <v xml:space="preserve"> </v>
      </c>
      <c r="AU23" s="42" t="str">
        <f t="shared" si="30"/>
        <v xml:space="preserve"> </v>
      </c>
      <c r="AV23" s="43" t="str">
        <f t="shared" ref="AV23:AV86" si="34">IFERROR(($AN23*$AU23)-($AU$2)," ")</f>
        <v xml:space="preserve"> </v>
      </c>
      <c r="AW23" s="44" t="str">
        <f t="shared" si="15"/>
        <v xml:space="preserve"> </v>
      </c>
      <c r="AX23" s="43" t="str">
        <f t="shared" si="31"/>
        <v xml:space="preserve"> </v>
      </c>
      <c r="AY23" s="43" t="str">
        <f t="shared" si="17"/>
        <v xml:space="preserve"> </v>
      </c>
      <c r="AZ23" s="1" t="str">
        <f t="shared" si="32"/>
        <v xml:space="preserve"> </v>
      </c>
      <c r="BA23" s="1" t="str">
        <f t="shared" si="33"/>
        <v xml:space="preserve"> </v>
      </c>
    </row>
    <row r="24" spans="1:53" x14ac:dyDescent="0.3">
      <c r="A24" s="28"/>
      <c r="B24" s="29"/>
      <c r="C24" s="77"/>
      <c r="D24" s="30"/>
      <c r="E24" s="30"/>
      <c r="F24" s="31"/>
      <c r="G24" s="25"/>
      <c r="H24" s="76"/>
      <c r="I24" s="76"/>
      <c r="J24" s="69"/>
      <c r="K24" s="32"/>
      <c r="L24" s="67"/>
      <c r="M24" s="50"/>
      <c r="N24" s="50"/>
      <c r="O24" s="49"/>
      <c r="P24" s="50"/>
      <c r="Q24" s="83"/>
      <c r="R24" s="55"/>
      <c r="S24" s="27"/>
      <c r="T24" s="25"/>
      <c r="U24" s="33"/>
      <c r="V24" s="27"/>
      <c r="W24" s="76"/>
      <c r="X24" s="26"/>
      <c r="Y24" s="26"/>
      <c r="Z24" s="27"/>
      <c r="AA24" s="26"/>
      <c r="AB24" s="26"/>
      <c r="AC24" s="26"/>
      <c r="AD24" s="85"/>
      <c r="AE24" s="27"/>
      <c r="AF24" s="70"/>
      <c r="AG24" s="81">
        <f t="shared" si="3"/>
        <v>0</v>
      </c>
      <c r="AH24" s="90" t="str">
        <f t="shared" si="4"/>
        <v xml:space="preserve"> </v>
      </c>
      <c r="AI24" s="88" t="str">
        <f t="shared" si="5"/>
        <v xml:space="preserve"> </v>
      </c>
      <c r="AJ24" s="13" t="str">
        <f t="shared" si="6"/>
        <v xml:space="preserve"> </v>
      </c>
      <c r="AK24" s="4" t="str">
        <f t="shared" si="7"/>
        <v xml:space="preserve"> </v>
      </c>
      <c r="AL24" s="4" t="str">
        <f t="shared" si="8"/>
        <v xml:space="preserve"> </v>
      </c>
      <c r="AM24" s="13" t="str">
        <f t="shared" si="23"/>
        <v xml:space="preserve"> </v>
      </c>
      <c r="AN24" s="2" t="str">
        <f t="shared" si="24"/>
        <v xml:space="preserve"> </v>
      </c>
      <c r="AO24" s="2" t="str">
        <f t="shared" si="25"/>
        <v xml:space="preserve"> </v>
      </c>
      <c r="AP24" s="9" t="str">
        <f t="shared" si="26"/>
        <v xml:space="preserve"> </v>
      </c>
      <c r="AQ24" s="2" t="str">
        <f t="shared" si="27"/>
        <v xml:space="preserve"> </v>
      </c>
      <c r="AR24" s="2" t="str">
        <f t="shared" si="28"/>
        <v xml:space="preserve"> </v>
      </c>
      <c r="AS24" s="4" t="str">
        <f t="shared" si="14"/>
        <v xml:space="preserve"> </v>
      </c>
      <c r="AT24" s="4" t="str">
        <f t="shared" si="29"/>
        <v xml:space="preserve"> </v>
      </c>
      <c r="AU24" s="42" t="str">
        <f t="shared" si="30"/>
        <v xml:space="preserve"> </v>
      </c>
      <c r="AV24" s="43" t="str">
        <f t="shared" si="34"/>
        <v xml:space="preserve"> </v>
      </c>
      <c r="AW24" s="44" t="str">
        <f t="shared" si="15"/>
        <v xml:space="preserve"> </v>
      </c>
      <c r="AX24" s="43" t="str">
        <f t="shared" si="31"/>
        <v xml:space="preserve"> </v>
      </c>
      <c r="AY24" s="43" t="str">
        <f t="shared" si="17"/>
        <v xml:space="preserve"> </v>
      </c>
      <c r="AZ24" s="1" t="str">
        <f t="shared" si="32"/>
        <v xml:space="preserve"> </v>
      </c>
      <c r="BA24" s="1" t="str">
        <f t="shared" si="33"/>
        <v xml:space="preserve"> </v>
      </c>
    </row>
    <row r="25" spans="1:53" x14ac:dyDescent="0.3">
      <c r="A25" s="28"/>
      <c r="B25" s="29"/>
      <c r="C25" s="77"/>
      <c r="D25" s="30"/>
      <c r="E25" s="30"/>
      <c r="F25" s="31"/>
      <c r="G25" s="25"/>
      <c r="H25" s="76"/>
      <c r="I25" s="76"/>
      <c r="J25" s="69"/>
      <c r="K25" s="32"/>
      <c r="L25" s="67"/>
      <c r="M25" s="50"/>
      <c r="N25" s="50"/>
      <c r="O25" s="49"/>
      <c r="P25" s="50"/>
      <c r="Q25" s="83"/>
      <c r="R25" s="55"/>
      <c r="S25" s="27"/>
      <c r="T25" s="25"/>
      <c r="U25" s="33"/>
      <c r="V25" s="27"/>
      <c r="W25" s="76"/>
      <c r="X25" s="26"/>
      <c r="Y25" s="26"/>
      <c r="Z25" s="27"/>
      <c r="AA25" s="26"/>
      <c r="AB25" s="26"/>
      <c r="AC25" s="26"/>
      <c r="AD25" s="85"/>
      <c r="AE25" s="27"/>
      <c r="AF25" s="70"/>
      <c r="AG25" s="81">
        <f t="shared" si="3"/>
        <v>0</v>
      </c>
      <c r="AH25" s="90" t="str">
        <f t="shared" si="4"/>
        <v xml:space="preserve"> </v>
      </c>
      <c r="AI25" s="88" t="str">
        <f t="shared" si="5"/>
        <v xml:space="preserve"> </v>
      </c>
      <c r="AJ25" s="13" t="str">
        <f t="shared" si="6"/>
        <v xml:space="preserve"> </v>
      </c>
      <c r="AK25" s="4" t="str">
        <f t="shared" si="7"/>
        <v xml:space="preserve"> </v>
      </c>
      <c r="AL25" s="4" t="str">
        <f t="shared" si="8"/>
        <v xml:space="preserve"> </v>
      </c>
      <c r="AM25" s="13" t="str">
        <f t="shared" si="9"/>
        <v xml:space="preserve"> </v>
      </c>
      <c r="AN25" s="2" t="str">
        <f t="shared" si="10"/>
        <v xml:space="preserve"> </v>
      </c>
      <c r="AO25" s="2" t="str">
        <f t="shared" si="11"/>
        <v xml:space="preserve"> </v>
      </c>
      <c r="AP25" s="9" t="str">
        <f t="shared" si="20"/>
        <v xml:space="preserve"> </v>
      </c>
      <c r="AQ25" s="2" t="str">
        <f t="shared" si="12"/>
        <v xml:space="preserve"> </v>
      </c>
      <c r="AR25" s="2" t="str">
        <f t="shared" si="13"/>
        <v xml:space="preserve"> </v>
      </c>
      <c r="AS25" s="4" t="str">
        <f t="shared" si="14"/>
        <v xml:space="preserve"> </v>
      </c>
      <c r="AT25" s="4" t="str">
        <f t="shared" si="21"/>
        <v xml:space="preserve"> </v>
      </c>
      <c r="AU25" s="42" t="str">
        <f t="shared" si="22"/>
        <v xml:space="preserve"> </v>
      </c>
      <c r="AV25" s="43" t="str">
        <f t="shared" si="34"/>
        <v xml:space="preserve"> </v>
      </c>
      <c r="AW25" s="44" t="str">
        <f t="shared" si="15"/>
        <v xml:space="preserve"> </v>
      </c>
      <c r="AX25" s="43" t="str">
        <f t="shared" si="16"/>
        <v xml:space="preserve"> </v>
      </c>
      <c r="AY25" s="43" t="str">
        <f t="shared" si="17"/>
        <v xml:space="preserve"> </v>
      </c>
      <c r="AZ25" s="1" t="str">
        <f t="shared" si="18"/>
        <v xml:space="preserve"> </v>
      </c>
      <c r="BA25" s="1" t="str">
        <f t="shared" si="19"/>
        <v xml:space="preserve"> </v>
      </c>
    </row>
    <row r="26" spans="1:53" x14ac:dyDescent="0.3">
      <c r="A26" s="28"/>
      <c r="B26" s="29"/>
      <c r="C26" s="77"/>
      <c r="D26" s="30"/>
      <c r="E26" s="30"/>
      <c r="F26" s="31"/>
      <c r="G26" s="25"/>
      <c r="H26" s="76"/>
      <c r="I26" s="76"/>
      <c r="J26" s="69"/>
      <c r="K26" s="32"/>
      <c r="L26" s="67"/>
      <c r="M26" s="50"/>
      <c r="N26" s="50"/>
      <c r="O26" s="49"/>
      <c r="P26" s="50"/>
      <c r="Q26" s="83"/>
      <c r="R26" s="55"/>
      <c r="S26" s="27"/>
      <c r="T26" s="25"/>
      <c r="U26" s="33"/>
      <c r="V26" s="27"/>
      <c r="W26" s="76"/>
      <c r="X26" s="26"/>
      <c r="Y26" s="26"/>
      <c r="Z26" s="27"/>
      <c r="AA26" s="26"/>
      <c r="AB26" s="26"/>
      <c r="AC26" s="26"/>
      <c r="AD26" s="85"/>
      <c r="AE26" s="27"/>
      <c r="AF26" s="70"/>
      <c r="AG26" s="81">
        <f t="shared" si="3"/>
        <v>0</v>
      </c>
      <c r="AH26" s="90" t="str">
        <f t="shared" si="4"/>
        <v xml:space="preserve"> </v>
      </c>
      <c r="AI26" s="88" t="str">
        <f t="shared" si="5"/>
        <v xml:space="preserve"> </v>
      </c>
      <c r="AJ26" s="13" t="str">
        <f t="shared" si="6"/>
        <v xml:space="preserve"> </v>
      </c>
      <c r="AK26" s="4" t="str">
        <f t="shared" si="7"/>
        <v xml:space="preserve"> </v>
      </c>
      <c r="AL26" s="4" t="str">
        <f t="shared" si="8"/>
        <v xml:space="preserve"> </v>
      </c>
      <c r="AM26" s="13" t="str">
        <f t="shared" si="9"/>
        <v xml:space="preserve"> </v>
      </c>
      <c r="AN26" s="2" t="str">
        <f t="shared" si="10"/>
        <v xml:space="preserve"> </v>
      </c>
      <c r="AO26" s="2" t="str">
        <f t="shared" si="11"/>
        <v xml:space="preserve"> </v>
      </c>
      <c r="AP26" s="9" t="str">
        <f t="shared" si="20"/>
        <v xml:space="preserve"> </v>
      </c>
      <c r="AQ26" s="2" t="str">
        <f t="shared" si="12"/>
        <v xml:space="preserve"> </v>
      </c>
      <c r="AR26" s="2" t="str">
        <f t="shared" si="13"/>
        <v xml:space="preserve"> </v>
      </c>
      <c r="AS26" s="4" t="str">
        <f t="shared" si="14"/>
        <v xml:space="preserve"> </v>
      </c>
      <c r="AT26" s="4" t="str">
        <f t="shared" si="21"/>
        <v xml:space="preserve"> </v>
      </c>
      <c r="AU26" s="42" t="str">
        <f t="shared" si="22"/>
        <v xml:space="preserve"> </v>
      </c>
      <c r="AV26" s="43" t="str">
        <f t="shared" si="34"/>
        <v xml:space="preserve"> </v>
      </c>
      <c r="AW26" s="44" t="str">
        <f t="shared" si="15"/>
        <v xml:space="preserve"> </v>
      </c>
      <c r="AX26" s="43" t="str">
        <f t="shared" si="16"/>
        <v xml:space="preserve"> </v>
      </c>
      <c r="AY26" s="43" t="str">
        <f t="shared" si="17"/>
        <v xml:space="preserve"> </v>
      </c>
      <c r="AZ26" s="1" t="str">
        <f t="shared" si="18"/>
        <v xml:space="preserve"> </v>
      </c>
      <c r="BA26" s="1" t="str">
        <f t="shared" si="19"/>
        <v xml:space="preserve"> </v>
      </c>
    </row>
    <row r="27" spans="1:53" x14ac:dyDescent="0.3">
      <c r="A27" s="28"/>
      <c r="B27" s="29"/>
      <c r="C27" s="77"/>
      <c r="D27" s="30"/>
      <c r="E27" s="30"/>
      <c r="F27" s="31"/>
      <c r="G27" s="25"/>
      <c r="H27" s="76"/>
      <c r="I27" s="76"/>
      <c r="J27" s="69"/>
      <c r="K27" s="32"/>
      <c r="L27" s="67"/>
      <c r="M27" s="50"/>
      <c r="N27" s="50"/>
      <c r="O27" s="49"/>
      <c r="P27" s="50"/>
      <c r="Q27" s="83"/>
      <c r="R27" s="55"/>
      <c r="S27" s="27"/>
      <c r="T27" s="25"/>
      <c r="U27" s="33"/>
      <c r="V27" s="27"/>
      <c r="W27" s="76"/>
      <c r="X27" s="26"/>
      <c r="Y27" s="26"/>
      <c r="Z27" s="27"/>
      <c r="AA27" s="26"/>
      <c r="AB27" s="26"/>
      <c r="AC27" s="26"/>
      <c r="AD27" s="85"/>
      <c r="AE27" s="27"/>
      <c r="AF27" s="70"/>
      <c r="AG27" s="81">
        <f t="shared" si="3"/>
        <v>0</v>
      </c>
      <c r="AH27" s="90" t="str">
        <f t="shared" si="4"/>
        <v xml:space="preserve"> </v>
      </c>
      <c r="AI27" s="88" t="str">
        <f t="shared" si="5"/>
        <v xml:space="preserve"> </v>
      </c>
      <c r="AJ27" s="13" t="str">
        <f t="shared" si="6"/>
        <v xml:space="preserve"> </v>
      </c>
      <c r="AK27" s="4" t="str">
        <f t="shared" si="7"/>
        <v xml:space="preserve"> </v>
      </c>
      <c r="AL27" s="4" t="str">
        <f t="shared" si="8"/>
        <v xml:space="preserve"> </v>
      </c>
      <c r="AM27" s="13" t="str">
        <f t="shared" si="9"/>
        <v xml:space="preserve"> </v>
      </c>
      <c r="AN27" s="2" t="str">
        <f t="shared" si="10"/>
        <v xml:space="preserve"> </v>
      </c>
      <c r="AO27" s="2" t="str">
        <f t="shared" si="11"/>
        <v xml:space="preserve"> </v>
      </c>
      <c r="AP27" s="9" t="str">
        <f t="shared" si="20"/>
        <v xml:space="preserve"> </v>
      </c>
      <c r="AQ27" s="2" t="str">
        <f t="shared" si="12"/>
        <v xml:space="preserve"> </v>
      </c>
      <c r="AR27" s="2" t="str">
        <f t="shared" si="13"/>
        <v xml:space="preserve"> </v>
      </c>
      <c r="AS27" s="4" t="str">
        <f t="shared" si="14"/>
        <v xml:space="preserve"> </v>
      </c>
      <c r="AT27" s="4" t="str">
        <f t="shared" si="21"/>
        <v xml:space="preserve"> </v>
      </c>
      <c r="AU27" s="42" t="str">
        <f t="shared" si="22"/>
        <v xml:space="preserve"> </v>
      </c>
      <c r="AV27" s="43" t="str">
        <f t="shared" si="34"/>
        <v xml:space="preserve"> </v>
      </c>
      <c r="AW27" s="44" t="str">
        <f t="shared" si="15"/>
        <v xml:space="preserve"> </v>
      </c>
      <c r="AX27" s="43" t="str">
        <f t="shared" si="16"/>
        <v xml:space="preserve"> </v>
      </c>
      <c r="AY27" s="43" t="str">
        <f t="shared" si="17"/>
        <v xml:space="preserve"> </v>
      </c>
      <c r="AZ27" s="1" t="str">
        <f t="shared" si="18"/>
        <v xml:space="preserve"> </v>
      </c>
      <c r="BA27" s="1" t="str">
        <f t="shared" si="19"/>
        <v xml:space="preserve"> </v>
      </c>
    </row>
    <row r="28" spans="1:53" x14ac:dyDescent="0.3">
      <c r="A28" s="28"/>
      <c r="B28" s="29"/>
      <c r="C28" s="77"/>
      <c r="D28" s="30"/>
      <c r="E28" s="30"/>
      <c r="F28" s="31"/>
      <c r="G28" s="25"/>
      <c r="H28" s="76"/>
      <c r="I28" s="76"/>
      <c r="J28" s="69"/>
      <c r="K28" s="32"/>
      <c r="L28" s="67"/>
      <c r="M28" s="50"/>
      <c r="N28" s="50"/>
      <c r="O28" s="49"/>
      <c r="P28" s="50"/>
      <c r="Q28" s="83"/>
      <c r="R28" s="55"/>
      <c r="S28" s="27"/>
      <c r="T28" s="25"/>
      <c r="U28" s="33"/>
      <c r="V28" s="27"/>
      <c r="W28" s="76"/>
      <c r="X28" s="26"/>
      <c r="Y28" s="26"/>
      <c r="Z28" s="27"/>
      <c r="AA28" s="26"/>
      <c r="AB28" s="26"/>
      <c r="AC28" s="26"/>
      <c r="AD28" s="85"/>
      <c r="AE28" s="27"/>
      <c r="AF28" s="70"/>
      <c r="AG28" s="81">
        <f t="shared" si="3"/>
        <v>0</v>
      </c>
      <c r="AH28" s="90" t="str">
        <f t="shared" si="4"/>
        <v xml:space="preserve"> </v>
      </c>
      <c r="AI28" s="88" t="str">
        <f t="shared" si="5"/>
        <v xml:space="preserve"> </v>
      </c>
      <c r="AJ28" s="13" t="str">
        <f t="shared" si="6"/>
        <v xml:space="preserve"> </v>
      </c>
      <c r="AK28" s="4" t="str">
        <f t="shared" si="7"/>
        <v xml:space="preserve"> </v>
      </c>
      <c r="AL28" s="4" t="str">
        <f t="shared" si="8"/>
        <v xml:space="preserve"> </v>
      </c>
      <c r="AM28" s="13" t="str">
        <f t="shared" si="9"/>
        <v xml:space="preserve"> </v>
      </c>
      <c r="AN28" s="2" t="str">
        <f t="shared" si="10"/>
        <v xml:space="preserve"> </v>
      </c>
      <c r="AO28" s="2" t="str">
        <f t="shared" si="11"/>
        <v xml:space="preserve"> </v>
      </c>
      <c r="AP28" s="9" t="str">
        <f t="shared" si="20"/>
        <v xml:space="preserve"> </v>
      </c>
      <c r="AQ28" s="2" t="str">
        <f t="shared" si="12"/>
        <v xml:space="preserve"> </v>
      </c>
      <c r="AR28" s="2" t="str">
        <f t="shared" si="13"/>
        <v xml:space="preserve"> </v>
      </c>
      <c r="AS28" s="4" t="str">
        <f t="shared" si="14"/>
        <v xml:space="preserve"> </v>
      </c>
      <c r="AT28" s="4" t="str">
        <f t="shared" si="21"/>
        <v xml:space="preserve"> </v>
      </c>
      <c r="AU28" s="42" t="str">
        <f t="shared" si="22"/>
        <v xml:space="preserve"> </v>
      </c>
      <c r="AV28" s="43" t="str">
        <f t="shared" si="34"/>
        <v xml:space="preserve"> </v>
      </c>
      <c r="AW28" s="44" t="str">
        <f t="shared" si="15"/>
        <v xml:space="preserve"> </v>
      </c>
      <c r="AX28" s="43" t="str">
        <f t="shared" si="16"/>
        <v xml:space="preserve"> </v>
      </c>
      <c r="AY28" s="43" t="str">
        <f t="shared" si="17"/>
        <v xml:space="preserve"> </v>
      </c>
      <c r="AZ28" s="1" t="str">
        <f t="shared" si="18"/>
        <v xml:space="preserve"> </v>
      </c>
      <c r="BA28" s="1" t="str">
        <f t="shared" si="19"/>
        <v xml:space="preserve"> </v>
      </c>
    </row>
    <row r="29" spans="1:53" x14ac:dyDescent="0.3">
      <c r="A29" s="28"/>
      <c r="B29" s="29"/>
      <c r="C29" s="77"/>
      <c r="D29" s="30"/>
      <c r="E29" s="30"/>
      <c r="F29" s="31"/>
      <c r="G29" s="25"/>
      <c r="H29" s="76"/>
      <c r="I29" s="76"/>
      <c r="J29" s="69"/>
      <c r="K29" s="32"/>
      <c r="L29" s="67"/>
      <c r="M29" s="50"/>
      <c r="N29" s="50"/>
      <c r="O29" s="49"/>
      <c r="P29" s="50"/>
      <c r="Q29" s="83"/>
      <c r="R29" s="55"/>
      <c r="S29" s="27"/>
      <c r="T29" s="25"/>
      <c r="U29" s="33"/>
      <c r="V29" s="27"/>
      <c r="W29" s="76"/>
      <c r="X29" s="26"/>
      <c r="Y29" s="26"/>
      <c r="Z29" s="27"/>
      <c r="AA29" s="26"/>
      <c r="AB29" s="26"/>
      <c r="AC29" s="26"/>
      <c r="AD29" s="85"/>
      <c r="AE29" s="27"/>
      <c r="AF29" s="70"/>
      <c r="AG29" s="81">
        <f t="shared" si="3"/>
        <v>0</v>
      </c>
      <c r="AH29" s="90" t="str">
        <f t="shared" si="4"/>
        <v xml:space="preserve"> </v>
      </c>
      <c r="AI29" s="88" t="str">
        <f t="shared" si="5"/>
        <v xml:space="preserve"> </v>
      </c>
      <c r="AJ29" s="13" t="str">
        <f t="shared" si="6"/>
        <v xml:space="preserve"> </v>
      </c>
      <c r="AK29" s="4" t="str">
        <f t="shared" si="7"/>
        <v xml:space="preserve"> </v>
      </c>
      <c r="AL29" s="4" t="str">
        <f t="shared" si="8"/>
        <v xml:space="preserve"> </v>
      </c>
      <c r="AM29" s="13" t="str">
        <f t="shared" si="9"/>
        <v xml:space="preserve"> </v>
      </c>
      <c r="AN29" s="2" t="str">
        <f t="shared" si="10"/>
        <v xml:space="preserve"> </v>
      </c>
      <c r="AO29" s="2" t="str">
        <f t="shared" si="11"/>
        <v xml:space="preserve"> </v>
      </c>
      <c r="AP29" s="9" t="str">
        <f t="shared" si="20"/>
        <v xml:space="preserve"> </v>
      </c>
      <c r="AQ29" s="2" t="str">
        <f t="shared" si="12"/>
        <v xml:space="preserve"> </v>
      </c>
      <c r="AR29" s="2" t="str">
        <f t="shared" si="13"/>
        <v xml:space="preserve"> </v>
      </c>
      <c r="AS29" s="4" t="str">
        <f t="shared" si="14"/>
        <v xml:space="preserve"> </v>
      </c>
      <c r="AT29" s="4" t="str">
        <f t="shared" si="21"/>
        <v xml:space="preserve"> </v>
      </c>
      <c r="AU29" s="42" t="str">
        <f t="shared" si="22"/>
        <v xml:space="preserve"> </v>
      </c>
      <c r="AV29" s="43" t="str">
        <f t="shared" si="34"/>
        <v xml:space="preserve"> </v>
      </c>
      <c r="AW29" s="44" t="str">
        <f t="shared" si="15"/>
        <v xml:space="preserve"> </v>
      </c>
      <c r="AX29" s="43" t="str">
        <f t="shared" si="16"/>
        <v xml:space="preserve"> </v>
      </c>
      <c r="AY29" s="43" t="str">
        <f t="shared" si="17"/>
        <v xml:space="preserve"> </v>
      </c>
      <c r="AZ29" s="1" t="str">
        <f t="shared" si="18"/>
        <v xml:space="preserve"> </v>
      </c>
      <c r="BA29" s="1" t="str">
        <f t="shared" si="19"/>
        <v xml:space="preserve"> </v>
      </c>
    </row>
    <row r="30" spans="1:53" x14ac:dyDescent="0.3">
      <c r="A30" s="28"/>
      <c r="B30" s="29"/>
      <c r="C30" s="77"/>
      <c r="D30" s="30"/>
      <c r="E30" s="30"/>
      <c r="F30" s="31"/>
      <c r="G30" s="25"/>
      <c r="H30" s="76"/>
      <c r="I30" s="76"/>
      <c r="J30" s="69"/>
      <c r="K30" s="32"/>
      <c r="L30" s="67"/>
      <c r="M30" s="50"/>
      <c r="N30" s="50"/>
      <c r="O30" s="49"/>
      <c r="P30" s="50"/>
      <c r="Q30" s="83"/>
      <c r="R30" s="55"/>
      <c r="S30" s="27"/>
      <c r="T30" s="25"/>
      <c r="U30" s="33"/>
      <c r="V30" s="27"/>
      <c r="W30" s="76"/>
      <c r="X30" s="26"/>
      <c r="Y30" s="26"/>
      <c r="Z30" s="27"/>
      <c r="AA30" s="26"/>
      <c r="AB30" s="26"/>
      <c r="AC30" s="26"/>
      <c r="AD30" s="85"/>
      <c r="AE30" s="27"/>
      <c r="AF30" s="70"/>
      <c r="AG30" s="81">
        <f t="shared" si="3"/>
        <v>0</v>
      </c>
      <c r="AH30" s="90" t="str">
        <f t="shared" si="4"/>
        <v xml:space="preserve"> </v>
      </c>
      <c r="AI30" s="88" t="str">
        <f t="shared" si="5"/>
        <v xml:space="preserve"> </v>
      </c>
      <c r="AJ30" s="13" t="str">
        <f t="shared" si="6"/>
        <v xml:space="preserve"> </v>
      </c>
      <c r="AK30" s="4" t="str">
        <f t="shared" si="7"/>
        <v xml:space="preserve"> </v>
      </c>
      <c r="AL30" s="4" t="str">
        <f t="shared" si="8"/>
        <v xml:space="preserve"> </v>
      </c>
      <c r="AM30" s="13" t="str">
        <f t="shared" si="9"/>
        <v xml:space="preserve"> </v>
      </c>
      <c r="AN30" s="2" t="str">
        <f t="shared" si="10"/>
        <v xml:space="preserve"> </v>
      </c>
      <c r="AO30" s="2" t="str">
        <f t="shared" si="11"/>
        <v xml:space="preserve"> </v>
      </c>
      <c r="AP30" s="9" t="str">
        <f t="shared" si="20"/>
        <v xml:space="preserve"> </v>
      </c>
      <c r="AQ30" s="2" t="str">
        <f t="shared" si="12"/>
        <v xml:space="preserve"> </v>
      </c>
      <c r="AR30" s="2" t="str">
        <f t="shared" si="13"/>
        <v xml:space="preserve"> </v>
      </c>
      <c r="AS30" s="4" t="str">
        <f t="shared" si="14"/>
        <v xml:space="preserve"> </v>
      </c>
      <c r="AT30" s="4" t="str">
        <f t="shared" si="21"/>
        <v xml:space="preserve"> </v>
      </c>
      <c r="AU30" s="42" t="str">
        <f t="shared" si="22"/>
        <v xml:space="preserve"> </v>
      </c>
      <c r="AV30" s="43" t="str">
        <f t="shared" si="34"/>
        <v xml:space="preserve"> </v>
      </c>
      <c r="AW30" s="44" t="str">
        <f t="shared" si="15"/>
        <v xml:space="preserve"> </v>
      </c>
      <c r="AX30" s="43" t="str">
        <f t="shared" si="16"/>
        <v xml:space="preserve"> </v>
      </c>
      <c r="AY30" s="43" t="str">
        <f t="shared" si="17"/>
        <v xml:space="preserve"> </v>
      </c>
      <c r="AZ30" s="1" t="str">
        <f t="shared" si="18"/>
        <v xml:space="preserve"> </v>
      </c>
      <c r="BA30" s="1" t="str">
        <f t="shared" si="19"/>
        <v xml:space="preserve"> </v>
      </c>
    </row>
    <row r="31" spans="1:53" x14ac:dyDescent="0.3">
      <c r="A31" s="28"/>
      <c r="B31" s="29"/>
      <c r="C31" s="29"/>
      <c r="D31" s="30"/>
      <c r="E31" s="30"/>
      <c r="F31" s="31"/>
      <c r="G31" s="25"/>
      <c r="H31" s="76"/>
      <c r="I31" s="76"/>
      <c r="J31" s="69"/>
      <c r="K31" s="32"/>
      <c r="L31" s="67"/>
      <c r="M31" s="50"/>
      <c r="N31" s="50"/>
      <c r="O31" s="49"/>
      <c r="P31" s="50"/>
      <c r="Q31" s="83"/>
      <c r="R31" s="55"/>
      <c r="S31" s="27"/>
      <c r="T31" s="25"/>
      <c r="U31" s="33"/>
      <c r="V31" s="27"/>
      <c r="W31" s="76"/>
      <c r="X31" s="26"/>
      <c r="Y31" s="26"/>
      <c r="Z31" s="27"/>
      <c r="AA31" s="26"/>
      <c r="AB31" s="26"/>
      <c r="AC31" s="26"/>
      <c r="AD31" s="85"/>
      <c r="AE31" s="27"/>
      <c r="AF31" s="70"/>
      <c r="AG31" s="81">
        <f t="shared" si="3"/>
        <v>0</v>
      </c>
      <c r="AH31" s="90" t="str">
        <f t="shared" si="4"/>
        <v xml:space="preserve"> </v>
      </c>
      <c r="AI31" s="88" t="str">
        <f t="shared" si="5"/>
        <v xml:space="preserve"> </v>
      </c>
      <c r="AJ31" s="13" t="str">
        <f t="shared" si="6"/>
        <v xml:space="preserve"> </v>
      </c>
      <c r="AK31" s="4" t="str">
        <f t="shared" si="7"/>
        <v xml:space="preserve"> </v>
      </c>
      <c r="AL31" s="4" t="str">
        <f t="shared" si="8"/>
        <v xml:space="preserve"> </v>
      </c>
      <c r="AM31" s="13" t="str">
        <f t="shared" si="9"/>
        <v xml:space="preserve"> </v>
      </c>
      <c r="AN31" s="2" t="str">
        <f t="shared" si="10"/>
        <v xml:space="preserve"> </v>
      </c>
      <c r="AO31" s="2" t="str">
        <f t="shared" si="11"/>
        <v xml:space="preserve"> </v>
      </c>
      <c r="AP31" s="9" t="str">
        <f t="shared" si="20"/>
        <v xml:space="preserve"> </v>
      </c>
      <c r="AQ31" s="2" t="str">
        <f t="shared" si="12"/>
        <v xml:space="preserve"> </v>
      </c>
      <c r="AR31" s="2" t="str">
        <f t="shared" si="13"/>
        <v xml:space="preserve"> </v>
      </c>
      <c r="AS31" s="4" t="str">
        <f t="shared" si="14"/>
        <v xml:space="preserve"> </v>
      </c>
      <c r="AT31" s="4" t="str">
        <f t="shared" si="21"/>
        <v xml:space="preserve"> </v>
      </c>
      <c r="AU31" s="42" t="str">
        <f t="shared" si="22"/>
        <v xml:space="preserve"> </v>
      </c>
      <c r="AV31" s="43" t="str">
        <f t="shared" si="34"/>
        <v xml:space="preserve"> </v>
      </c>
      <c r="AW31" s="44" t="str">
        <f t="shared" si="15"/>
        <v xml:space="preserve"> </v>
      </c>
      <c r="AX31" s="43" t="str">
        <f t="shared" si="16"/>
        <v xml:space="preserve"> </v>
      </c>
      <c r="AY31" s="43" t="str">
        <f t="shared" si="17"/>
        <v xml:space="preserve"> </v>
      </c>
      <c r="AZ31" s="1" t="str">
        <f t="shared" si="18"/>
        <v xml:space="preserve"> </v>
      </c>
      <c r="BA31" s="1" t="str">
        <f t="shared" si="19"/>
        <v xml:space="preserve"> </v>
      </c>
    </row>
    <row r="32" spans="1:53" x14ac:dyDescent="0.3">
      <c r="A32" s="28"/>
      <c r="B32" s="29"/>
      <c r="C32" s="29"/>
      <c r="D32" s="30"/>
      <c r="E32" s="30"/>
      <c r="F32" s="31"/>
      <c r="G32" s="25"/>
      <c r="H32" s="76"/>
      <c r="I32" s="76"/>
      <c r="J32" s="69"/>
      <c r="K32" s="32"/>
      <c r="L32" s="67"/>
      <c r="M32" s="50"/>
      <c r="N32" s="50"/>
      <c r="O32" s="49"/>
      <c r="P32" s="50"/>
      <c r="Q32" s="83"/>
      <c r="R32" s="55"/>
      <c r="S32" s="27"/>
      <c r="T32" s="25"/>
      <c r="U32" s="33"/>
      <c r="V32" s="27"/>
      <c r="W32" s="76"/>
      <c r="X32" s="26"/>
      <c r="Y32" s="26"/>
      <c r="Z32" s="27"/>
      <c r="AA32" s="26"/>
      <c r="AB32" s="26"/>
      <c r="AC32" s="26"/>
      <c r="AD32" s="85"/>
      <c r="AE32" s="27"/>
      <c r="AF32" s="70"/>
      <c r="AG32" s="81">
        <f t="shared" si="3"/>
        <v>0</v>
      </c>
      <c r="AH32" s="90" t="str">
        <f t="shared" si="4"/>
        <v xml:space="preserve"> </v>
      </c>
      <c r="AI32" s="88" t="str">
        <f t="shared" si="5"/>
        <v xml:space="preserve"> </v>
      </c>
      <c r="AJ32" s="13" t="str">
        <f t="shared" si="6"/>
        <v xml:space="preserve"> </v>
      </c>
      <c r="AK32" s="4" t="str">
        <f t="shared" si="7"/>
        <v xml:space="preserve"> </v>
      </c>
      <c r="AL32" s="4" t="str">
        <f t="shared" si="8"/>
        <v xml:space="preserve"> </v>
      </c>
      <c r="AM32" s="13" t="str">
        <f t="shared" si="9"/>
        <v xml:space="preserve"> </v>
      </c>
      <c r="AN32" s="2" t="str">
        <f t="shared" si="10"/>
        <v xml:space="preserve"> </v>
      </c>
      <c r="AO32" s="2" t="str">
        <f t="shared" si="11"/>
        <v xml:space="preserve"> </v>
      </c>
      <c r="AP32" s="9" t="str">
        <f t="shared" si="20"/>
        <v xml:space="preserve"> </v>
      </c>
      <c r="AQ32" s="2" t="str">
        <f t="shared" si="12"/>
        <v xml:space="preserve"> </v>
      </c>
      <c r="AR32" s="2" t="str">
        <f t="shared" si="13"/>
        <v xml:space="preserve"> </v>
      </c>
      <c r="AS32" s="4" t="str">
        <f t="shared" si="14"/>
        <v xml:space="preserve"> </v>
      </c>
      <c r="AT32" s="4" t="str">
        <f t="shared" si="21"/>
        <v xml:space="preserve"> </v>
      </c>
      <c r="AU32" s="42" t="str">
        <f t="shared" si="22"/>
        <v xml:space="preserve"> </v>
      </c>
      <c r="AV32" s="43" t="str">
        <f t="shared" si="34"/>
        <v xml:space="preserve"> </v>
      </c>
      <c r="AW32" s="44" t="str">
        <f t="shared" si="15"/>
        <v xml:space="preserve"> </v>
      </c>
      <c r="AX32" s="43" t="str">
        <f t="shared" si="16"/>
        <v xml:space="preserve"> </v>
      </c>
      <c r="AY32" s="43" t="str">
        <f t="shared" si="17"/>
        <v xml:space="preserve"> </v>
      </c>
      <c r="AZ32" s="1" t="str">
        <f t="shared" si="18"/>
        <v xml:space="preserve"> </v>
      </c>
      <c r="BA32" s="1" t="str">
        <f t="shared" si="19"/>
        <v xml:space="preserve"> </v>
      </c>
    </row>
    <row r="33" spans="1:53" x14ac:dyDescent="0.3">
      <c r="A33" s="28"/>
      <c r="B33" s="29"/>
      <c r="C33" s="29"/>
      <c r="D33" s="30"/>
      <c r="E33" s="30"/>
      <c r="F33" s="31"/>
      <c r="G33" s="25"/>
      <c r="H33" s="76"/>
      <c r="I33" s="76"/>
      <c r="J33" s="69"/>
      <c r="K33" s="32"/>
      <c r="L33" s="67"/>
      <c r="M33" s="50"/>
      <c r="N33" s="50"/>
      <c r="O33" s="49"/>
      <c r="P33" s="50"/>
      <c r="Q33" s="83"/>
      <c r="R33" s="55"/>
      <c r="S33" s="27"/>
      <c r="T33" s="25"/>
      <c r="U33" s="33"/>
      <c r="V33" s="27"/>
      <c r="W33" s="76"/>
      <c r="X33" s="26"/>
      <c r="Y33" s="26"/>
      <c r="Z33" s="27"/>
      <c r="AA33" s="26"/>
      <c r="AB33" s="26"/>
      <c r="AC33" s="26"/>
      <c r="AD33" s="85"/>
      <c r="AE33" s="27"/>
      <c r="AF33" s="70"/>
      <c r="AG33" s="81">
        <f t="shared" si="3"/>
        <v>0</v>
      </c>
      <c r="AH33" s="90" t="str">
        <f t="shared" si="4"/>
        <v xml:space="preserve"> </v>
      </c>
      <c r="AI33" s="88" t="str">
        <f t="shared" si="5"/>
        <v xml:space="preserve"> </v>
      </c>
      <c r="AJ33" s="13" t="str">
        <f t="shared" si="6"/>
        <v xml:space="preserve"> </v>
      </c>
      <c r="AK33" s="4" t="str">
        <f t="shared" si="7"/>
        <v xml:space="preserve"> </v>
      </c>
      <c r="AL33" s="4" t="str">
        <f t="shared" si="8"/>
        <v xml:space="preserve"> </v>
      </c>
      <c r="AM33" s="13" t="str">
        <f t="shared" si="9"/>
        <v xml:space="preserve"> </v>
      </c>
      <c r="AN33" s="2" t="str">
        <f t="shared" si="10"/>
        <v xml:space="preserve"> </v>
      </c>
      <c r="AO33" s="2" t="str">
        <f t="shared" si="11"/>
        <v xml:space="preserve"> </v>
      </c>
      <c r="AP33" s="9" t="str">
        <f t="shared" si="20"/>
        <v xml:space="preserve"> </v>
      </c>
      <c r="AQ33" s="2" t="str">
        <f t="shared" si="12"/>
        <v xml:space="preserve"> </v>
      </c>
      <c r="AR33" s="2" t="str">
        <f t="shared" si="13"/>
        <v xml:space="preserve"> </v>
      </c>
      <c r="AS33" s="4" t="str">
        <f t="shared" si="14"/>
        <v xml:space="preserve"> </v>
      </c>
      <c r="AT33" s="4" t="str">
        <f t="shared" si="21"/>
        <v xml:space="preserve"> </v>
      </c>
      <c r="AU33" s="42" t="str">
        <f t="shared" si="22"/>
        <v xml:space="preserve"> </v>
      </c>
      <c r="AV33" s="43" t="str">
        <f t="shared" si="34"/>
        <v xml:space="preserve"> </v>
      </c>
      <c r="AW33" s="44" t="str">
        <f t="shared" si="15"/>
        <v xml:space="preserve"> </v>
      </c>
      <c r="AX33" s="43" t="str">
        <f t="shared" si="16"/>
        <v xml:space="preserve"> </v>
      </c>
      <c r="AY33" s="43" t="str">
        <f t="shared" si="17"/>
        <v xml:space="preserve"> </v>
      </c>
      <c r="AZ33" s="1" t="str">
        <f t="shared" si="18"/>
        <v xml:space="preserve"> </v>
      </c>
      <c r="BA33" s="1" t="str">
        <f t="shared" si="19"/>
        <v xml:space="preserve"> </v>
      </c>
    </row>
    <row r="34" spans="1:53" x14ac:dyDescent="0.3">
      <c r="A34" s="28"/>
      <c r="B34" s="29"/>
      <c r="C34" s="29"/>
      <c r="D34" s="30"/>
      <c r="E34" s="30"/>
      <c r="F34" s="31"/>
      <c r="G34" s="25"/>
      <c r="H34" s="76"/>
      <c r="I34" s="76"/>
      <c r="J34" s="69"/>
      <c r="K34" s="32"/>
      <c r="L34" s="67"/>
      <c r="M34" s="50"/>
      <c r="N34" s="50"/>
      <c r="O34" s="49"/>
      <c r="P34" s="50"/>
      <c r="Q34" s="83"/>
      <c r="R34" s="55"/>
      <c r="S34" s="27"/>
      <c r="T34" s="25"/>
      <c r="U34" s="33"/>
      <c r="V34" s="27"/>
      <c r="W34" s="76"/>
      <c r="X34" s="26"/>
      <c r="Y34" s="26"/>
      <c r="Z34" s="27"/>
      <c r="AA34" s="26"/>
      <c r="AB34" s="26"/>
      <c r="AC34" s="26"/>
      <c r="AD34" s="85"/>
      <c r="AE34" s="27"/>
      <c r="AF34" s="70"/>
      <c r="AG34" s="81">
        <f t="shared" si="3"/>
        <v>0</v>
      </c>
      <c r="AH34" s="90" t="str">
        <f t="shared" si="4"/>
        <v xml:space="preserve"> </v>
      </c>
      <c r="AI34" s="88" t="str">
        <f t="shared" si="5"/>
        <v xml:space="preserve"> </v>
      </c>
      <c r="AJ34" s="13" t="str">
        <f t="shared" si="6"/>
        <v xml:space="preserve"> </v>
      </c>
      <c r="AK34" s="4" t="str">
        <f t="shared" si="7"/>
        <v xml:space="preserve"> </v>
      </c>
      <c r="AL34" s="4" t="str">
        <f t="shared" si="8"/>
        <v xml:space="preserve"> </v>
      </c>
      <c r="AM34" s="13" t="str">
        <f t="shared" si="9"/>
        <v xml:space="preserve"> </v>
      </c>
      <c r="AN34" s="2" t="str">
        <f t="shared" si="10"/>
        <v xml:space="preserve"> </v>
      </c>
      <c r="AO34" s="2" t="str">
        <f t="shared" si="11"/>
        <v xml:space="preserve"> </v>
      </c>
      <c r="AP34" s="9" t="str">
        <f t="shared" si="20"/>
        <v xml:space="preserve"> </v>
      </c>
      <c r="AQ34" s="2" t="str">
        <f t="shared" si="12"/>
        <v xml:space="preserve"> </v>
      </c>
      <c r="AR34" s="2" t="str">
        <f t="shared" si="13"/>
        <v xml:space="preserve"> </v>
      </c>
      <c r="AS34" s="4" t="str">
        <f t="shared" si="14"/>
        <v xml:space="preserve"> </v>
      </c>
      <c r="AT34" s="4" t="str">
        <f t="shared" si="21"/>
        <v xml:space="preserve"> </v>
      </c>
      <c r="AU34" s="42" t="str">
        <f t="shared" si="22"/>
        <v xml:space="preserve"> </v>
      </c>
      <c r="AV34" s="43" t="str">
        <f t="shared" si="34"/>
        <v xml:space="preserve"> </v>
      </c>
      <c r="AW34" s="44" t="str">
        <f t="shared" si="15"/>
        <v xml:space="preserve"> </v>
      </c>
      <c r="AX34" s="43" t="str">
        <f t="shared" si="16"/>
        <v xml:space="preserve"> </v>
      </c>
      <c r="AY34" s="43" t="str">
        <f t="shared" si="17"/>
        <v xml:space="preserve"> </v>
      </c>
      <c r="AZ34" s="1" t="str">
        <f t="shared" si="18"/>
        <v xml:space="preserve"> </v>
      </c>
      <c r="BA34" s="1" t="str">
        <f t="shared" si="19"/>
        <v xml:space="preserve"> </v>
      </c>
    </row>
    <row r="35" spans="1:53" x14ac:dyDescent="0.3">
      <c r="A35" s="28"/>
      <c r="B35" s="29"/>
      <c r="C35" s="29"/>
      <c r="D35" s="30"/>
      <c r="E35" s="30"/>
      <c r="F35" s="31"/>
      <c r="G35" s="25"/>
      <c r="H35" s="76"/>
      <c r="I35" s="76"/>
      <c r="J35" s="69"/>
      <c r="K35" s="32"/>
      <c r="L35" s="67"/>
      <c r="M35" s="50"/>
      <c r="N35" s="50"/>
      <c r="O35" s="49"/>
      <c r="P35" s="50"/>
      <c r="Q35" s="83"/>
      <c r="R35" s="55"/>
      <c r="S35" s="27"/>
      <c r="T35" s="25"/>
      <c r="U35" s="33"/>
      <c r="V35" s="27"/>
      <c r="W35" s="76"/>
      <c r="X35" s="26"/>
      <c r="Y35" s="26"/>
      <c r="Z35" s="27"/>
      <c r="AA35" s="26"/>
      <c r="AB35" s="26"/>
      <c r="AC35" s="26"/>
      <c r="AD35" s="85"/>
      <c r="AE35" s="27"/>
      <c r="AF35" s="70"/>
      <c r="AG35" s="81">
        <f t="shared" si="3"/>
        <v>0</v>
      </c>
      <c r="AH35" s="90" t="str">
        <f t="shared" si="4"/>
        <v xml:space="preserve"> </v>
      </c>
      <c r="AI35" s="88" t="str">
        <f t="shared" si="5"/>
        <v xml:space="preserve"> </v>
      </c>
      <c r="AJ35" s="13" t="str">
        <f t="shared" si="6"/>
        <v xml:space="preserve"> </v>
      </c>
      <c r="AK35" s="4" t="str">
        <f t="shared" si="7"/>
        <v xml:space="preserve"> </v>
      </c>
      <c r="AL35" s="4" t="str">
        <f t="shared" si="8"/>
        <v xml:space="preserve"> </v>
      </c>
      <c r="AM35" s="13" t="str">
        <f t="shared" si="9"/>
        <v xml:space="preserve"> </v>
      </c>
      <c r="AN35" s="2" t="str">
        <f t="shared" si="10"/>
        <v xml:space="preserve"> </v>
      </c>
      <c r="AO35" s="2" t="str">
        <f t="shared" si="11"/>
        <v xml:space="preserve"> </v>
      </c>
      <c r="AP35" s="9" t="str">
        <f t="shared" si="20"/>
        <v xml:space="preserve"> </v>
      </c>
      <c r="AQ35" s="2" t="str">
        <f t="shared" si="12"/>
        <v xml:space="preserve"> </v>
      </c>
      <c r="AR35" s="2" t="str">
        <f t="shared" si="13"/>
        <v xml:space="preserve"> </v>
      </c>
      <c r="AS35" s="4" t="str">
        <f t="shared" si="14"/>
        <v xml:space="preserve"> </v>
      </c>
      <c r="AT35" s="4" t="str">
        <f t="shared" si="21"/>
        <v xml:space="preserve"> </v>
      </c>
      <c r="AU35" s="42" t="str">
        <f t="shared" si="22"/>
        <v xml:space="preserve"> </v>
      </c>
      <c r="AV35" s="43" t="str">
        <f t="shared" si="34"/>
        <v xml:space="preserve"> </v>
      </c>
      <c r="AW35" s="44" t="str">
        <f t="shared" si="15"/>
        <v xml:space="preserve"> </v>
      </c>
      <c r="AX35" s="43" t="str">
        <f t="shared" si="16"/>
        <v xml:space="preserve"> </v>
      </c>
      <c r="AY35" s="43" t="str">
        <f t="shared" si="17"/>
        <v xml:space="preserve"> </v>
      </c>
      <c r="AZ35" s="1" t="str">
        <f t="shared" si="18"/>
        <v xml:space="preserve"> </v>
      </c>
      <c r="BA35" s="1" t="str">
        <f t="shared" si="19"/>
        <v xml:space="preserve"> </v>
      </c>
    </row>
    <row r="36" spans="1:53" x14ac:dyDescent="0.3">
      <c r="A36" s="28"/>
      <c r="B36" s="29"/>
      <c r="C36" s="29"/>
      <c r="D36" s="30"/>
      <c r="E36" s="30"/>
      <c r="F36" s="31"/>
      <c r="G36" s="25"/>
      <c r="H36" s="76"/>
      <c r="I36" s="76"/>
      <c r="J36" s="69"/>
      <c r="K36" s="32"/>
      <c r="L36" s="67"/>
      <c r="M36" s="50"/>
      <c r="N36" s="50"/>
      <c r="O36" s="49"/>
      <c r="P36" s="50"/>
      <c r="Q36" s="83"/>
      <c r="R36" s="55"/>
      <c r="S36" s="27"/>
      <c r="T36" s="25"/>
      <c r="U36" s="33"/>
      <c r="V36" s="27"/>
      <c r="W36" s="76"/>
      <c r="X36" s="26"/>
      <c r="Y36" s="26"/>
      <c r="Z36" s="27"/>
      <c r="AA36" s="26"/>
      <c r="AB36" s="26"/>
      <c r="AC36" s="26"/>
      <c r="AD36" s="85"/>
      <c r="AE36" s="27"/>
      <c r="AF36" s="70"/>
      <c r="AG36" s="81">
        <f t="shared" si="3"/>
        <v>0</v>
      </c>
      <c r="AH36" s="90" t="str">
        <f t="shared" si="4"/>
        <v xml:space="preserve"> </v>
      </c>
      <c r="AI36" s="88" t="str">
        <f t="shared" si="5"/>
        <v xml:space="preserve"> </v>
      </c>
      <c r="AJ36" s="13" t="str">
        <f t="shared" si="6"/>
        <v xml:space="preserve"> </v>
      </c>
      <c r="AK36" s="4" t="str">
        <f t="shared" ref="AK36:AK67" si="35">IF(AND(A36&lt;&gt;"",AJ36="LAY"),"",IFERROR(B36*F36*AI36," "))</f>
        <v xml:space="preserve"> </v>
      </c>
      <c r="AL36" s="4" t="str">
        <f t="shared" si="8"/>
        <v xml:space="preserve"> </v>
      </c>
      <c r="AM36" s="13" t="str">
        <f t="shared" si="9"/>
        <v xml:space="preserve"> </v>
      </c>
      <c r="AN36" s="2" t="str">
        <f t="shared" si="10"/>
        <v xml:space="preserve"> </v>
      </c>
      <c r="AO36" s="2" t="str">
        <f t="shared" si="11"/>
        <v xml:space="preserve"> </v>
      </c>
      <c r="AP36" s="9" t="str">
        <f t="shared" si="20"/>
        <v xml:space="preserve"> </v>
      </c>
      <c r="AQ36" s="2" t="str">
        <f t="shared" si="12"/>
        <v xml:space="preserve"> </v>
      </c>
      <c r="AR36" s="2" t="str">
        <f t="shared" si="13"/>
        <v xml:space="preserve"> </v>
      </c>
      <c r="AS36" s="4" t="str">
        <f t="shared" si="14"/>
        <v xml:space="preserve"> </v>
      </c>
      <c r="AT36" s="4" t="str">
        <f t="shared" si="21"/>
        <v xml:space="preserve"> </v>
      </c>
      <c r="AU36" s="42" t="str">
        <f t="shared" si="22"/>
        <v xml:space="preserve"> </v>
      </c>
      <c r="AV36" s="43" t="str">
        <f t="shared" si="34"/>
        <v xml:space="preserve"> </v>
      </c>
      <c r="AW36" s="44" t="str">
        <f t="shared" si="15"/>
        <v xml:space="preserve"> </v>
      </c>
      <c r="AX36" s="43" t="str">
        <f t="shared" si="16"/>
        <v xml:space="preserve"> </v>
      </c>
      <c r="AY36" s="43" t="str">
        <f t="shared" si="17"/>
        <v xml:space="preserve"> </v>
      </c>
      <c r="AZ36" s="1" t="str">
        <f t="shared" si="18"/>
        <v xml:space="preserve"> </v>
      </c>
      <c r="BA36" s="1" t="str">
        <f t="shared" si="19"/>
        <v xml:space="preserve"> </v>
      </c>
    </row>
    <row r="37" spans="1:53" x14ac:dyDescent="0.3">
      <c r="A37" s="28"/>
      <c r="B37" s="29"/>
      <c r="C37" s="29"/>
      <c r="D37" s="30"/>
      <c r="E37" s="30"/>
      <c r="F37" s="31"/>
      <c r="G37" s="25"/>
      <c r="H37" s="76"/>
      <c r="I37" s="76"/>
      <c r="J37" s="69"/>
      <c r="K37" s="32"/>
      <c r="L37" s="67"/>
      <c r="M37" s="50"/>
      <c r="N37" s="50"/>
      <c r="O37" s="49"/>
      <c r="P37" s="50"/>
      <c r="Q37" s="83"/>
      <c r="R37" s="55"/>
      <c r="S37" s="27"/>
      <c r="T37" s="25"/>
      <c r="U37" s="33"/>
      <c r="V37" s="27"/>
      <c r="W37" s="76"/>
      <c r="X37" s="26"/>
      <c r="Y37" s="26"/>
      <c r="Z37" s="27"/>
      <c r="AA37" s="26"/>
      <c r="AB37" s="26"/>
      <c r="AC37" s="26"/>
      <c r="AD37" s="85"/>
      <c r="AE37" s="27"/>
      <c r="AF37" s="70"/>
      <c r="AG37" s="81">
        <f t="shared" si="3"/>
        <v>0</v>
      </c>
      <c r="AH37" s="90" t="str">
        <f t="shared" si="4"/>
        <v xml:space="preserve"> </v>
      </c>
      <c r="AI37" s="88" t="str">
        <f t="shared" si="5"/>
        <v xml:space="preserve"> </v>
      </c>
      <c r="AJ37" s="13" t="str">
        <f t="shared" si="6"/>
        <v xml:space="preserve"> </v>
      </c>
      <c r="AK37" s="4" t="str">
        <f t="shared" si="35"/>
        <v xml:space="preserve"> </v>
      </c>
      <c r="AL37" s="4" t="str">
        <f t="shared" si="8"/>
        <v xml:space="preserve"> </v>
      </c>
      <c r="AM37" s="13" t="str">
        <f t="shared" si="9"/>
        <v xml:space="preserve"> </v>
      </c>
      <c r="AN37" s="2" t="str">
        <f t="shared" si="10"/>
        <v xml:space="preserve"> </v>
      </c>
      <c r="AO37" s="2" t="str">
        <f t="shared" si="11"/>
        <v xml:space="preserve"> </v>
      </c>
      <c r="AP37" s="9" t="str">
        <f t="shared" si="20"/>
        <v xml:space="preserve"> </v>
      </c>
      <c r="AQ37" s="2" t="str">
        <f t="shared" si="12"/>
        <v xml:space="preserve"> </v>
      </c>
      <c r="AR37" s="2" t="str">
        <f t="shared" si="13"/>
        <v xml:space="preserve"> </v>
      </c>
      <c r="AS37" s="4" t="str">
        <f t="shared" si="14"/>
        <v xml:space="preserve"> </v>
      </c>
      <c r="AT37" s="4" t="str">
        <f t="shared" si="21"/>
        <v xml:space="preserve"> </v>
      </c>
      <c r="AU37" s="42" t="str">
        <f t="shared" si="22"/>
        <v xml:space="preserve"> </v>
      </c>
      <c r="AV37" s="43" t="str">
        <f t="shared" si="34"/>
        <v xml:space="preserve"> </v>
      </c>
      <c r="AW37" s="44" t="str">
        <f t="shared" si="15"/>
        <v xml:space="preserve"> </v>
      </c>
      <c r="AX37" s="43" t="str">
        <f t="shared" si="16"/>
        <v xml:space="preserve"> </v>
      </c>
      <c r="AY37" s="43" t="str">
        <f t="shared" si="17"/>
        <v xml:space="preserve"> </v>
      </c>
      <c r="AZ37" s="1" t="str">
        <f t="shared" si="18"/>
        <v xml:space="preserve"> </v>
      </c>
      <c r="BA37" s="1" t="str">
        <f t="shared" si="19"/>
        <v xml:space="preserve"> </v>
      </c>
    </row>
    <row r="38" spans="1:53" x14ac:dyDescent="0.3">
      <c r="A38" s="28"/>
      <c r="B38" s="29"/>
      <c r="C38" s="29"/>
      <c r="D38" s="30"/>
      <c r="E38" s="30"/>
      <c r="F38" s="31"/>
      <c r="G38" s="25"/>
      <c r="H38" s="76"/>
      <c r="I38" s="76"/>
      <c r="J38" s="69"/>
      <c r="K38" s="32"/>
      <c r="L38" s="67"/>
      <c r="M38" s="50"/>
      <c r="N38" s="50"/>
      <c r="O38" s="49"/>
      <c r="P38" s="50"/>
      <c r="Q38" s="83"/>
      <c r="R38" s="55"/>
      <c r="S38" s="27"/>
      <c r="T38" s="25"/>
      <c r="U38" s="33"/>
      <c r="V38" s="27"/>
      <c r="W38" s="76"/>
      <c r="X38" s="26"/>
      <c r="Y38" s="26"/>
      <c r="Z38" s="27"/>
      <c r="AA38" s="26"/>
      <c r="AB38" s="26"/>
      <c r="AC38" s="26"/>
      <c r="AD38" s="85"/>
      <c r="AE38" s="27"/>
      <c r="AF38" s="70"/>
      <c r="AG38" s="81">
        <f t="shared" si="3"/>
        <v>0</v>
      </c>
      <c r="AH38" s="90" t="str">
        <f t="shared" si="4"/>
        <v xml:space="preserve"> </v>
      </c>
      <c r="AI38" s="88" t="str">
        <f t="shared" si="5"/>
        <v xml:space="preserve"> </v>
      </c>
      <c r="AJ38" s="13" t="str">
        <f t="shared" si="6"/>
        <v xml:space="preserve"> </v>
      </c>
      <c r="AK38" s="4" t="str">
        <f t="shared" si="35"/>
        <v xml:space="preserve"> </v>
      </c>
      <c r="AL38" s="4" t="str">
        <f t="shared" si="8"/>
        <v xml:space="preserve"> </v>
      </c>
      <c r="AM38" s="13" t="str">
        <f t="shared" si="9"/>
        <v xml:space="preserve"> </v>
      </c>
      <c r="AN38" s="2" t="str">
        <f t="shared" si="10"/>
        <v xml:space="preserve"> </v>
      </c>
      <c r="AO38" s="2" t="str">
        <f t="shared" si="11"/>
        <v xml:space="preserve"> </v>
      </c>
      <c r="AP38" s="9" t="str">
        <f t="shared" si="20"/>
        <v xml:space="preserve"> </v>
      </c>
      <c r="AQ38" s="2" t="str">
        <f t="shared" si="12"/>
        <v xml:space="preserve"> </v>
      </c>
      <c r="AR38" s="2" t="str">
        <f t="shared" si="13"/>
        <v xml:space="preserve"> </v>
      </c>
      <c r="AS38" s="4" t="str">
        <f t="shared" si="14"/>
        <v xml:space="preserve"> </v>
      </c>
      <c r="AT38" s="4" t="str">
        <f t="shared" si="21"/>
        <v xml:space="preserve"> </v>
      </c>
      <c r="AU38" s="42" t="str">
        <f t="shared" si="22"/>
        <v xml:space="preserve"> </v>
      </c>
      <c r="AV38" s="43" t="str">
        <f t="shared" si="34"/>
        <v xml:space="preserve"> </v>
      </c>
      <c r="AW38" s="44" t="str">
        <f t="shared" si="15"/>
        <v xml:space="preserve"> </v>
      </c>
      <c r="AX38" s="43" t="str">
        <f t="shared" si="16"/>
        <v xml:space="preserve"> </v>
      </c>
      <c r="AY38" s="43" t="str">
        <f t="shared" si="17"/>
        <v xml:space="preserve"> </v>
      </c>
      <c r="AZ38" s="1" t="str">
        <f t="shared" si="18"/>
        <v xml:space="preserve"> </v>
      </c>
      <c r="BA38" s="1" t="str">
        <f t="shared" si="19"/>
        <v xml:space="preserve"> </v>
      </c>
    </row>
    <row r="39" spans="1:53" x14ac:dyDescent="0.3">
      <c r="A39" s="28"/>
      <c r="B39" s="29"/>
      <c r="C39" s="29"/>
      <c r="D39" s="30"/>
      <c r="E39" s="30"/>
      <c r="F39" s="31"/>
      <c r="G39" s="25"/>
      <c r="H39" s="76"/>
      <c r="I39" s="76"/>
      <c r="J39" s="69"/>
      <c r="K39" s="32"/>
      <c r="L39" s="67"/>
      <c r="M39" s="50"/>
      <c r="N39" s="50"/>
      <c r="O39" s="49"/>
      <c r="P39" s="50"/>
      <c r="Q39" s="83"/>
      <c r="R39" s="55"/>
      <c r="S39" s="27"/>
      <c r="T39" s="25"/>
      <c r="U39" s="33"/>
      <c r="V39" s="27"/>
      <c r="W39" s="76"/>
      <c r="X39" s="26"/>
      <c r="Y39" s="26"/>
      <c r="Z39" s="27"/>
      <c r="AA39" s="26"/>
      <c r="AB39" s="26"/>
      <c r="AC39" s="26"/>
      <c r="AD39" s="85"/>
      <c r="AE39" s="27"/>
      <c r="AF39" s="70"/>
      <c r="AG39" s="81">
        <f t="shared" si="3"/>
        <v>0</v>
      </c>
      <c r="AH39" s="90" t="str">
        <f t="shared" si="4"/>
        <v xml:space="preserve"> </v>
      </c>
      <c r="AI39" s="88" t="str">
        <f t="shared" si="5"/>
        <v xml:space="preserve"> </v>
      </c>
      <c r="AJ39" s="13" t="str">
        <f t="shared" si="6"/>
        <v xml:space="preserve"> </v>
      </c>
      <c r="AK39" s="4" t="str">
        <f t="shared" si="35"/>
        <v xml:space="preserve"> </v>
      </c>
      <c r="AL39" s="4" t="str">
        <f t="shared" si="8"/>
        <v xml:space="preserve"> </v>
      </c>
      <c r="AM39" s="13" t="str">
        <f t="shared" si="9"/>
        <v xml:space="preserve"> </v>
      </c>
      <c r="AN39" s="2" t="str">
        <f t="shared" si="10"/>
        <v xml:space="preserve"> </v>
      </c>
      <c r="AO39" s="2" t="str">
        <f t="shared" si="11"/>
        <v xml:space="preserve"> </v>
      </c>
      <c r="AP39" s="9" t="str">
        <f t="shared" si="20"/>
        <v xml:space="preserve"> </v>
      </c>
      <c r="AQ39" s="2" t="str">
        <f t="shared" si="12"/>
        <v xml:space="preserve"> </v>
      </c>
      <c r="AR39" s="2" t="str">
        <f t="shared" si="13"/>
        <v xml:space="preserve"> </v>
      </c>
      <c r="AS39" s="4" t="str">
        <f t="shared" si="14"/>
        <v xml:space="preserve"> </v>
      </c>
      <c r="AT39" s="4" t="str">
        <f t="shared" si="21"/>
        <v xml:space="preserve"> </v>
      </c>
      <c r="AU39" s="42" t="str">
        <f t="shared" si="22"/>
        <v xml:space="preserve"> </v>
      </c>
      <c r="AV39" s="43" t="str">
        <f t="shared" si="34"/>
        <v xml:space="preserve"> </v>
      </c>
      <c r="AW39" s="44" t="str">
        <f t="shared" si="15"/>
        <v xml:space="preserve"> </v>
      </c>
      <c r="AX39" s="43" t="str">
        <f t="shared" si="16"/>
        <v xml:space="preserve"> </v>
      </c>
      <c r="AY39" s="43" t="str">
        <f t="shared" si="17"/>
        <v xml:space="preserve"> </v>
      </c>
      <c r="AZ39" s="1" t="str">
        <f t="shared" si="18"/>
        <v xml:space="preserve"> </v>
      </c>
      <c r="BA39" s="1" t="str">
        <f t="shared" si="19"/>
        <v xml:space="preserve"> </v>
      </c>
    </row>
    <row r="40" spans="1:53" x14ac:dyDescent="0.3">
      <c r="A40" s="28"/>
      <c r="B40" s="29"/>
      <c r="C40" s="29"/>
      <c r="D40" s="30"/>
      <c r="E40" s="30"/>
      <c r="F40" s="31"/>
      <c r="G40" s="25"/>
      <c r="H40" s="76"/>
      <c r="I40" s="76"/>
      <c r="J40" s="69"/>
      <c r="K40" s="32"/>
      <c r="L40" s="67"/>
      <c r="M40" s="50"/>
      <c r="N40" s="50"/>
      <c r="O40" s="49"/>
      <c r="P40" s="50"/>
      <c r="Q40" s="83"/>
      <c r="R40" s="55"/>
      <c r="S40" s="27"/>
      <c r="T40" s="25"/>
      <c r="U40" s="33"/>
      <c r="V40" s="27"/>
      <c r="W40" s="76"/>
      <c r="X40" s="26"/>
      <c r="Y40" s="26"/>
      <c r="Z40" s="27"/>
      <c r="AA40" s="26"/>
      <c r="AB40" s="26"/>
      <c r="AC40" s="26"/>
      <c r="AD40" s="85"/>
      <c r="AE40" s="27"/>
      <c r="AF40" s="70"/>
      <c r="AG40" s="81">
        <f t="shared" si="3"/>
        <v>0</v>
      </c>
      <c r="AH40" s="90" t="str">
        <f t="shared" si="4"/>
        <v xml:space="preserve"> </v>
      </c>
      <c r="AI40" s="88" t="str">
        <f t="shared" si="5"/>
        <v xml:space="preserve"> </v>
      </c>
      <c r="AJ40" s="13" t="str">
        <f t="shared" si="6"/>
        <v xml:space="preserve"> </v>
      </c>
      <c r="AK40" s="4" t="str">
        <f t="shared" si="35"/>
        <v xml:space="preserve"> </v>
      </c>
      <c r="AL40" s="4" t="str">
        <f t="shared" si="8"/>
        <v xml:space="preserve"> </v>
      </c>
      <c r="AM40" s="13" t="str">
        <f t="shared" si="9"/>
        <v xml:space="preserve"> </v>
      </c>
      <c r="AN40" s="2" t="str">
        <f t="shared" si="10"/>
        <v xml:space="preserve"> </v>
      </c>
      <c r="AO40" s="2" t="str">
        <f t="shared" si="11"/>
        <v xml:space="preserve"> </v>
      </c>
      <c r="AP40" s="9" t="str">
        <f t="shared" si="20"/>
        <v xml:space="preserve"> </v>
      </c>
      <c r="AQ40" s="2" t="str">
        <f t="shared" si="12"/>
        <v xml:space="preserve"> </v>
      </c>
      <c r="AR40" s="2" t="str">
        <f t="shared" si="13"/>
        <v xml:space="preserve"> </v>
      </c>
      <c r="AS40" s="4" t="str">
        <f t="shared" si="14"/>
        <v xml:space="preserve"> </v>
      </c>
      <c r="AT40" s="4" t="str">
        <f t="shared" si="21"/>
        <v xml:space="preserve"> </v>
      </c>
      <c r="AU40" s="42" t="str">
        <f t="shared" si="22"/>
        <v xml:space="preserve"> </v>
      </c>
      <c r="AV40" s="43" t="str">
        <f t="shared" si="34"/>
        <v xml:space="preserve"> </v>
      </c>
      <c r="AW40" s="44" t="str">
        <f t="shared" si="15"/>
        <v xml:space="preserve"> </v>
      </c>
      <c r="AX40" s="43" t="str">
        <f t="shared" si="16"/>
        <v xml:space="preserve"> </v>
      </c>
      <c r="AY40" s="43" t="str">
        <f t="shared" si="17"/>
        <v xml:space="preserve"> </v>
      </c>
      <c r="AZ40" s="1" t="str">
        <f t="shared" si="18"/>
        <v xml:space="preserve"> </v>
      </c>
      <c r="BA40" s="1" t="str">
        <f t="shared" si="19"/>
        <v xml:space="preserve"> </v>
      </c>
    </row>
    <row r="41" spans="1:53" x14ac:dyDescent="0.3">
      <c r="A41" s="28"/>
      <c r="B41" s="29"/>
      <c r="C41" s="29"/>
      <c r="D41" s="30"/>
      <c r="E41" s="30"/>
      <c r="F41" s="31"/>
      <c r="G41" s="25"/>
      <c r="H41" s="76"/>
      <c r="I41" s="76"/>
      <c r="J41" s="69"/>
      <c r="K41" s="32"/>
      <c r="L41" s="67"/>
      <c r="M41" s="50"/>
      <c r="N41" s="50"/>
      <c r="O41" s="49"/>
      <c r="P41" s="50"/>
      <c r="Q41" s="83"/>
      <c r="R41" s="55"/>
      <c r="S41" s="27"/>
      <c r="T41" s="25"/>
      <c r="U41" s="33"/>
      <c r="V41" s="27"/>
      <c r="W41" s="76"/>
      <c r="X41" s="26"/>
      <c r="Y41" s="26"/>
      <c r="Z41" s="27"/>
      <c r="AA41" s="26"/>
      <c r="AB41" s="26"/>
      <c r="AC41" s="26"/>
      <c r="AD41" s="85"/>
      <c r="AE41" s="27"/>
      <c r="AF41" s="70"/>
      <c r="AG41" s="81">
        <f t="shared" si="3"/>
        <v>0</v>
      </c>
      <c r="AH41" s="90" t="str">
        <f t="shared" si="4"/>
        <v xml:space="preserve"> </v>
      </c>
      <c r="AI41" s="88" t="str">
        <f t="shared" si="5"/>
        <v xml:space="preserve"> </v>
      </c>
      <c r="AJ41" s="13" t="str">
        <f t="shared" si="6"/>
        <v xml:space="preserve"> </v>
      </c>
      <c r="AK41" s="4" t="str">
        <f t="shared" si="35"/>
        <v xml:space="preserve"> </v>
      </c>
      <c r="AL41" s="4" t="str">
        <f t="shared" si="8"/>
        <v xml:space="preserve"> </v>
      </c>
      <c r="AM41" s="13" t="str">
        <f t="shared" si="9"/>
        <v xml:space="preserve"> </v>
      </c>
      <c r="AN41" s="2" t="str">
        <f t="shared" si="10"/>
        <v xml:space="preserve"> </v>
      </c>
      <c r="AO41" s="2" t="str">
        <f t="shared" si="11"/>
        <v xml:space="preserve"> </v>
      </c>
      <c r="AP41" s="9" t="str">
        <f t="shared" si="20"/>
        <v xml:space="preserve"> </v>
      </c>
      <c r="AQ41" s="2" t="str">
        <f t="shared" si="12"/>
        <v xml:space="preserve"> </v>
      </c>
      <c r="AR41" s="2" t="str">
        <f t="shared" si="13"/>
        <v xml:space="preserve"> </v>
      </c>
      <c r="AS41" s="4" t="str">
        <f t="shared" si="14"/>
        <v xml:space="preserve"> </v>
      </c>
      <c r="AT41" s="4" t="str">
        <f t="shared" si="21"/>
        <v xml:space="preserve"> </v>
      </c>
      <c r="AU41" s="42" t="str">
        <f t="shared" si="22"/>
        <v xml:space="preserve"> </v>
      </c>
      <c r="AV41" s="43" t="str">
        <f t="shared" si="34"/>
        <v xml:space="preserve"> </v>
      </c>
      <c r="AW41" s="44" t="str">
        <f t="shared" si="15"/>
        <v xml:space="preserve"> </v>
      </c>
      <c r="AX41" s="43" t="str">
        <f t="shared" si="16"/>
        <v xml:space="preserve"> </v>
      </c>
      <c r="AY41" s="43" t="str">
        <f t="shared" si="17"/>
        <v xml:space="preserve"> </v>
      </c>
      <c r="AZ41" s="1" t="str">
        <f t="shared" si="18"/>
        <v xml:space="preserve"> </v>
      </c>
      <c r="BA41" s="1" t="str">
        <f t="shared" si="19"/>
        <v xml:space="preserve"> </v>
      </c>
    </row>
    <row r="42" spans="1:53" x14ac:dyDescent="0.3">
      <c r="A42" s="28"/>
      <c r="B42" s="29"/>
      <c r="C42" s="29"/>
      <c r="D42" s="30"/>
      <c r="E42" s="30"/>
      <c r="F42" s="31"/>
      <c r="G42" s="25"/>
      <c r="H42" s="76"/>
      <c r="I42" s="76"/>
      <c r="J42" s="69"/>
      <c r="K42" s="32"/>
      <c r="L42" s="67"/>
      <c r="M42" s="50"/>
      <c r="N42" s="50"/>
      <c r="O42" s="49"/>
      <c r="P42" s="50"/>
      <c r="Q42" s="83"/>
      <c r="R42" s="55"/>
      <c r="S42" s="27"/>
      <c r="T42" s="25"/>
      <c r="U42" s="33"/>
      <c r="V42" s="27"/>
      <c r="W42" s="76"/>
      <c r="X42" s="26"/>
      <c r="Y42" s="26"/>
      <c r="Z42" s="27"/>
      <c r="AA42" s="26"/>
      <c r="AB42" s="26"/>
      <c r="AC42" s="26"/>
      <c r="AD42" s="85"/>
      <c r="AE42" s="27"/>
      <c r="AF42" s="70"/>
      <c r="AG42" s="81">
        <f t="shared" si="3"/>
        <v>0</v>
      </c>
      <c r="AH42" s="90" t="str">
        <f t="shared" si="4"/>
        <v xml:space="preserve"> </v>
      </c>
      <c r="AI42" s="88" t="str">
        <f t="shared" si="5"/>
        <v xml:space="preserve"> </v>
      </c>
      <c r="AJ42" s="13" t="str">
        <f t="shared" si="6"/>
        <v xml:space="preserve"> </v>
      </c>
      <c r="AK42" s="4" t="str">
        <f t="shared" si="35"/>
        <v xml:space="preserve"> </v>
      </c>
      <c r="AL42" s="4" t="str">
        <f t="shared" si="8"/>
        <v xml:space="preserve"> </v>
      </c>
      <c r="AM42" s="13" t="str">
        <f t="shared" si="9"/>
        <v xml:space="preserve"> </v>
      </c>
      <c r="AN42" s="2" t="str">
        <f t="shared" si="10"/>
        <v xml:space="preserve"> </v>
      </c>
      <c r="AO42" s="2" t="str">
        <f t="shared" si="11"/>
        <v xml:space="preserve"> </v>
      </c>
      <c r="AP42" s="9" t="str">
        <f t="shared" si="20"/>
        <v xml:space="preserve"> </v>
      </c>
      <c r="AQ42" s="2" t="str">
        <f t="shared" si="12"/>
        <v xml:space="preserve"> </v>
      </c>
      <c r="AR42" s="2" t="str">
        <f t="shared" si="13"/>
        <v xml:space="preserve"> </v>
      </c>
      <c r="AS42" s="4" t="str">
        <f t="shared" si="14"/>
        <v xml:space="preserve"> </v>
      </c>
      <c r="AT42" s="4" t="str">
        <f t="shared" si="21"/>
        <v xml:space="preserve"> </v>
      </c>
      <c r="AU42" s="42" t="str">
        <f t="shared" si="22"/>
        <v xml:space="preserve"> </v>
      </c>
      <c r="AV42" s="43" t="str">
        <f t="shared" si="34"/>
        <v xml:space="preserve"> </v>
      </c>
      <c r="AW42" s="44" t="str">
        <f t="shared" si="15"/>
        <v xml:space="preserve"> </v>
      </c>
      <c r="AX42" s="43" t="str">
        <f t="shared" si="16"/>
        <v xml:space="preserve"> </v>
      </c>
      <c r="AY42" s="43" t="str">
        <f t="shared" si="17"/>
        <v xml:space="preserve"> </v>
      </c>
      <c r="AZ42" s="1" t="str">
        <f t="shared" si="18"/>
        <v xml:space="preserve"> </v>
      </c>
      <c r="BA42" s="1" t="str">
        <f t="shared" si="19"/>
        <v xml:space="preserve"> </v>
      </c>
    </row>
    <row r="43" spans="1:53" x14ac:dyDescent="0.3">
      <c r="A43" s="28"/>
      <c r="B43" s="29"/>
      <c r="C43" s="29"/>
      <c r="D43" s="30"/>
      <c r="E43" s="30"/>
      <c r="F43" s="31"/>
      <c r="G43" s="25"/>
      <c r="H43" s="76"/>
      <c r="I43" s="76"/>
      <c r="J43" s="69"/>
      <c r="K43" s="32"/>
      <c r="L43" s="67"/>
      <c r="M43" s="50"/>
      <c r="N43" s="50"/>
      <c r="O43" s="49"/>
      <c r="P43" s="50"/>
      <c r="Q43" s="83"/>
      <c r="R43" s="55"/>
      <c r="S43" s="27"/>
      <c r="T43" s="25"/>
      <c r="U43" s="33"/>
      <c r="V43" s="27"/>
      <c r="W43" s="76"/>
      <c r="X43" s="26"/>
      <c r="Y43" s="26"/>
      <c r="Z43" s="27"/>
      <c r="AA43" s="26"/>
      <c r="AB43" s="26"/>
      <c r="AC43" s="26"/>
      <c r="AD43" s="85"/>
      <c r="AE43" s="27"/>
      <c r="AF43" s="70"/>
      <c r="AG43" s="81">
        <f t="shared" si="3"/>
        <v>0</v>
      </c>
      <c r="AH43" s="90" t="str">
        <f t="shared" si="4"/>
        <v xml:space="preserve"> </v>
      </c>
      <c r="AI43" s="88" t="str">
        <f t="shared" si="5"/>
        <v xml:space="preserve"> </v>
      </c>
      <c r="AJ43" s="13" t="str">
        <f t="shared" si="6"/>
        <v xml:space="preserve"> </v>
      </c>
      <c r="AK43" s="4" t="str">
        <f t="shared" si="35"/>
        <v xml:space="preserve"> </v>
      </c>
      <c r="AL43" s="4" t="str">
        <f t="shared" si="8"/>
        <v xml:space="preserve"> </v>
      </c>
      <c r="AM43" s="13" t="str">
        <f t="shared" si="9"/>
        <v xml:space="preserve"> </v>
      </c>
      <c r="AN43" s="2" t="str">
        <f t="shared" si="10"/>
        <v xml:space="preserve"> </v>
      </c>
      <c r="AO43" s="2" t="str">
        <f t="shared" si="11"/>
        <v xml:space="preserve"> </v>
      </c>
      <c r="AP43" s="9" t="str">
        <f t="shared" si="20"/>
        <v xml:space="preserve"> </v>
      </c>
      <c r="AQ43" s="2" t="str">
        <f t="shared" si="12"/>
        <v xml:space="preserve"> </v>
      </c>
      <c r="AR43" s="2" t="str">
        <f t="shared" si="13"/>
        <v xml:space="preserve"> </v>
      </c>
      <c r="AS43" s="4" t="str">
        <f t="shared" si="14"/>
        <v xml:space="preserve"> </v>
      </c>
      <c r="AT43" s="4" t="str">
        <f t="shared" si="21"/>
        <v xml:space="preserve"> </v>
      </c>
      <c r="AU43" s="42" t="str">
        <f t="shared" si="22"/>
        <v xml:space="preserve"> </v>
      </c>
      <c r="AV43" s="43" t="str">
        <f t="shared" si="34"/>
        <v xml:space="preserve"> </v>
      </c>
      <c r="AW43" s="44" t="str">
        <f t="shared" si="15"/>
        <v xml:space="preserve"> </v>
      </c>
      <c r="AX43" s="43" t="str">
        <f t="shared" si="16"/>
        <v xml:space="preserve"> </v>
      </c>
      <c r="AY43" s="43" t="str">
        <f t="shared" si="17"/>
        <v xml:space="preserve"> </v>
      </c>
      <c r="AZ43" s="1" t="str">
        <f t="shared" si="18"/>
        <v xml:space="preserve"> </v>
      </c>
      <c r="BA43" s="1" t="str">
        <f t="shared" si="19"/>
        <v xml:space="preserve"> </v>
      </c>
    </row>
    <row r="44" spans="1:53" x14ac:dyDescent="0.3">
      <c r="A44" s="28"/>
      <c r="B44" s="29"/>
      <c r="C44" s="29"/>
      <c r="D44" s="30"/>
      <c r="E44" s="30"/>
      <c r="F44" s="31"/>
      <c r="G44" s="25"/>
      <c r="H44" s="76"/>
      <c r="I44" s="76"/>
      <c r="J44" s="69"/>
      <c r="K44" s="32"/>
      <c r="L44" s="67"/>
      <c r="M44" s="50"/>
      <c r="N44" s="50"/>
      <c r="O44" s="49"/>
      <c r="P44" s="50"/>
      <c r="Q44" s="83"/>
      <c r="R44" s="55"/>
      <c r="S44" s="27"/>
      <c r="T44" s="25"/>
      <c r="U44" s="33"/>
      <c r="V44" s="27"/>
      <c r="W44" s="76"/>
      <c r="X44" s="26"/>
      <c r="Y44" s="26"/>
      <c r="Z44" s="27"/>
      <c r="AA44" s="26"/>
      <c r="AB44" s="26"/>
      <c r="AC44" s="26"/>
      <c r="AD44" s="85"/>
      <c r="AE44" s="27"/>
      <c r="AF44" s="70"/>
      <c r="AG44" s="81">
        <f t="shared" si="3"/>
        <v>0</v>
      </c>
      <c r="AH44" s="90" t="str">
        <f t="shared" si="4"/>
        <v xml:space="preserve"> </v>
      </c>
      <c r="AI44" s="88" t="str">
        <f t="shared" si="5"/>
        <v xml:space="preserve"> </v>
      </c>
      <c r="AJ44" s="13" t="str">
        <f t="shared" si="6"/>
        <v xml:space="preserve"> </v>
      </c>
      <c r="AK44" s="4" t="str">
        <f t="shared" si="35"/>
        <v xml:space="preserve"> </v>
      </c>
      <c r="AL44" s="4" t="str">
        <f t="shared" si="8"/>
        <v xml:space="preserve"> </v>
      </c>
      <c r="AM44" s="13" t="str">
        <f t="shared" si="9"/>
        <v xml:space="preserve"> </v>
      </c>
      <c r="AN44" s="2" t="str">
        <f t="shared" si="10"/>
        <v xml:space="preserve"> </v>
      </c>
      <c r="AO44" s="2" t="str">
        <f t="shared" si="11"/>
        <v xml:space="preserve"> </v>
      </c>
      <c r="AP44" s="9" t="str">
        <f t="shared" si="20"/>
        <v xml:space="preserve"> </v>
      </c>
      <c r="AQ44" s="2" t="str">
        <f t="shared" si="12"/>
        <v xml:space="preserve"> </v>
      </c>
      <c r="AR44" s="2" t="str">
        <f t="shared" si="13"/>
        <v xml:space="preserve"> </v>
      </c>
      <c r="AS44" s="4" t="str">
        <f t="shared" si="14"/>
        <v xml:space="preserve"> </v>
      </c>
      <c r="AT44" s="4" t="str">
        <f t="shared" si="21"/>
        <v xml:space="preserve"> </v>
      </c>
      <c r="AU44" s="42" t="str">
        <f t="shared" si="22"/>
        <v xml:space="preserve"> </v>
      </c>
      <c r="AV44" s="43" t="str">
        <f t="shared" si="34"/>
        <v xml:space="preserve"> </v>
      </c>
      <c r="AW44" s="44" t="str">
        <f t="shared" si="15"/>
        <v xml:space="preserve"> </v>
      </c>
      <c r="AX44" s="43" t="str">
        <f t="shared" si="16"/>
        <v xml:space="preserve"> </v>
      </c>
      <c r="AY44" s="43" t="str">
        <f t="shared" si="17"/>
        <v xml:space="preserve"> </v>
      </c>
      <c r="AZ44" s="1" t="str">
        <f t="shared" si="18"/>
        <v xml:space="preserve"> </v>
      </c>
      <c r="BA44" s="1" t="str">
        <f t="shared" si="19"/>
        <v xml:space="preserve"> </v>
      </c>
    </row>
    <row r="45" spans="1:53" x14ac:dyDescent="0.3">
      <c r="A45" s="28"/>
      <c r="B45" s="29"/>
      <c r="C45" s="29"/>
      <c r="D45" s="30"/>
      <c r="E45" s="30"/>
      <c r="F45" s="31"/>
      <c r="G45" s="25"/>
      <c r="H45" s="76"/>
      <c r="I45" s="76"/>
      <c r="J45" s="69"/>
      <c r="K45" s="32"/>
      <c r="L45" s="67"/>
      <c r="M45" s="50"/>
      <c r="N45" s="50"/>
      <c r="O45" s="49"/>
      <c r="P45" s="50"/>
      <c r="Q45" s="83"/>
      <c r="R45" s="55"/>
      <c r="S45" s="27"/>
      <c r="T45" s="25"/>
      <c r="U45" s="33"/>
      <c r="V45" s="27"/>
      <c r="W45" s="76"/>
      <c r="X45" s="26"/>
      <c r="Y45" s="26"/>
      <c r="Z45" s="27"/>
      <c r="AA45" s="26"/>
      <c r="AB45" s="26"/>
      <c r="AC45" s="26"/>
      <c r="AD45" s="85"/>
      <c r="AE45" s="27"/>
      <c r="AF45" s="70"/>
      <c r="AG45" s="81">
        <f t="shared" si="3"/>
        <v>0</v>
      </c>
      <c r="AH45" s="90" t="str">
        <f t="shared" si="4"/>
        <v xml:space="preserve"> </v>
      </c>
      <c r="AI45" s="88" t="str">
        <f t="shared" si="5"/>
        <v xml:space="preserve"> </v>
      </c>
      <c r="AJ45" s="13" t="str">
        <f t="shared" si="6"/>
        <v xml:space="preserve"> </v>
      </c>
      <c r="AK45" s="4" t="str">
        <f t="shared" si="35"/>
        <v xml:space="preserve"> </v>
      </c>
      <c r="AL45" s="4" t="str">
        <f t="shared" si="8"/>
        <v xml:space="preserve"> </v>
      </c>
      <c r="AM45" s="13" t="str">
        <f t="shared" si="9"/>
        <v xml:space="preserve"> </v>
      </c>
      <c r="AN45" s="2" t="str">
        <f t="shared" si="10"/>
        <v xml:space="preserve"> </v>
      </c>
      <c r="AO45" s="2" t="str">
        <f t="shared" si="11"/>
        <v xml:space="preserve"> </v>
      </c>
      <c r="AP45" s="9" t="str">
        <f t="shared" si="20"/>
        <v xml:space="preserve"> </v>
      </c>
      <c r="AQ45" s="2" t="str">
        <f t="shared" si="12"/>
        <v xml:space="preserve"> </v>
      </c>
      <c r="AR45" s="2" t="str">
        <f t="shared" si="13"/>
        <v xml:space="preserve"> </v>
      </c>
      <c r="AS45" s="4" t="str">
        <f t="shared" si="14"/>
        <v xml:space="preserve"> </v>
      </c>
      <c r="AT45" s="4" t="str">
        <f t="shared" si="21"/>
        <v xml:space="preserve"> </v>
      </c>
      <c r="AU45" s="42" t="str">
        <f t="shared" si="22"/>
        <v xml:space="preserve"> </v>
      </c>
      <c r="AV45" s="43" t="str">
        <f t="shared" si="34"/>
        <v xml:space="preserve"> </v>
      </c>
      <c r="AW45" s="44" t="str">
        <f t="shared" si="15"/>
        <v xml:space="preserve"> </v>
      </c>
      <c r="AX45" s="43" t="str">
        <f t="shared" si="16"/>
        <v xml:space="preserve"> </v>
      </c>
      <c r="AY45" s="43" t="str">
        <f t="shared" si="17"/>
        <v xml:space="preserve"> </v>
      </c>
      <c r="AZ45" s="1" t="str">
        <f t="shared" si="18"/>
        <v xml:space="preserve"> </v>
      </c>
      <c r="BA45" s="1" t="str">
        <f t="shared" si="19"/>
        <v xml:space="preserve"> </v>
      </c>
    </row>
    <row r="46" spans="1:53" x14ac:dyDescent="0.3">
      <c r="A46" s="28"/>
      <c r="B46" s="29"/>
      <c r="C46" s="29"/>
      <c r="D46" s="30"/>
      <c r="E46" s="30"/>
      <c r="F46" s="31"/>
      <c r="G46" s="25"/>
      <c r="H46" s="76"/>
      <c r="I46" s="76"/>
      <c r="J46" s="69"/>
      <c r="K46" s="32"/>
      <c r="L46" s="67"/>
      <c r="M46" s="50"/>
      <c r="N46" s="50"/>
      <c r="O46" s="49"/>
      <c r="P46" s="50"/>
      <c r="Q46" s="83"/>
      <c r="R46" s="55"/>
      <c r="S46" s="27"/>
      <c r="T46" s="25"/>
      <c r="U46" s="33"/>
      <c r="V46" s="27"/>
      <c r="W46" s="76"/>
      <c r="X46" s="26"/>
      <c r="Y46" s="26"/>
      <c r="Z46" s="27"/>
      <c r="AA46" s="26"/>
      <c r="AB46" s="26"/>
      <c r="AC46" s="26"/>
      <c r="AD46" s="85"/>
      <c r="AE46" s="27"/>
      <c r="AF46" s="70"/>
      <c r="AG46" s="81">
        <f t="shared" si="3"/>
        <v>0</v>
      </c>
      <c r="AH46" s="90" t="str">
        <f t="shared" si="4"/>
        <v xml:space="preserve"> </v>
      </c>
      <c r="AI46" s="88" t="str">
        <f t="shared" si="5"/>
        <v xml:space="preserve"> </v>
      </c>
      <c r="AJ46" s="13" t="str">
        <f t="shared" si="6"/>
        <v xml:space="preserve"> </v>
      </c>
      <c r="AK46" s="4" t="str">
        <f t="shared" si="35"/>
        <v xml:space="preserve"> </v>
      </c>
      <c r="AL46" s="4" t="str">
        <f t="shared" si="8"/>
        <v xml:space="preserve"> </v>
      </c>
      <c r="AM46" s="13" t="str">
        <f t="shared" si="9"/>
        <v xml:space="preserve"> </v>
      </c>
      <c r="AN46" s="2" t="str">
        <f t="shared" si="10"/>
        <v xml:space="preserve"> </v>
      </c>
      <c r="AO46" s="2" t="str">
        <f t="shared" si="11"/>
        <v xml:space="preserve"> </v>
      </c>
      <c r="AP46" s="9" t="str">
        <f t="shared" si="20"/>
        <v xml:space="preserve"> </v>
      </c>
      <c r="AQ46" s="2" t="str">
        <f t="shared" si="12"/>
        <v xml:space="preserve"> </v>
      </c>
      <c r="AR46" s="2" t="str">
        <f t="shared" si="13"/>
        <v xml:space="preserve"> </v>
      </c>
      <c r="AS46" s="4" t="str">
        <f t="shared" si="14"/>
        <v xml:space="preserve"> </v>
      </c>
      <c r="AT46" s="4" t="str">
        <f t="shared" si="21"/>
        <v xml:space="preserve"> </v>
      </c>
      <c r="AU46" s="42" t="str">
        <f t="shared" si="22"/>
        <v xml:space="preserve"> </v>
      </c>
      <c r="AV46" s="43" t="str">
        <f t="shared" si="34"/>
        <v xml:space="preserve"> </v>
      </c>
      <c r="AW46" s="44" t="str">
        <f t="shared" si="15"/>
        <v xml:space="preserve"> </v>
      </c>
      <c r="AX46" s="43" t="str">
        <f t="shared" si="16"/>
        <v xml:space="preserve"> </v>
      </c>
      <c r="AY46" s="43" t="str">
        <f t="shared" si="17"/>
        <v xml:space="preserve"> </v>
      </c>
      <c r="AZ46" s="1" t="str">
        <f t="shared" si="18"/>
        <v xml:space="preserve"> </v>
      </c>
      <c r="BA46" s="1" t="str">
        <f t="shared" si="19"/>
        <v xml:space="preserve"> </v>
      </c>
    </row>
    <row r="47" spans="1:53" x14ac:dyDescent="0.3">
      <c r="A47" s="28"/>
      <c r="B47" s="29"/>
      <c r="C47" s="29"/>
      <c r="D47" s="30"/>
      <c r="E47" s="30"/>
      <c r="F47" s="31"/>
      <c r="G47" s="25"/>
      <c r="H47" s="76"/>
      <c r="I47" s="76"/>
      <c r="J47" s="69"/>
      <c r="K47" s="32"/>
      <c r="L47" s="67"/>
      <c r="M47" s="50"/>
      <c r="N47" s="50"/>
      <c r="O47" s="49"/>
      <c r="P47" s="50"/>
      <c r="Q47" s="83"/>
      <c r="R47" s="55"/>
      <c r="S47" s="27"/>
      <c r="T47" s="25"/>
      <c r="U47" s="33"/>
      <c r="V47" s="27"/>
      <c r="W47" s="76"/>
      <c r="X47" s="26"/>
      <c r="Y47" s="26"/>
      <c r="Z47" s="27"/>
      <c r="AA47" s="26"/>
      <c r="AB47" s="26"/>
      <c r="AC47" s="26"/>
      <c r="AD47" s="85"/>
      <c r="AE47" s="27"/>
      <c r="AF47" s="70"/>
      <c r="AG47" s="81">
        <f t="shared" si="3"/>
        <v>0</v>
      </c>
      <c r="AH47" s="90" t="str">
        <f t="shared" si="4"/>
        <v xml:space="preserve"> </v>
      </c>
      <c r="AI47" s="88" t="str">
        <f t="shared" si="5"/>
        <v xml:space="preserve"> </v>
      </c>
      <c r="AJ47" s="13" t="str">
        <f t="shared" si="6"/>
        <v xml:space="preserve"> </v>
      </c>
      <c r="AK47" s="4" t="str">
        <f t="shared" si="35"/>
        <v xml:space="preserve"> </v>
      </c>
      <c r="AL47" s="4" t="str">
        <f t="shared" si="8"/>
        <v xml:space="preserve"> </v>
      </c>
      <c r="AM47" s="13" t="str">
        <f t="shared" si="9"/>
        <v xml:space="preserve"> </v>
      </c>
      <c r="AN47" s="2" t="str">
        <f t="shared" si="10"/>
        <v xml:space="preserve"> </v>
      </c>
      <c r="AO47" s="2" t="str">
        <f t="shared" si="11"/>
        <v xml:space="preserve"> </v>
      </c>
      <c r="AP47" s="9" t="str">
        <f t="shared" si="20"/>
        <v xml:space="preserve"> </v>
      </c>
      <c r="AQ47" s="2" t="str">
        <f t="shared" si="12"/>
        <v xml:space="preserve"> </v>
      </c>
      <c r="AR47" s="2" t="str">
        <f t="shared" si="13"/>
        <v xml:space="preserve"> </v>
      </c>
      <c r="AS47" s="4" t="str">
        <f t="shared" si="14"/>
        <v xml:space="preserve"> </v>
      </c>
      <c r="AT47" s="4" t="str">
        <f t="shared" si="21"/>
        <v xml:space="preserve"> </v>
      </c>
      <c r="AU47" s="42" t="str">
        <f t="shared" si="22"/>
        <v xml:space="preserve"> </v>
      </c>
      <c r="AV47" s="43" t="str">
        <f t="shared" si="34"/>
        <v xml:space="preserve"> </v>
      </c>
      <c r="AW47" s="44" t="str">
        <f t="shared" si="15"/>
        <v xml:space="preserve"> </v>
      </c>
      <c r="AX47" s="43" t="str">
        <f t="shared" si="16"/>
        <v xml:space="preserve"> </v>
      </c>
      <c r="AY47" s="43" t="str">
        <f t="shared" si="17"/>
        <v xml:space="preserve"> </v>
      </c>
      <c r="AZ47" s="1" t="str">
        <f t="shared" si="18"/>
        <v xml:space="preserve"> </v>
      </c>
      <c r="BA47" s="1" t="str">
        <f t="shared" si="19"/>
        <v xml:space="preserve"> </v>
      </c>
    </row>
    <row r="48" spans="1:53" x14ac:dyDescent="0.3">
      <c r="A48" s="28"/>
      <c r="B48" s="29"/>
      <c r="C48" s="29"/>
      <c r="D48" s="30"/>
      <c r="E48" s="30"/>
      <c r="F48" s="31"/>
      <c r="G48" s="25"/>
      <c r="H48" s="76"/>
      <c r="I48" s="76"/>
      <c r="J48" s="69"/>
      <c r="K48" s="32"/>
      <c r="L48" s="67"/>
      <c r="M48" s="50"/>
      <c r="N48" s="50"/>
      <c r="O48" s="49"/>
      <c r="P48" s="50"/>
      <c r="Q48" s="83"/>
      <c r="R48" s="55"/>
      <c r="S48" s="27"/>
      <c r="T48" s="25"/>
      <c r="U48" s="33"/>
      <c r="V48" s="27"/>
      <c r="W48" s="76"/>
      <c r="X48" s="26"/>
      <c r="Y48" s="26"/>
      <c r="Z48" s="27"/>
      <c r="AA48" s="26"/>
      <c r="AB48" s="26"/>
      <c r="AC48" s="26"/>
      <c r="AD48" s="85"/>
      <c r="AE48" s="27"/>
      <c r="AF48" s="70"/>
      <c r="AG48" s="81">
        <f t="shared" si="3"/>
        <v>0</v>
      </c>
      <c r="AH48" s="90" t="str">
        <f t="shared" si="4"/>
        <v xml:space="preserve"> </v>
      </c>
      <c r="AI48" s="88" t="str">
        <f t="shared" si="5"/>
        <v xml:space="preserve"> </v>
      </c>
      <c r="AJ48" s="13" t="str">
        <f t="shared" si="6"/>
        <v xml:space="preserve"> </v>
      </c>
      <c r="AK48" s="4" t="str">
        <f t="shared" si="35"/>
        <v xml:space="preserve"> </v>
      </c>
      <c r="AL48" s="4" t="str">
        <f t="shared" si="8"/>
        <v xml:space="preserve"> </v>
      </c>
      <c r="AM48" s="13" t="str">
        <f t="shared" si="9"/>
        <v xml:space="preserve"> </v>
      </c>
      <c r="AN48" s="2" t="str">
        <f t="shared" si="10"/>
        <v xml:space="preserve"> </v>
      </c>
      <c r="AO48" s="2" t="str">
        <f t="shared" si="11"/>
        <v xml:space="preserve"> </v>
      </c>
      <c r="AP48" s="9" t="str">
        <f t="shared" si="20"/>
        <v xml:space="preserve"> </v>
      </c>
      <c r="AQ48" s="2" t="str">
        <f t="shared" si="12"/>
        <v xml:space="preserve"> </v>
      </c>
      <c r="AR48" s="2" t="str">
        <f t="shared" si="13"/>
        <v xml:space="preserve"> </v>
      </c>
      <c r="AS48" s="4" t="str">
        <f t="shared" si="14"/>
        <v xml:space="preserve"> </v>
      </c>
      <c r="AT48" s="4" t="str">
        <f t="shared" si="21"/>
        <v xml:space="preserve"> </v>
      </c>
      <c r="AU48" s="42" t="str">
        <f t="shared" si="22"/>
        <v xml:space="preserve"> </v>
      </c>
      <c r="AV48" s="43" t="str">
        <f t="shared" si="34"/>
        <v xml:space="preserve"> </v>
      </c>
      <c r="AW48" s="44" t="str">
        <f t="shared" si="15"/>
        <v xml:space="preserve"> </v>
      </c>
      <c r="AX48" s="43" t="str">
        <f t="shared" si="16"/>
        <v xml:space="preserve"> </v>
      </c>
      <c r="AY48" s="43" t="str">
        <f t="shared" si="17"/>
        <v xml:space="preserve"> </v>
      </c>
      <c r="AZ48" s="1" t="str">
        <f t="shared" si="18"/>
        <v xml:space="preserve"> </v>
      </c>
      <c r="BA48" s="1" t="str">
        <f t="shared" si="19"/>
        <v xml:space="preserve"> </v>
      </c>
    </row>
    <row r="49" spans="1:53" x14ac:dyDescent="0.3">
      <c r="A49" s="28"/>
      <c r="B49" s="29"/>
      <c r="C49" s="29"/>
      <c r="D49" s="30"/>
      <c r="E49" s="30"/>
      <c r="F49" s="31"/>
      <c r="G49" s="25"/>
      <c r="H49" s="76"/>
      <c r="I49" s="76"/>
      <c r="J49" s="69"/>
      <c r="K49" s="32"/>
      <c r="L49" s="67"/>
      <c r="M49" s="50"/>
      <c r="N49" s="50"/>
      <c r="O49" s="49"/>
      <c r="P49" s="50"/>
      <c r="Q49" s="83"/>
      <c r="R49" s="55"/>
      <c r="S49" s="27"/>
      <c r="T49" s="25"/>
      <c r="U49" s="33"/>
      <c r="V49" s="27"/>
      <c r="W49" s="76"/>
      <c r="X49" s="26"/>
      <c r="Y49" s="26"/>
      <c r="Z49" s="27"/>
      <c r="AA49" s="26"/>
      <c r="AB49" s="26"/>
      <c r="AC49" s="26"/>
      <c r="AD49" s="85"/>
      <c r="AE49" s="27"/>
      <c r="AF49" s="70"/>
      <c r="AG49" s="81">
        <f t="shared" si="3"/>
        <v>0</v>
      </c>
      <c r="AH49" s="90" t="str">
        <f t="shared" si="4"/>
        <v xml:space="preserve"> </v>
      </c>
      <c r="AI49" s="88" t="str">
        <f t="shared" si="5"/>
        <v xml:space="preserve"> </v>
      </c>
      <c r="AJ49" s="13" t="str">
        <f t="shared" si="6"/>
        <v xml:space="preserve"> </v>
      </c>
      <c r="AK49" s="4" t="str">
        <f t="shared" si="35"/>
        <v xml:space="preserve"> </v>
      </c>
      <c r="AL49" s="4" t="str">
        <f t="shared" si="8"/>
        <v xml:space="preserve"> </v>
      </c>
      <c r="AM49" s="13" t="str">
        <f t="shared" si="9"/>
        <v xml:space="preserve"> </v>
      </c>
      <c r="AN49" s="2" t="str">
        <f t="shared" si="10"/>
        <v xml:space="preserve"> </v>
      </c>
      <c r="AO49" s="2" t="str">
        <f t="shared" si="11"/>
        <v xml:space="preserve"> </v>
      </c>
      <c r="AP49" s="9" t="str">
        <f t="shared" si="20"/>
        <v xml:space="preserve"> </v>
      </c>
      <c r="AQ49" s="2" t="str">
        <f t="shared" si="12"/>
        <v xml:space="preserve"> </v>
      </c>
      <c r="AR49" s="2" t="str">
        <f t="shared" si="13"/>
        <v xml:space="preserve"> </v>
      </c>
      <c r="AS49" s="4" t="str">
        <f t="shared" si="14"/>
        <v xml:space="preserve"> </v>
      </c>
      <c r="AT49" s="4" t="str">
        <f t="shared" si="21"/>
        <v xml:space="preserve"> </v>
      </c>
      <c r="AU49" s="42" t="str">
        <f t="shared" si="22"/>
        <v xml:space="preserve"> </v>
      </c>
      <c r="AV49" s="43" t="str">
        <f t="shared" si="34"/>
        <v xml:space="preserve"> </v>
      </c>
      <c r="AW49" s="44" t="str">
        <f t="shared" si="15"/>
        <v xml:space="preserve"> </v>
      </c>
      <c r="AX49" s="43" t="str">
        <f t="shared" si="16"/>
        <v xml:space="preserve"> </v>
      </c>
      <c r="AY49" s="43" t="str">
        <f t="shared" si="17"/>
        <v xml:space="preserve"> </v>
      </c>
      <c r="AZ49" s="1" t="str">
        <f t="shared" si="18"/>
        <v xml:space="preserve"> </v>
      </c>
      <c r="BA49" s="1" t="str">
        <f t="shared" si="19"/>
        <v xml:space="preserve"> </v>
      </c>
    </row>
    <row r="50" spans="1:53" x14ac:dyDescent="0.3">
      <c r="A50" s="28"/>
      <c r="B50" s="29"/>
      <c r="C50" s="29"/>
      <c r="D50" s="30"/>
      <c r="E50" s="30"/>
      <c r="F50" s="31"/>
      <c r="G50" s="25"/>
      <c r="H50" s="76"/>
      <c r="I50" s="76"/>
      <c r="J50" s="69"/>
      <c r="K50" s="32"/>
      <c r="L50" s="67"/>
      <c r="M50" s="50"/>
      <c r="N50" s="50"/>
      <c r="O50" s="49"/>
      <c r="P50" s="50"/>
      <c r="Q50" s="83"/>
      <c r="R50" s="55"/>
      <c r="S50" s="27"/>
      <c r="T50" s="25"/>
      <c r="U50" s="33"/>
      <c r="V50" s="27"/>
      <c r="W50" s="76"/>
      <c r="X50" s="26"/>
      <c r="Y50" s="26"/>
      <c r="Z50" s="27"/>
      <c r="AA50" s="26"/>
      <c r="AB50" s="26"/>
      <c r="AC50" s="26"/>
      <c r="AD50" s="85"/>
      <c r="AE50" s="27"/>
      <c r="AF50" s="70"/>
      <c r="AG50" s="81">
        <f t="shared" si="3"/>
        <v>0</v>
      </c>
      <c r="AH50" s="90" t="str">
        <f t="shared" si="4"/>
        <v xml:space="preserve"> </v>
      </c>
      <c r="AI50" s="88" t="str">
        <f t="shared" si="5"/>
        <v xml:space="preserve"> </v>
      </c>
      <c r="AJ50" s="13" t="str">
        <f t="shared" si="6"/>
        <v xml:space="preserve"> </v>
      </c>
      <c r="AK50" s="4" t="str">
        <f t="shared" si="35"/>
        <v xml:space="preserve"> </v>
      </c>
      <c r="AL50" s="4" t="str">
        <f t="shared" si="8"/>
        <v xml:space="preserve"> </v>
      </c>
      <c r="AM50" s="13" t="str">
        <f t="shared" si="9"/>
        <v xml:space="preserve"> </v>
      </c>
      <c r="AN50" s="2" t="str">
        <f t="shared" si="10"/>
        <v xml:space="preserve"> </v>
      </c>
      <c r="AO50" s="2" t="str">
        <f t="shared" si="11"/>
        <v xml:space="preserve"> </v>
      </c>
      <c r="AP50" s="9" t="str">
        <f t="shared" si="20"/>
        <v xml:space="preserve"> </v>
      </c>
      <c r="AQ50" s="2" t="str">
        <f t="shared" si="12"/>
        <v xml:space="preserve"> </v>
      </c>
      <c r="AR50" s="2" t="str">
        <f t="shared" si="13"/>
        <v xml:space="preserve"> </v>
      </c>
      <c r="AS50" s="4" t="str">
        <f t="shared" si="14"/>
        <v xml:space="preserve"> </v>
      </c>
      <c r="AT50" s="4" t="str">
        <f t="shared" si="21"/>
        <v xml:space="preserve"> </v>
      </c>
      <c r="AU50" s="42" t="str">
        <f t="shared" si="22"/>
        <v xml:space="preserve"> </v>
      </c>
      <c r="AV50" s="43" t="str">
        <f t="shared" si="34"/>
        <v xml:space="preserve"> </v>
      </c>
      <c r="AW50" s="44" t="str">
        <f t="shared" si="15"/>
        <v xml:space="preserve"> </v>
      </c>
      <c r="AX50" s="43" t="str">
        <f t="shared" si="16"/>
        <v xml:space="preserve"> </v>
      </c>
      <c r="AY50" s="43" t="str">
        <f t="shared" si="17"/>
        <v xml:space="preserve"> </v>
      </c>
      <c r="AZ50" s="1" t="str">
        <f t="shared" si="18"/>
        <v xml:space="preserve"> </v>
      </c>
      <c r="BA50" s="1" t="str">
        <f t="shared" si="19"/>
        <v xml:space="preserve"> </v>
      </c>
    </row>
    <row r="51" spans="1:53" x14ac:dyDescent="0.3">
      <c r="A51" s="28"/>
      <c r="B51" s="29"/>
      <c r="C51" s="29"/>
      <c r="D51" s="30"/>
      <c r="E51" s="30"/>
      <c r="F51" s="31"/>
      <c r="G51" s="25"/>
      <c r="H51" s="76"/>
      <c r="I51" s="76"/>
      <c r="J51" s="69"/>
      <c r="K51" s="32"/>
      <c r="L51" s="67"/>
      <c r="M51" s="50"/>
      <c r="N51" s="50"/>
      <c r="O51" s="49"/>
      <c r="P51" s="50"/>
      <c r="Q51" s="83"/>
      <c r="R51" s="55"/>
      <c r="S51" s="27"/>
      <c r="T51" s="25"/>
      <c r="U51" s="33"/>
      <c r="V51" s="27"/>
      <c r="W51" s="76"/>
      <c r="X51" s="26"/>
      <c r="Y51" s="26"/>
      <c r="Z51" s="27"/>
      <c r="AA51" s="26"/>
      <c r="AB51" s="26"/>
      <c r="AC51" s="26"/>
      <c r="AD51" s="85"/>
      <c r="AE51" s="27"/>
      <c r="AF51" s="70"/>
      <c r="AG51" s="81">
        <f t="shared" si="3"/>
        <v>0</v>
      </c>
      <c r="AH51" s="90" t="str">
        <f t="shared" si="4"/>
        <v xml:space="preserve"> </v>
      </c>
      <c r="AI51" s="88" t="str">
        <f t="shared" si="5"/>
        <v xml:space="preserve"> </v>
      </c>
      <c r="AJ51" s="13" t="str">
        <f t="shared" si="6"/>
        <v xml:space="preserve"> </v>
      </c>
      <c r="AK51" s="4" t="str">
        <f t="shared" si="35"/>
        <v xml:space="preserve"> </v>
      </c>
      <c r="AL51" s="4" t="str">
        <f t="shared" si="8"/>
        <v xml:space="preserve"> </v>
      </c>
      <c r="AM51" s="13" t="str">
        <f t="shared" si="9"/>
        <v xml:space="preserve"> </v>
      </c>
      <c r="AN51" s="2" t="str">
        <f t="shared" si="10"/>
        <v xml:space="preserve"> </v>
      </c>
      <c r="AO51" s="2" t="str">
        <f t="shared" si="11"/>
        <v xml:space="preserve"> </v>
      </c>
      <c r="AP51" s="9" t="str">
        <f t="shared" si="20"/>
        <v xml:space="preserve"> </v>
      </c>
      <c r="AQ51" s="2" t="str">
        <f t="shared" si="12"/>
        <v xml:space="preserve"> </v>
      </c>
      <c r="AR51" s="2" t="str">
        <f t="shared" si="13"/>
        <v xml:space="preserve"> </v>
      </c>
      <c r="AS51" s="4" t="str">
        <f t="shared" si="14"/>
        <v xml:space="preserve"> </v>
      </c>
      <c r="AT51" s="4" t="str">
        <f t="shared" si="21"/>
        <v xml:space="preserve"> </v>
      </c>
      <c r="AU51" s="42" t="str">
        <f t="shared" si="22"/>
        <v xml:space="preserve"> </v>
      </c>
      <c r="AV51" s="43" t="str">
        <f t="shared" si="34"/>
        <v xml:space="preserve"> </v>
      </c>
      <c r="AW51" s="44" t="str">
        <f t="shared" si="15"/>
        <v xml:space="preserve"> </v>
      </c>
      <c r="AX51" s="43" t="str">
        <f t="shared" si="16"/>
        <v xml:space="preserve"> </v>
      </c>
      <c r="AY51" s="43" t="str">
        <f t="shared" si="17"/>
        <v xml:space="preserve"> </v>
      </c>
      <c r="AZ51" s="1" t="str">
        <f t="shared" si="18"/>
        <v xml:space="preserve"> </v>
      </c>
      <c r="BA51" s="1" t="str">
        <f t="shared" si="19"/>
        <v xml:space="preserve"> </v>
      </c>
    </row>
    <row r="52" spans="1:53" x14ac:dyDescent="0.3">
      <c r="A52" s="28"/>
      <c r="B52" s="29"/>
      <c r="C52" s="29"/>
      <c r="D52" s="30"/>
      <c r="E52" s="30"/>
      <c r="F52" s="31"/>
      <c r="G52" s="25"/>
      <c r="H52" s="76"/>
      <c r="I52" s="76"/>
      <c r="J52" s="69"/>
      <c r="K52" s="32"/>
      <c r="L52" s="67"/>
      <c r="M52" s="50"/>
      <c r="N52" s="50"/>
      <c r="O52" s="49"/>
      <c r="P52" s="50"/>
      <c r="Q52" s="83"/>
      <c r="R52" s="55"/>
      <c r="S52" s="27"/>
      <c r="T52" s="25"/>
      <c r="U52" s="33"/>
      <c r="V52" s="27"/>
      <c r="W52" s="76"/>
      <c r="X52" s="26"/>
      <c r="Y52" s="26"/>
      <c r="Z52" s="27"/>
      <c r="AA52" s="26"/>
      <c r="AB52" s="26"/>
      <c r="AC52" s="26"/>
      <c r="AD52" s="85"/>
      <c r="AE52" s="27"/>
      <c r="AF52" s="70"/>
      <c r="AG52" s="81">
        <f t="shared" si="3"/>
        <v>0</v>
      </c>
      <c r="AH52" s="90" t="str">
        <f t="shared" si="4"/>
        <v xml:space="preserve"> </v>
      </c>
      <c r="AI52" s="88" t="str">
        <f t="shared" si="5"/>
        <v xml:space="preserve"> </v>
      </c>
      <c r="AJ52" s="13" t="str">
        <f t="shared" si="6"/>
        <v xml:space="preserve"> </v>
      </c>
      <c r="AK52" s="4" t="str">
        <f t="shared" si="35"/>
        <v xml:space="preserve"> </v>
      </c>
      <c r="AL52" s="4" t="str">
        <f t="shared" si="8"/>
        <v xml:space="preserve"> </v>
      </c>
      <c r="AM52" s="13" t="str">
        <f t="shared" si="9"/>
        <v xml:space="preserve"> </v>
      </c>
      <c r="AN52" s="2" t="str">
        <f t="shared" si="10"/>
        <v xml:space="preserve"> </v>
      </c>
      <c r="AO52" s="2" t="str">
        <f t="shared" si="11"/>
        <v xml:space="preserve"> </v>
      </c>
      <c r="AP52" s="9" t="str">
        <f t="shared" si="20"/>
        <v xml:space="preserve"> </v>
      </c>
      <c r="AQ52" s="2" t="str">
        <f t="shared" si="12"/>
        <v xml:space="preserve"> </v>
      </c>
      <c r="AR52" s="2" t="str">
        <f t="shared" si="13"/>
        <v xml:space="preserve"> </v>
      </c>
      <c r="AS52" s="4" t="str">
        <f t="shared" si="14"/>
        <v xml:space="preserve"> </v>
      </c>
      <c r="AT52" s="4" t="str">
        <f t="shared" si="21"/>
        <v xml:space="preserve"> </v>
      </c>
      <c r="AU52" s="42" t="str">
        <f t="shared" si="22"/>
        <v xml:space="preserve"> </v>
      </c>
      <c r="AV52" s="43" t="str">
        <f t="shared" si="34"/>
        <v xml:space="preserve"> </v>
      </c>
      <c r="AW52" s="44" t="str">
        <f t="shared" si="15"/>
        <v xml:space="preserve"> </v>
      </c>
      <c r="AX52" s="43" t="str">
        <f t="shared" si="16"/>
        <v xml:space="preserve"> </v>
      </c>
      <c r="AY52" s="43" t="str">
        <f t="shared" si="17"/>
        <v xml:space="preserve"> </v>
      </c>
      <c r="AZ52" s="1" t="str">
        <f t="shared" si="18"/>
        <v xml:space="preserve"> </v>
      </c>
      <c r="BA52" s="1" t="str">
        <f t="shared" si="19"/>
        <v xml:space="preserve"> </v>
      </c>
    </row>
    <row r="53" spans="1:53" x14ac:dyDescent="0.3">
      <c r="A53" s="28"/>
      <c r="B53" s="29"/>
      <c r="C53" s="29"/>
      <c r="D53" s="30"/>
      <c r="E53" s="30"/>
      <c r="F53" s="31"/>
      <c r="G53" s="25"/>
      <c r="H53" s="76"/>
      <c r="I53" s="76"/>
      <c r="J53" s="69"/>
      <c r="K53" s="32"/>
      <c r="L53" s="67"/>
      <c r="M53" s="50"/>
      <c r="N53" s="50"/>
      <c r="O53" s="49"/>
      <c r="P53" s="50"/>
      <c r="Q53" s="83"/>
      <c r="R53" s="55"/>
      <c r="S53" s="27"/>
      <c r="T53" s="25"/>
      <c r="U53" s="33"/>
      <c r="V53" s="27"/>
      <c r="W53" s="76"/>
      <c r="X53" s="26"/>
      <c r="Y53" s="26"/>
      <c r="Z53" s="27"/>
      <c r="AA53" s="26"/>
      <c r="AB53" s="26"/>
      <c r="AC53" s="26"/>
      <c r="AD53" s="85"/>
      <c r="AE53" s="27"/>
      <c r="AF53" s="70"/>
      <c r="AG53" s="81">
        <f t="shared" si="3"/>
        <v>0</v>
      </c>
      <c r="AH53" s="90" t="str">
        <f t="shared" si="4"/>
        <v xml:space="preserve"> </v>
      </c>
      <c r="AI53" s="88" t="str">
        <f t="shared" si="5"/>
        <v xml:space="preserve"> </v>
      </c>
      <c r="AJ53" s="13" t="str">
        <f t="shared" si="6"/>
        <v xml:space="preserve"> </v>
      </c>
      <c r="AK53" s="4" t="str">
        <f t="shared" si="35"/>
        <v xml:space="preserve"> </v>
      </c>
      <c r="AL53" s="4" t="str">
        <f t="shared" si="8"/>
        <v xml:space="preserve"> </v>
      </c>
      <c r="AM53" s="13" t="str">
        <f t="shared" si="9"/>
        <v xml:space="preserve"> </v>
      </c>
      <c r="AN53" s="2" t="str">
        <f t="shared" si="10"/>
        <v xml:space="preserve"> </v>
      </c>
      <c r="AO53" s="2" t="str">
        <f t="shared" si="11"/>
        <v xml:space="preserve"> </v>
      </c>
      <c r="AP53" s="9" t="str">
        <f t="shared" si="20"/>
        <v xml:space="preserve"> </v>
      </c>
      <c r="AQ53" s="2" t="str">
        <f t="shared" si="12"/>
        <v xml:space="preserve"> </v>
      </c>
      <c r="AR53" s="2" t="str">
        <f t="shared" si="13"/>
        <v xml:space="preserve"> </v>
      </c>
      <c r="AS53" s="4" t="str">
        <f t="shared" si="14"/>
        <v xml:space="preserve"> </v>
      </c>
      <c r="AT53" s="4" t="str">
        <f t="shared" si="21"/>
        <v xml:space="preserve"> </v>
      </c>
      <c r="AU53" s="42" t="str">
        <f t="shared" si="22"/>
        <v xml:space="preserve"> </v>
      </c>
      <c r="AV53" s="43" t="str">
        <f t="shared" si="34"/>
        <v xml:space="preserve"> </v>
      </c>
      <c r="AW53" s="44" t="str">
        <f t="shared" si="15"/>
        <v xml:space="preserve"> </v>
      </c>
      <c r="AX53" s="43" t="str">
        <f t="shared" si="16"/>
        <v xml:space="preserve"> </v>
      </c>
      <c r="AY53" s="43" t="str">
        <f t="shared" si="17"/>
        <v xml:space="preserve"> </v>
      </c>
      <c r="AZ53" s="1" t="str">
        <f t="shared" si="18"/>
        <v xml:space="preserve"> </v>
      </c>
      <c r="BA53" s="1" t="str">
        <f t="shared" si="19"/>
        <v xml:space="preserve"> </v>
      </c>
    </row>
    <row r="54" spans="1:53" x14ac:dyDescent="0.3">
      <c r="A54" s="28"/>
      <c r="B54" s="29"/>
      <c r="C54" s="29"/>
      <c r="D54" s="30"/>
      <c r="E54" s="30"/>
      <c r="F54" s="31"/>
      <c r="G54" s="25"/>
      <c r="H54" s="76"/>
      <c r="I54" s="76"/>
      <c r="J54" s="69"/>
      <c r="K54" s="32"/>
      <c r="L54" s="67"/>
      <c r="M54" s="50"/>
      <c r="N54" s="50"/>
      <c r="O54" s="49"/>
      <c r="P54" s="50"/>
      <c r="Q54" s="83"/>
      <c r="R54" s="55"/>
      <c r="S54" s="27"/>
      <c r="T54" s="25"/>
      <c r="U54" s="33"/>
      <c r="V54" s="27"/>
      <c r="W54" s="76"/>
      <c r="X54" s="26"/>
      <c r="Y54" s="26"/>
      <c r="Z54" s="27"/>
      <c r="AA54" s="26"/>
      <c r="AB54" s="26"/>
      <c r="AC54" s="26"/>
      <c r="AD54" s="85"/>
      <c r="AE54" s="27"/>
      <c r="AF54" s="70"/>
      <c r="AG54" s="81">
        <f t="shared" si="3"/>
        <v>0</v>
      </c>
      <c r="AH54" s="90" t="str">
        <f t="shared" si="4"/>
        <v xml:space="preserve"> </v>
      </c>
      <c r="AI54" s="88" t="str">
        <f t="shared" si="5"/>
        <v xml:space="preserve"> </v>
      </c>
      <c r="AJ54" s="13" t="str">
        <f t="shared" si="6"/>
        <v xml:space="preserve"> </v>
      </c>
      <c r="AK54" s="4" t="str">
        <f t="shared" si="35"/>
        <v xml:space="preserve"> </v>
      </c>
      <c r="AL54" s="4" t="str">
        <f t="shared" si="8"/>
        <v xml:space="preserve"> </v>
      </c>
      <c r="AM54" s="13" t="str">
        <f t="shared" si="9"/>
        <v xml:space="preserve"> </v>
      </c>
      <c r="AN54" s="2" t="str">
        <f t="shared" si="10"/>
        <v xml:space="preserve"> </v>
      </c>
      <c r="AO54" s="2" t="str">
        <f t="shared" si="11"/>
        <v xml:space="preserve"> </v>
      </c>
      <c r="AP54" s="9" t="str">
        <f t="shared" si="20"/>
        <v xml:space="preserve"> </v>
      </c>
      <c r="AQ54" s="2" t="str">
        <f t="shared" si="12"/>
        <v xml:space="preserve"> </v>
      </c>
      <c r="AR54" s="2" t="str">
        <f t="shared" si="13"/>
        <v xml:space="preserve"> </v>
      </c>
      <c r="AS54" s="4" t="str">
        <f t="shared" si="14"/>
        <v xml:space="preserve"> </v>
      </c>
      <c r="AT54" s="4" t="str">
        <f t="shared" si="21"/>
        <v xml:space="preserve"> </v>
      </c>
      <c r="AU54" s="42" t="str">
        <f t="shared" si="22"/>
        <v xml:space="preserve"> </v>
      </c>
      <c r="AV54" s="43" t="str">
        <f t="shared" si="34"/>
        <v xml:space="preserve"> </v>
      </c>
      <c r="AW54" s="44" t="str">
        <f t="shared" si="15"/>
        <v xml:space="preserve"> </v>
      </c>
      <c r="AX54" s="43" t="str">
        <f t="shared" si="16"/>
        <v xml:space="preserve"> </v>
      </c>
      <c r="AY54" s="43" t="str">
        <f t="shared" si="17"/>
        <v xml:space="preserve"> </v>
      </c>
      <c r="AZ54" s="1" t="str">
        <f t="shared" si="18"/>
        <v xml:space="preserve"> </v>
      </c>
      <c r="BA54" s="1" t="str">
        <f t="shared" si="19"/>
        <v xml:space="preserve"> </v>
      </c>
    </row>
    <row r="55" spans="1:53" x14ac:dyDescent="0.3">
      <c r="A55" s="28"/>
      <c r="B55" s="29"/>
      <c r="C55" s="29"/>
      <c r="D55" s="30"/>
      <c r="E55" s="30"/>
      <c r="F55" s="31"/>
      <c r="G55" s="25"/>
      <c r="H55" s="76"/>
      <c r="I55" s="76"/>
      <c r="J55" s="69"/>
      <c r="K55" s="32"/>
      <c r="L55" s="67"/>
      <c r="M55" s="50"/>
      <c r="N55" s="50"/>
      <c r="O55" s="49"/>
      <c r="P55" s="50"/>
      <c r="Q55" s="83"/>
      <c r="R55" s="55"/>
      <c r="S55" s="27"/>
      <c r="T55" s="25"/>
      <c r="U55" s="33"/>
      <c r="V55" s="27"/>
      <c r="W55" s="76"/>
      <c r="X55" s="26"/>
      <c r="Y55" s="26"/>
      <c r="Z55" s="27"/>
      <c r="AA55" s="26"/>
      <c r="AB55" s="26"/>
      <c r="AC55" s="26"/>
      <c r="AD55" s="85"/>
      <c r="AE55" s="27"/>
      <c r="AF55" s="70"/>
      <c r="AG55" s="81">
        <f t="shared" si="3"/>
        <v>0</v>
      </c>
      <c r="AH55" s="90" t="str">
        <f t="shared" si="4"/>
        <v xml:space="preserve"> </v>
      </c>
      <c r="AI55" s="88" t="str">
        <f t="shared" si="5"/>
        <v xml:space="preserve"> </v>
      </c>
      <c r="AJ55" s="13" t="str">
        <f t="shared" si="6"/>
        <v xml:space="preserve"> </v>
      </c>
      <c r="AK55" s="4" t="str">
        <f t="shared" si="35"/>
        <v xml:space="preserve"> </v>
      </c>
      <c r="AL55" s="4" t="str">
        <f t="shared" si="8"/>
        <v xml:space="preserve"> </v>
      </c>
      <c r="AM55" s="13" t="str">
        <f t="shared" si="9"/>
        <v xml:space="preserve"> </v>
      </c>
      <c r="AN55" s="2" t="str">
        <f t="shared" si="10"/>
        <v xml:space="preserve"> </v>
      </c>
      <c r="AO55" s="2" t="str">
        <f t="shared" si="11"/>
        <v xml:space="preserve"> </v>
      </c>
      <c r="AP55" s="9" t="str">
        <f t="shared" si="20"/>
        <v xml:space="preserve"> </v>
      </c>
      <c r="AQ55" s="2" t="str">
        <f t="shared" si="12"/>
        <v xml:space="preserve"> </v>
      </c>
      <c r="AR55" s="2" t="str">
        <f t="shared" si="13"/>
        <v xml:space="preserve"> </v>
      </c>
      <c r="AS55" s="4" t="str">
        <f t="shared" si="14"/>
        <v xml:space="preserve"> </v>
      </c>
      <c r="AT55" s="4" t="str">
        <f t="shared" si="21"/>
        <v xml:space="preserve"> </v>
      </c>
      <c r="AU55" s="42" t="str">
        <f t="shared" si="22"/>
        <v xml:space="preserve"> </v>
      </c>
      <c r="AV55" s="43" t="str">
        <f t="shared" si="34"/>
        <v xml:space="preserve"> </v>
      </c>
      <c r="AW55" s="44" t="str">
        <f t="shared" si="15"/>
        <v xml:space="preserve"> </v>
      </c>
      <c r="AX55" s="43" t="str">
        <f t="shared" si="16"/>
        <v xml:space="preserve"> </v>
      </c>
      <c r="AY55" s="43" t="str">
        <f t="shared" si="17"/>
        <v xml:space="preserve"> </v>
      </c>
      <c r="AZ55" s="1" t="str">
        <f t="shared" si="18"/>
        <v xml:space="preserve"> </v>
      </c>
      <c r="BA55" s="1" t="str">
        <f t="shared" si="19"/>
        <v xml:space="preserve"> </v>
      </c>
    </row>
    <row r="56" spans="1:53" x14ac:dyDescent="0.3">
      <c r="A56" s="28"/>
      <c r="B56" s="29"/>
      <c r="C56" s="29"/>
      <c r="D56" s="30"/>
      <c r="E56" s="30"/>
      <c r="F56" s="31"/>
      <c r="G56" s="25"/>
      <c r="H56" s="76"/>
      <c r="I56" s="76"/>
      <c r="J56" s="69"/>
      <c r="K56" s="32"/>
      <c r="L56" s="67"/>
      <c r="M56" s="50"/>
      <c r="N56" s="50"/>
      <c r="O56" s="49"/>
      <c r="P56" s="50"/>
      <c r="Q56" s="83"/>
      <c r="R56" s="55"/>
      <c r="S56" s="27"/>
      <c r="T56" s="25"/>
      <c r="U56" s="33"/>
      <c r="V56" s="27"/>
      <c r="W56" s="76"/>
      <c r="X56" s="26"/>
      <c r="Y56" s="26"/>
      <c r="Z56" s="27"/>
      <c r="AA56" s="26"/>
      <c r="AB56" s="26"/>
      <c r="AC56" s="26"/>
      <c r="AD56" s="85"/>
      <c r="AE56" s="27"/>
      <c r="AF56" s="70"/>
      <c r="AG56" s="81">
        <f t="shared" si="3"/>
        <v>0</v>
      </c>
      <c r="AH56" s="90" t="str">
        <f t="shared" si="4"/>
        <v xml:space="preserve"> </v>
      </c>
      <c r="AI56" s="88" t="str">
        <f t="shared" si="5"/>
        <v xml:space="preserve"> </v>
      </c>
      <c r="AJ56" s="13" t="str">
        <f t="shared" si="6"/>
        <v xml:space="preserve"> </v>
      </c>
      <c r="AK56" s="4" t="str">
        <f t="shared" si="35"/>
        <v xml:space="preserve"> </v>
      </c>
      <c r="AL56" s="4" t="str">
        <f t="shared" si="8"/>
        <v xml:space="preserve"> </v>
      </c>
      <c r="AM56" s="13" t="str">
        <f t="shared" si="9"/>
        <v xml:space="preserve"> </v>
      </c>
      <c r="AN56" s="2" t="str">
        <f t="shared" si="10"/>
        <v xml:space="preserve"> </v>
      </c>
      <c r="AO56" s="2" t="str">
        <f t="shared" si="11"/>
        <v xml:space="preserve"> </v>
      </c>
      <c r="AP56" s="9" t="str">
        <f t="shared" si="20"/>
        <v xml:space="preserve"> </v>
      </c>
      <c r="AQ56" s="2" t="str">
        <f t="shared" si="12"/>
        <v xml:space="preserve"> </v>
      </c>
      <c r="AR56" s="2" t="str">
        <f t="shared" si="13"/>
        <v xml:space="preserve"> </v>
      </c>
      <c r="AS56" s="4" t="str">
        <f t="shared" si="14"/>
        <v xml:space="preserve"> </v>
      </c>
      <c r="AT56" s="4" t="str">
        <f t="shared" si="21"/>
        <v xml:space="preserve"> </v>
      </c>
      <c r="AU56" s="42" t="str">
        <f t="shared" si="22"/>
        <v xml:space="preserve"> </v>
      </c>
      <c r="AV56" s="43" t="str">
        <f t="shared" si="34"/>
        <v xml:space="preserve"> </v>
      </c>
      <c r="AW56" s="44" t="str">
        <f t="shared" si="15"/>
        <v xml:space="preserve"> </v>
      </c>
      <c r="AX56" s="43" t="str">
        <f t="shared" si="16"/>
        <v xml:space="preserve"> </v>
      </c>
      <c r="AY56" s="43" t="str">
        <f t="shared" si="17"/>
        <v xml:space="preserve"> </v>
      </c>
      <c r="AZ56" s="1" t="str">
        <f t="shared" si="18"/>
        <v xml:space="preserve"> </v>
      </c>
      <c r="BA56" s="1" t="str">
        <f t="shared" si="19"/>
        <v xml:space="preserve"> </v>
      </c>
    </row>
    <row r="57" spans="1:53" x14ac:dyDescent="0.3">
      <c r="A57" s="28"/>
      <c r="B57" s="29"/>
      <c r="C57" s="29"/>
      <c r="D57" s="30"/>
      <c r="E57" s="30"/>
      <c r="F57" s="31"/>
      <c r="G57" s="25"/>
      <c r="H57" s="76"/>
      <c r="I57" s="76"/>
      <c r="J57" s="69"/>
      <c r="K57" s="32"/>
      <c r="L57" s="67"/>
      <c r="M57" s="50"/>
      <c r="N57" s="50"/>
      <c r="O57" s="49"/>
      <c r="P57" s="50"/>
      <c r="Q57" s="83"/>
      <c r="R57" s="55"/>
      <c r="S57" s="27"/>
      <c r="T57" s="25"/>
      <c r="U57" s="33"/>
      <c r="V57" s="27"/>
      <c r="W57" s="76"/>
      <c r="X57" s="26"/>
      <c r="Y57" s="26"/>
      <c r="Z57" s="27"/>
      <c r="AA57" s="26"/>
      <c r="AB57" s="26"/>
      <c r="AC57" s="26"/>
      <c r="AD57" s="85"/>
      <c r="AE57" s="27"/>
      <c r="AF57" s="70"/>
      <c r="AG57" s="81">
        <f t="shared" si="3"/>
        <v>0</v>
      </c>
      <c r="AH57" s="90" t="str">
        <f t="shared" si="4"/>
        <v xml:space="preserve"> </v>
      </c>
      <c r="AI57" s="88" t="str">
        <f t="shared" si="5"/>
        <v xml:space="preserve"> </v>
      </c>
      <c r="AJ57" s="13" t="str">
        <f t="shared" si="6"/>
        <v xml:space="preserve"> </v>
      </c>
      <c r="AK57" s="4" t="str">
        <f t="shared" si="35"/>
        <v xml:space="preserve"> </v>
      </c>
      <c r="AL57" s="4" t="str">
        <f t="shared" si="8"/>
        <v xml:space="preserve"> </v>
      </c>
      <c r="AM57" s="13" t="str">
        <f t="shared" si="9"/>
        <v xml:space="preserve"> </v>
      </c>
      <c r="AN57" s="2" t="str">
        <f t="shared" si="10"/>
        <v xml:space="preserve"> </v>
      </c>
      <c r="AO57" s="2" t="str">
        <f t="shared" si="11"/>
        <v xml:space="preserve"> </v>
      </c>
      <c r="AP57" s="9" t="str">
        <f t="shared" si="20"/>
        <v xml:space="preserve"> </v>
      </c>
      <c r="AQ57" s="2" t="str">
        <f t="shared" si="12"/>
        <v xml:space="preserve"> </v>
      </c>
      <c r="AR57" s="2" t="str">
        <f t="shared" si="13"/>
        <v xml:space="preserve"> </v>
      </c>
      <c r="AS57" s="4" t="str">
        <f t="shared" si="14"/>
        <v xml:space="preserve"> </v>
      </c>
      <c r="AT57" s="4" t="str">
        <f t="shared" si="21"/>
        <v xml:space="preserve"> </v>
      </c>
      <c r="AU57" s="42" t="str">
        <f t="shared" si="22"/>
        <v xml:space="preserve"> </v>
      </c>
      <c r="AV57" s="43" t="str">
        <f t="shared" si="34"/>
        <v xml:space="preserve"> </v>
      </c>
      <c r="AW57" s="44" t="str">
        <f t="shared" si="15"/>
        <v xml:space="preserve"> </v>
      </c>
      <c r="AX57" s="43" t="str">
        <f t="shared" si="16"/>
        <v xml:space="preserve"> </v>
      </c>
      <c r="AY57" s="43" t="str">
        <f t="shared" si="17"/>
        <v xml:space="preserve"> </v>
      </c>
      <c r="AZ57" s="1" t="str">
        <f t="shared" si="18"/>
        <v xml:space="preserve"> </v>
      </c>
      <c r="BA57" s="1" t="str">
        <f t="shared" si="19"/>
        <v xml:space="preserve"> </v>
      </c>
    </row>
    <row r="58" spans="1:53" x14ac:dyDescent="0.3">
      <c r="A58" s="28"/>
      <c r="B58" s="29"/>
      <c r="C58" s="29"/>
      <c r="D58" s="30"/>
      <c r="E58" s="30"/>
      <c r="F58" s="31"/>
      <c r="G58" s="25"/>
      <c r="H58" s="76"/>
      <c r="I58" s="76"/>
      <c r="J58" s="69"/>
      <c r="K58" s="32"/>
      <c r="L58" s="67"/>
      <c r="M58" s="50"/>
      <c r="N58" s="50"/>
      <c r="O58" s="49"/>
      <c r="P58" s="50"/>
      <c r="Q58" s="83"/>
      <c r="R58" s="55"/>
      <c r="S58" s="27"/>
      <c r="T58" s="25"/>
      <c r="U58" s="33"/>
      <c r="V58" s="27"/>
      <c r="W58" s="76"/>
      <c r="X58" s="26"/>
      <c r="Y58" s="26"/>
      <c r="Z58" s="27"/>
      <c r="AA58" s="26"/>
      <c r="AB58" s="26"/>
      <c r="AC58" s="26"/>
      <c r="AD58" s="85"/>
      <c r="AE58" s="27"/>
      <c r="AF58" s="70"/>
      <c r="AG58" s="81">
        <f t="shared" si="3"/>
        <v>0</v>
      </c>
      <c r="AH58" s="90" t="str">
        <f t="shared" si="4"/>
        <v xml:space="preserve"> </v>
      </c>
      <c r="AI58" s="88" t="str">
        <f t="shared" si="5"/>
        <v xml:space="preserve"> </v>
      </c>
      <c r="AJ58" s="13" t="str">
        <f t="shared" si="6"/>
        <v xml:space="preserve"> </v>
      </c>
      <c r="AK58" s="4" t="str">
        <f t="shared" si="35"/>
        <v xml:space="preserve"> </v>
      </c>
      <c r="AL58" s="4" t="str">
        <f t="shared" si="8"/>
        <v xml:space="preserve"> </v>
      </c>
      <c r="AM58" s="13" t="str">
        <f t="shared" si="9"/>
        <v xml:space="preserve"> </v>
      </c>
      <c r="AN58" s="2" t="str">
        <f t="shared" si="10"/>
        <v xml:space="preserve"> </v>
      </c>
      <c r="AO58" s="2" t="str">
        <f t="shared" si="11"/>
        <v xml:space="preserve"> </v>
      </c>
      <c r="AP58" s="9" t="str">
        <f t="shared" si="20"/>
        <v xml:space="preserve"> </v>
      </c>
      <c r="AQ58" s="2" t="str">
        <f t="shared" si="12"/>
        <v xml:space="preserve"> </v>
      </c>
      <c r="AR58" s="2" t="str">
        <f t="shared" si="13"/>
        <v xml:space="preserve"> </v>
      </c>
      <c r="AS58" s="4" t="str">
        <f t="shared" si="14"/>
        <v xml:space="preserve"> </v>
      </c>
      <c r="AT58" s="4" t="str">
        <f t="shared" si="21"/>
        <v xml:space="preserve"> </v>
      </c>
      <c r="AU58" s="42" t="str">
        <f t="shared" si="22"/>
        <v xml:space="preserve"> </v>
      </c>
      <c r="AV58" s="43" t="str">
        <f t="shared" si="34"/>
        <v xml:space="preserve"> </v>
      </c>
      <c r="AW58" s="44" t="str">
        <f t="shared" si="15"/>
        <v xml:space="preserve"> </v>
      </c>
      <c r="AX58" s="43" t="str">
        <f t="shared" si="16"/>
        <v xml:space="preserve"> </v>
      </c>
      <c r="AY58" s="43" t="str">
        <f t="shared" si="17"/>
        <v xml:space="preserve"> </v>
      </c>
      <c r="AZ58" s="1" t="str">
        <f t="shared" si="18"/>
        <v xml:space="preserve"> </v>
      </c>
      <c r="BA58" s="1" t="str">
        <f t="shared" si="19"/>
        <v xml:space="preserve"> </v>
      </c>
    </row>
    <row r="59" spans="1:53" x14ac:dyDescent="0.3">
      <c r="A59" s="28"/>
      <c r="B59" s="29"/>
      <c r="C59" s="29"/>
      <c r="D59" s="30"/>
      <c r="E59" s="30"/>
      <c r="F59" s="31"/>
      <c r="G59" s="25"/>
      <c r="H59" s="76"/>
      <c r="I59" s="76"/>
      <c r="J59" s="69"/>
      <c r="K59" s="32"/>
      <c r="L59" s="67"/>
      <c r="M59" s="50"/>
      <c r="N59" s="50"/>
      <c r="O59" s="49"/>
      <c r="P59" s="50"/>
      <c r="Q59" s="83"/>
      <c r="R59" s="55"/>
      <c r="S59" s="27"/>
      <c r="T59" s="25"/>
      <c r="U59" s="33"/>
      <c r="V59" s="27"/>
      <c r="W59" s="76"/>
      <c r="X59" s="26"/>
      <c r="Y59" s="26"/>
      <c r="Z59" s="27"/>
      <c r="AA59" s="26"/>
      <c r="AB59" s="26"/>
      <c r="AC59" s="26"/>
      <c r="AD59" s="85"/>
      <c r="AE59" s="27"/>
      <c r="AF59" s="70"/>
      <c r="AG59" s="81">
        <f t="shared" si="3"/>
        <v>0</v>
      </c>
      <c r="AH59" s="90" t="str">
        <f t="shared" si="4"/>
        <v xml:space="preserve"> </v>
      </c>
      <c r="AI59" s="88" t="str">
        <f t="shared" si="5"/>
        <v xml:space="preserve"> </v>
      </c>
      <c r="AJ59" s="13" t="str">
        <f t="shared" si="6"/>
        <v xml:space="preserve"> </v>
      </c>
      <c r="AK59" s="4" t="str">
        <f t="shared" si="35"/>
        <v xml:space="preserve"> </v>
      </c>
      <c r="AL59" s="4" t="str">
        <f t="shared" si="8"/>
        <v xml:space="preserve"> </v>
      </c>
      <c r="AM59" s="13" t="str">
        <f t="shared" si="9"/>
        <v xml:space="preserve"> </v>
      </c>
      <c r="AN59" s="2" t="str">
        <f t="shared" si="10"/>
        <v xml:space="preserve"> </v>
      </c>
      <c r="AO59" s="2" t="str">
        <f t="shared" si="11"/>
        <v xml:space="preserve"> </v>
      </c>
      <c r="AP59" s="9" t="str">
        <f t="shared" si="20"/>
        <v xml:space="preserve"> </v>
      </c>
      <c r="AQ59" s="2" t="str">
        <f t="shared" si="12"/>
        <v xml:space="preserve"> </v>
      </c>
      <c r="AR59" s="2" t="str">
        <f t="shared" si="13"/>
        <v xml:space="preserve"> </v>
      </c>
      <c r="AS59" s="4" t="str">
        <f t="shared" si="14"/>
        <v xml:space="preserve"> </v>
      </c>
      <c r="AT59" s="4" t="str">
        <f t="shared" si="21"/>
        <v xml:space="preserve"> </v>
      </c>
      <c r="AU59" s="42" t="str">
        <f t="shared" si="22"/>
        <v xml:space="preserve"> </v>
      </c>
      <c r="AV59" s="43" t="str">
        <f t="shared" si="34"/>
        <v xml:space="preserve"> </v>
      </c>
      <c r="AW59" s="44" t="str">
        <f t="shared" si="15"/>
        <v xml:space="preserve"> </v>
      </c>
      <c r="AX59" s="43" t="str">
        <f t="shared" si="16"/>
        <v xml:space="preserve"> </v>
      </c>
      <c r="AY59" s="43" t="str">
        <f t="shared" si="17"/>
        <v xml:space="preserve"> </v>
      </c>
      <c r="AZ59" s="1" t="str">
        <f t="shared" si="18"/>
        <v xml:space="preserve"> </v>
      </c>
      <c r="BA59" s="1" t="str">
        <f t="shared" si="19"/>
        <v xml:space="preserve"> </v>
      </c>
    </row>
    <row r="60" spans="1:53" x14ac:dyDescent="0.3">
      <c r="A60" s="28"/>
      <c r="B60" s="29"/>
      <c r="C60" s="29"/>
      <c r="D60" s="30"/>
      <c r="E60" s="30"/>
      <c r="F60" s="31"/>
      <c r="G60" s="25"/>
      <c r="H60" s="76"/>
      <c r="I60" s="76"/>
      <c r="J60" s="69"/>
      <c r="K60" s="32"/>
      <c r="L60" s="67"/>
      <c r="M60" s="50"/>
      <c r="N60" s="50"/>
      <c r="O60" s="49"/>
      <c r="P60" s="50"/>
      <c r="Q60" s="83"/>
      <c r="R60" s="55"/>
      <c r="S60" s="27"/>
      <c r="T60" s="25"/>
      <c r="U60" s="33"/>
      <c r="V60" s="27"/>
      <c r="W60" s="76"/>
      <c r="X60" s="26"/>
      <c r="Y60" s="26"/>
      <c r="Z60" s="27"/>
      <c r="AA60" s="26"/>
      <c r="AB60" s="26"/>
      <c r="AC60" s="26"/>
      <c r="AD60" s="85"/>
      <c r="AE60" s="27"/>
      <c r="AF60" s="70"/>
      <c r="AG60" s="81">
        <f t="shared" si="3"/>
        <v>0</v>
      </c>
      <c r="AH60" s="90" t="str">
        <f t="shared" si="4"/>
        <v xml:space="preserve"> </v>
      </c>
      <c r="AI60" s="88" t="str">
        <f t="shared" si="5"/>
        <v xml:space="preserve"> </v>
      </c>
      <c r="AJ60" s="13" t="str">
        <f t="shared" si="6"/>
        <v xml:space="preserve"> </v>
      </c>
      <c r="AK60" s="4" t="str">
        <f t="shared" si="35"/>
        <v xml:space="preserve"> </v>
      </c>
      <c r="AL60" s="4" t="str">
        <f t="shared" si="8"/>
        <v xml:space="preserve"> </v>
      </c>
      <c r="AM60" s="13" t="str">
        <f t="shared" si="9"/>
        <v xml:space="preserve"> </v>
      </c>
      <c r="AN60" s="2" t="str">
        <f t="shared" si="10"/>
        <v xml:space="preserve"> </v>
      </c>
      <c r="AO60" s="2" t="str">
        <f t="shared" si="11"/>
        <v xml:space="preserve"> </v>
      </c>
      <c r="AP60" s="9" t="str">
        <f t="shared" si="20"/>
        <v xml:space="preserve"> </v>
      </c>
      <c r="AQ60" s="2" t="str">
        <f t="shared" si="12"/>
        <v xml:space="preserve"> </v>
      </c>
      <c r="AR60" s="2" t="str">
        <f t="shared" si="13"/>
        <v xml:space="preserve"> </v>
      </c>
      <c r="AS60" s="4" t="str">
        <f t="shared" si="14"/>
        <v xml:space="preserve"> </v>
      </c>
      <c r="AT60" s="4" t="str">
        <f t="shared" si="21"/>
        <v xml:space="preserve"> </v>
      </c>
      <c r="AU60" s="42" t="str">
        <f t="shared" si="22"/>
        <v xml:space="preserve"> </v>
      </c>
      <c r="AV60" s="43" t="str">
        <f t="shared" si="34"/>
        <v xml:space="preserve"> </v>
      </c>
      <c r="AW60" s="44" t="str">
        <f t="shared" si="15"/>
        <v xml:space="preserve"> </v>
      </c>
      <c r="AX60" s="43" t="str">
        <f t="shared" si="16"/>
        <v xml:space="preserve"> </v>
      </c>
      <c r="AY60" s="43" t="str">
        <f t="shared" si="17"/>
        <v xml:space="preserve"> </v>
      </c>
      <c r="AZ60" s="1" t="str">
        <f t="shared" si="18"/>
        <v xml:space="preserve"> </v>
      </c>
      <c r="BA60" s="1" t="str">
        <f t="shared" si="19"/>
        <v xml:space="preserve"> </v>
      </c>
    </row>
    <row r="61" spans="1:53" x14ac:dyDescent="0.3">
      <c r="A61" s="28"/>
      <c r="B61" s="29"/>
      <c r="C61" s="29"/>
      <c r="D61" s="30"/>
      <c r="E61" s="30"/>
      <c r="F61" s="31"/>
      <c r="G61" s="25"/>
      <c r="H61" s="76"/>
      <c r="I61" s="76"/>
      <c r="J61" s="69"/>
      <c r="K61" s="32"/>
      <c r="L61" s="67"/>
      <c r="M61" s="50"/>
      <c r="N61" s="50"/>
      <c r="O61" s="49"/>
      <c r="P61" s="50"/>
      <c r="Q61" s="83"/>
      <c r="R61" s="55"/>
      <c r="S61" s="27"/>
      <c r="T61" s="25"/>
      <c r="U61" s="33"/>
      <c r="V61" s="27"/>
      <c r="W61" s="76"/>
      <c r="X61" s="26"/>
      <c r="Y61" s="26"/>
      <c r="Z61" s="27"/>
      <c r="AA61" s="26"/>
      <c r="AB61" s="26"/>
      <c r="AC61" s="26"/>
      <c r="AD61" s="85"/>
      <c r="AE61" s="27"/>
      <c r="AF61" s="70"/>
      <c r="AG61" s="81">
        <f t="shared" si="3"/>
        <v>0</v>
      </c>
      <c r="AH61" s="90" t="str">
        <f t="shared" si="4"/>
        <v xml:space="preserve"> </v>
      </c>
      <c r="AI61" s="88" t="str">
        <f t="shared" si="5"/>
        <v xml:space="preserve"> </v>
      </c>
      <c r="AJ61" s="13" t="str">
        <f t="shared" si="6"/>
        <v xml:space="preserve"> </v>
      </c>
      <c r="AK61" s="4" t="str">
        <f t="shared" si="35"/>
        <v xml:space="preserve"> </v>
      </c>
      <c r="AL61" s="4" t="str">
        <f t="shared" si="8"/>
        <v xml:space="preserve"> </v>
      </c>
      <c r="AM61" s="13" t="str">
        <f t="shared" si="9"/>
        <v xml:space="preserve"> </v>
      </c>
      <c r="AN61" s="2" t="str">
        <f t="shared" si="10"/>
        <v xml:space="preserve"> </v>
      </c>
      <c r="AO61" s="2" t="str">
        <f t="shared" si="11"/>
        <v xml:space="preserve"> </v>
      </c>
      <c r="AP61" s="9" t="str">
        <f t="shared" si="20"/>
        <v xml:space="preserve"> </v>
      </c>
      <c r="AQ61" s="2" t="str">
        <f t="shared" si="12"/>
        <v xml:space="preserve"> </v>
      </c>
      <c r="AR61" s="2" t="str">
        <f t="shared" si="13"/>
        <v xml:space="preserve"> </v>
      </c>
      <c r="AS61" s="4" t="str">
        <f t="shared" si="14"/>
        <v xml:space="preserve"> </v>
      </c>
      <c r="AT61" s="4" t="str">
        <f t="shared" si="21"/>
        <v xml:space="preserve"> </v>
      </c>
      <c r="AU61" s="42" t="str">
        <f t="shared" si="22"/>
        <v xml:space="preserve"> </v>
      </c>
      <c r="AV61" s="43" t="str">
        <f t="shared" si="34"/>
        <v xml:space="preserve"> </v>
      </c>
      <c r="AW61" s="44" t="str">
        <f t="shared" si="15"/>
        <v xml:space="preserve"> </v>
      </c>
      <c r="AX61" s="43" t="str">
        <f t="shared" si="16"/>
        <v xml:space="preserve"> </v>
      </c>
      <c r="AY61" s="43" t="str">
        <f t="shared" si="17"/>
        <v xml:space="preserve"> </v>
      </c>
      <c r="AZ61" s="1" t="str">
        <f t="shared" si="18"/>
        <v xml:space="preserve"> </v>
      </c>
      <c r="BA61" s="1" t="str">
        <f t="shared" si="19"/>
        <v xml:space="preserve"> </v>
      </c>
    </row>
    <row r="62" spans="1:53" x14ac:dyDescent="0.3">
      <c r="A62" s="28"/>
      <c r="B62" s="29"/>
      <c r="C62" s="29"/>
      <c r="D62" s="30"/>
      <c r="E62" s="30"/>
      <c r="F62" s="31"/>
      <c r="G62" s="25"/>
      <c r="H62" s="76"/>
      <c r="I62" s="76"/>
      <c r="J62" s="69"/>
      <c r="K62" s="32"/>
      <c r="L62" s="67"/>
      <c r="M62" s="50"/>
      <c r="N62" s="50"/>
      <c r="O62" s="49"/>
      <c r="P62" s="50"/>
      <c r="Q62" s="83"/>
      <c r="R62" s="55"/>
      <c r="S62" s="27"/>
      <c r="T62" s="25"/>
      <c r="U62" s="33"/>
      <c r="V62" s="27"/>
      <c r="W62" s="76"/>
      <c r="X62" s="26"/>
      <c r="Y62" s="26"/>
      <c r="Z62" s="27"/>
      <c r="AA62" s="26"/>
      <c r="AB62" s="26"/>
      <c r="AC62" s="26"/>
      <c r="AD62" s="85"/>
      <c r="AE62" s="27"/>
      <c r="AF62" s="70"/>
      <c r="AG62" s="81">
        <f t="shared" si="3"/>
        <v>0</v>
      </c>
      <c r="AH62" s="90" t="str">
        <f t="shared" si="4"/>
        <v xml:space="preserve"> </v>
      </c>
      <c r="AI62" s="88" t="str">
        <f t="shared" si="5"/>
        <v xml:space="preserve"> </v>
      </c>
      <c r="AJ62" s="13" t="str">
        <f t="shared" si="6"/>
        <v xml:space="preserve"> </v>
      </c>
      <c r="AK62" s="4" t="str">
        <f t="shared" si="35"/>
        <v xml:space="preserve"> </v>
      </c>
      <c r="AL62" s="4" t="str">
        <f t="shared" si="8"/>
        <v xml:space="preserve"> </v>
      </c>
      <c r="AM62" s="13" t="str">
        <f t="shared" si="9"/>
        <v xml:space="preserve"> </v>
      </c>
      <c r="AN62" s="2" t="str">
        <f t="shared" si="10"/>
        <v xml:space="preserve"> </v>
      </c>
      <c r="AO62" s="2" t="str">
        <f t="shared" si="11"/>
        <v xml:space="preserve"> </v>
      </c>
      <c r="AP62" s="9" t="str">
        <f t="shared" si="20"/>
        <v xml:space="preserve"> </v>
      </c>
      <c r="AQ62" s="2" t="str">
        <f t="shared" si="12"/>
        <v xml:space="preserve"> </v>
      </c>
      <c r="AR62" s="2" t="str">
        <f t="shared" si="13"/>
        <v xml:space="preserve"> </v>
      </c>
      <c r="AS62" s="4" t="str">
        <f t="shared" si="14"/>
        <v xml:space="preserve"> </v>
      </c>
      <c r="AT62" s="4" t="str">
        <f t="shared" si="21"/>
        <v xml:space="preserve"> </v>
      </c>
      <c r="AU62" s="42" t="str">
        <f t="shared" si="22"/>
        <v xml:space="preserve"> </v>
      </c>
      <c r="AV62" s="43" t="str">
        <f t="shared" si="34"/>
        <v xml:space="preserve"> </v>
      </c>
      <c r="AW62" s="44" t="str">
        <f t="shared" si="15"/>
        <v xml:space="preserve"> </v>
      </c>
      <c r="AX62" s="43" t="str">
        <f t="shared" si="16"/>
        <v xml:space="preserve"> </v>
      </c>
      <c r="AY62" s="43" t="str">
        <f t="shared" si="17"/>
        <v xml:space="preserve"> </v>
      </c>
      <c r="AZ62" s="1" t="str">
        <f t="shared" si="18"/>
        <v xml:space="preserve"> </v>
      </c>
      <c r="BA62" s="1" t="str">
        <f t="shared" si="19"/>
        <v xml:space="preserve"> </v>
      </c>
    </row>
    <row r="63" spans="1:53" x14ac:dyDescent="0.3">
      <c r="A63" s="28"/>
      <c r="B63" s="29"/>
      <c r="C63" s="29"/>
      <c r="D63" s="30"/>
      <c r="E63" s="30"/>
      <c r="F63" s="31"/>
      <c r="G63" s="25"/>
      <c r="H63" s="76"/>
      <c r="I63" s="76"/>
      <c r="J63" s="69"/>
      <c r="K63" s="32"/>
      <c r="L63" s="67"/>
      <c r="M63" s="50"/>
      <c r="N63" s="50"/>
      <c r="O63" s="49"/>
      <c r="P63" s="50"/>
      <c r="Q63" s="83"/>
      <c r="R63" s="55"/>
      <c r="S63" s="27"/>
      <c r="T63" s="25"/>
      <c r="U63" s="33"/>
      <c r="V63" s="27"/>
      <c r="W63" s="76"/>
      <c r="X63" s="26"/>
      <c r="Y63" s="26"/>
      <c r="Z63" s="27"/>
      <c r="AA63" s="26"/>
      <c r="AB63" s="26"/>
      <c r="AC63" s="26"/>
      <c r="AD63" s="85"/>
      <c r="AE63" s="27"/>
      <c r="AF63" s="70"/>
      <c r="AG63" s="81">
        <f t="shared" si="3"/>
        <v>0</v>
      </c>
      <c r="AH63" s="90" t="str">
        <f t="shared" si="4"/>
        <v xml:space="preserve"> </v>
      </c>
      <c r="AI63" s="88" t="str">
        <f t="shared" si="5"/>
        <v xml:space="preserve"> </v>
      </c>
      <c r="AJ63" s="13" t="str">
        <f t="shared" si="6"/>
        <v xml:space="preserve"> </v>
      </c>
      <c r="AK63" s="4" t="str">
        <f t="shared" si="35"/>
        <v xml:space="preserve"> </v>
      </c>
      <c r="AL63" s="4" t="str">
        <f t="shared" si="8"/>
        <v xml:space="preserve"> </v>
      </c>
      <c r="AM63" s="13" t="str">
        <f t="shared" si="9"/>
        <v xml:space="preserve"> </v>
      </c>
      <c r="AN63" s="2" t="str">
        <f t="shared" si="10"/>
        <v xml:space="preserve"> </v>
      </c>
      <c r="AO63" s="2" t="str">
        <f t="shared" si="11"/>
        <v xml:space="preserve"> </v>
      </c>
      <c r="AP63" s="9" t="str">
        <f t="shared" si="20"/>
        <v xml:space="preserve"> </v>
      </c>
      <c r="AQ63" s="2" t="str">
        <f t="shared" si="12"/>
        <v xml:space="preserve"> </v>
      </c>
      <c r="AR63" s="2" t="str">
        <f t="shared" si="13"/>
        <v xml:space="preserve"> </v>
      </c>
      <c r="AS63" s="4" t="str">
        <f t="shared" si="14"/>
        <v xml:space="preserve"> </v>
      </c>
      <c r="AT63" s="4" t="str">
        <f t="shared" si="21"/>
        <v xml:space="preserve"> </v>
      </c>
      <c r="AU63" s="42" t="str">
        <f t="shared" si="22"/>
        <v xml:space="preserve"> </v>
      </c>
      <c r="AV63" s="43" t="str">
        <f t="shared" si="34"/>
        <v xml:space="preserve"> </v>
      </c>
      <c r="AW63" s="44" t="str">
        <f t="shared" si="15"/>
        <v xml:space="preserve"> </v>
      </c>
      <c r="AX63" s="43" t="str">
        <f t="shared" si="16"/>
        <v xml:space="preserve"> </v>
      </c>
      <c r="AY63" s="43" t="str">
        <f t="shared" si="17"/>
        <v xml:space="preserve"> </v>
      </c>
      <c r="AZ63" s="1" t="str">
        <f t="shared" si="18"/>
        <v xml:space="preserve"> </v>
      </c>
      <c r="BA63" s="1" t="str">
        <f t="shared" si="19"/>
        <v xml:space="preserve"> </v>
      </c>
    </row>
    <row r="64" spans="1:53" x14ac:dyDescent="0.3">
      <c r="A64" s="28"/>
      <c r="B64" s="29"/>
      <c r="C64" s="29"/>
      <c r="D64" s="30"/>
      <c r="E64" s="30"/>
      <c r="F64" s="31"/>
      <c r="G64" s="25"/>
      <c r="H64" s="76"/>
      <c r="I64" s="76"/>
      <c r="J64" s="69"/>
      <c r="K64" s="32"/>
      <c r="L64" s="67"/>
      <c r="M64" s="50"/>
      <c r="N64" s="50"/>
      <c r="O64" s="49"/>
      <c r="P64" s="50"/>
      <c r="Q64" s="83"/>
      <c r="R64" s="55"/>
      <c r="S64" s="27"/>
      <c r="T64" s="25"/>
      <c r="U64" s="33"/>
      <c r="V64" s="27"/>
      <c r="W64" s="76"/>
      <c r="X64" s="26"/>
      <c r="Y64" s="26"/>
      <c r="Z64" s="27"/>
      <c r="AA64" s="26"/>
      <c r="AB64" s="26"/>
      <c r="AC64" s="26"/>
      <c r="AD64" s="85"/>
      <c r="AE64" s="27"/>
      <c r="AF64" s="70"/>
      <c r="AG64" s="81">
        <f t="shared" si="3"/>
        <v>0</v>
      </c>
      <c r="AH64" s="90" t="str">
        <f t="shared" si="4"/>
        <v xml:space="preserve"> </v>
      </c>
      <c r="AI64" s="88" t="str">
        <f t="shared" si="5"/>
        <v xml:space="preserve"> </v>
      </c>
      <c r="AJ64" s="13" t="str">
        <f t="shared" si="6"/>
        <v xml:space="preserve"> </v>
      </c>
      <c r="AK64" s="4" t="str">
        <f t="shared" si="35"/>
        <v xml:space="preserve"> </v>
      </c>
      <c r="AL64" s="4" t="str">
        <f t="shared" si="8"/>
        <v xml:space="preserve"> </v>
      </c>
      <c r="AM64" s="13" t="str">
        <f t="shared" si="9"/>
        <v xml:space="preserve"> </v>
      </c>
      <c r="AN64" s="2" t="str">
        <f t="shared" si="10"/>
        <v xml:space="preserve"> </v>
      </c>
      <c r="AO64" s="2" t="str">
        <f t="shared" si="11"/>
        <v xml:space="preserve"> </v>
      </c>
      <c r="AP64" s="9" t="str">
        <f t="shared" si="20"/>
        <v xml:space="preserve"> </v>
      </c>
      <c r="AQ64" s="2" t="str">
        <f t="shared" si="12"/>
        <v xml:space="preserve"> </v>
      </c>
      <c r="AR64" s="2" t="str">
        <f t="shared" si="13"/>
        <v xml:space="preserve"> </v>
      </c>
      <c r="AS64" s="4" t="str">
        <f t="shared" si="14"/>
        <v xml:space="preserve"> </v>
      </c>
      <c r="AT64" s="4" t="str">
        <f t="shared" si="21"/>
        <v xml:space="preserve"> </v>
      </c>
      <c r="AU64" s="42" t="str">
        <f t="shared" si="22"/>
        <v xml:space="preserve"> </v>
      </c>
      <c r="AV64" s="43" t="str">
        <f t="shared" si="34"/>
        <v xml:space="preserve"> </v>
      </c>
      <c r="AW64" s="44" t="str">
        <f t="shared" si="15"/>
        <v xml:space="preserve"> </v>
      </c>
      <c r="AX64" s="43" t="str">
        <f t="shared" si="16"/>
        <v xml:space="preserve"> </v>
      </c>
      <c r="AY64" s="43" t="str">
        <f t="shared" si="17"/>
        <v xml:space="preserve"> </v>
      </c>
      <c r="AZ64" s="1" t="str">
        <f t="shared" si="18"/>
        <v xml:space="preserve"> </v>
      </c>
      <c r="BA64" s="1" t="str">
        <f t="shared" si="19"/>
        <v xml:space="preserve"> </v>
      </c>
    </row>
    <row r="65" spans="1:53" x14ac:dyDescent="0.3">
      <c r="A65" s="28"/>
      <c r="B65" s="29"/>
      <c r="C65" s="29"/>
      <c r="D65" s="30"/>
      <c r="E65" s="30"/>
      <c r="F65" s="31"/>
      <c r="G65" s="25"/>
      <c r="H65" s="76"/>
      <c r="I65" s="76"/>
      <c r="J65" s="69"/>
      <c r="K65" s="32"/>
      <c r="L65" s="67"/>
      <c r="M65" s="50"/>
      <c r="N65" s="50"/>
      <c r="O65" s="49"/>
      <c r="P65" s="50"/>
      <c r="Q65" s="83"/>
      <c r="R65" s="55"/>
      <c r="S65" s="27"/>
      <c r="T65" s="25"/>
      <c r="U65" s="33"/>
      <c r="V65" s="27"/>
      <c r="W65" s="76"/>
      <c r="X65" s="26"/>
      <c r="Y65" s="26"/>
      <c r="Z65" s="27"/>
      <c r="AA65" s="26"/>
      <c r="AB65" s="26"/>
      <c r="AC65" s="26"/>
      <c r="AD65" s="85"/>
      <c r="AE65" s="27"/>
      <c r="AF65" s="70"/>
      <c r="AG65" s="81">
        <f t="shared" si="3"/>
        <v>0</v>
      </c>
      <c r="AH65" s="90" t="str">
        <f t="shared" si="4"/>
        <v xml:space="preserve"> </v>
      </c>
      <c r="AI65" s="88" t="str">
        <f t="shared" si="5"/>
        <v xml:space="preserve"> </v>
      </c>
      <c r="AJ65" s="13" t="str">
        <f t="shared" si="6"/>
        <v xml:space="preserve"> </v>
      </c>
      <c r="AK65" s="4" t="str">
        <f t="shared" si="35"/>
        <v xml:space="preserve"> </v>
      </c>
      <c r="AL65" s="4" t="str">
        <f t="shared" si="8"/>
        <v xml:space="preserve"> </v>
      </c>
      <c r="AM65" s="13" t="str">
        <f t="shared" si="9"/>
        <v xml:space="preserve"> </v>
      </c>
      <c r="AN65" s="2" t="str">
        <f t="shared" si="10"/>
        <v xml:space="preserve"> </v>
      </c>
      <c r="AO65" s="2" t="str">
        <f t="shared" si="11"/>
        <v xml:space="preserve"> </v>
      </c>
      <c r="AP65" s="9" t="str">
        <f t="shared" si="20"/>
        <v xml:space="preserve"> </v>
      </c>
      <c r="AQ65" s="2" t="str">
        <f t="shared" si="12"/>
        <v xml:space="preserve"> </v>
      </c>
      <c r="AR65" s="2" t="str">
        <f t="shared" si="13"/>
        <v xml:space="preserve"> </v>
      </c>
      <c r="AS65" s="4" t="str">
        <f t="shared" si="14"/>
        <v xml:space="preserve"> </v>
      </c>
      <c r="AT65" s="4" t="str">
        <f t="shared" si="21"/>
        <v xml:space="preserve"> </v>
      </c>
      <c r="AU65" s="42" t="str">
        <f t="shared" si="22"/>
        <v xml:space="preserve"> </v>
      </c>
      <c r="AV65" s="43" t="str">
        <f t="shared" si="34"/>
        <v xml:space="preserve"> </v>
      </c>
      <c r="AW65" s="44" t="str">
        <f t="shared" si="15"/>
        <v xml:space="preserve"> </v>
      </c>
      <c r="AX65" s="43" t="str">
        <f t="shared" si="16"/>
        <v xml:space="preserve"> </v>
      </c>
      <c r="AY65" s="43" t="str">
        <f t="shared" si="17"/>
        <v xml:space="preserve"> </v>
      </c>
      <c r="AZ65" s="1" t="str">
        <f t="shared" si="18"/>
        <v xml:space="preserve"> </v>
      </c>
      <c r="BA65" s="1" t="str">
        <f t="shared" si="19"/>
        <v xml:space="preserve"> </v>
      </c>
    </row>
    <row r="66" spans="1:53" x14ac:dyDescent="0.3">
      <c r="A66" s="28"/>
      <c r="B66" s="29"/>
      <c r="C66" s="29"/>
      <c r="D66" s="30"/>
      <c r="E66" s="30"/>
      <c r="F66" s="31"/>
      <c r="G66" s="25"/>
      <c r="H66" s="76"/>
      <c r="I66" s="76"/>
      <c r="J66" s="69"/>
      <c r="K66" s="32"/>
      <c r="L66" s="67"/>
      <c r="M66" s="50"/>
      <c r="N66" s="50"/>
      <c r="O66" s="49"/>
      <c r="P66" s="50"/>
      <c r="Q66" s="83"/>
      <c r="R66" s="55"/>
      <c r="S66" s="27"/>
      <c r="T66" s="25"/>
      <c r="U66" s="33"/>
      <c r="V66" s="27"/>
      <c r="W66" s="76"/>
      <c r="X66" s="26"/>
      <c r="Y66" s="26"/>
      <c r="Z66" s="27"/>
      <c r="AA66" s="26"/>
      <c r="AB66" s="26"/>
      <c r="AC66" s="26"/>
      <c r="AD66" s="85"/>
      <c r="AE66" s="27"/>
      <c r="AF66" s="70"/>
      <c r="AG66" s="81">
        <f t="shared" si="3"/>
        <v>0</v>
      </c>
      <c r="AH66" s="90" t="str">
        <f t="shared" si="4"/>
        <v xml:space="preserve"> </v>
      </c>
      <c r="AI66" s="88" t="str">
        <f t="shared" si="5"/>
        <v xml:space="preserve"> </v>
      </c>
      <c r="AJ66" s="13" t="str">
        <f t="shared" si="6"/>
        <v xml:space="preserve"> </v>
      </c>
      <c r="AK66" s="4" t="str">
        <f t="shared" si="35"/>
        <v xml:space="preserve"> </v>
      </c>
      <c r="AL66" s="4" t="str">
        <f t="shared" si="8"/>
        <v xml:space="preserve"> </v>
      </c>
      <c r="AM66" s="13" t="str">
        <f t="shared" si="9"/>
        <v xml:space="preserve"> </v>
      </c>
      <c r="AN66" s="2" t="str">
        <f t="shared" si="10"/>
        <v xml:space="preserve"> </v>
      </c>
      <c r="AO66" s="2" t="str">
        <f t="shared" si="11"/>
        <v xml:space="preserve"> </v>
      </c>
      <c r="AP66" s="9" t="str">
        <f t="shared" si="20"/>
        <v xml:space="preserve"> </v>
      </c>
      <c r="AQ66" s="2" t="str">
        <f t="shared" si="12"/>
        <v xml:space="preserve"> </v>
      </c>
      <c r="AR66" s="2" t="str">
        <f t="shared" si="13"/>
        <v xml:space="preserve"> </v>
      </c>
      <c r="AS66" s="4" t="str">
        <f t="shared" si="14"/>
        <v xml:space="preserve"> </v>
      </c>
      <c r="AT66" s="4" t="str">
        <f t="shared" si="21"/>
        <v xml:space="preserve"> </v>
      </c>
      <c r="AU66" s="42" t="str">
        <f t="shared" si="22"/>
        <v xml:space="preserve"> </v>
      </c>
      <c r="AV66" s="43" t="str">
        <f t="shared" si="34"/>
        <v xml:space="preserve"> </v>
      </c>
      <c r="AW66" s="44" t="str">
        <f t="shared" si="15"/>
        <v xml:space="preserve"> </v>
      </c>
      <c r="AX66" s="43" t="str">
        <f t="shared" si="16"/>
        <v xml:space="preserve"> </v>
      </c>
      <c r="AY66" s="43" t="str">
        <f t="shared" si="17"/>
        <v xml:space="preserve"> </v>
      </c>
      <c r="AZ66" s="1" t="str">
        <f t="shared" si="18"/>
        <v xml:space="preserve"> </v>
      </c>
      <c r="BA66" s="1" t="str">
        <f t="shared" si="19"/>
        <v xml:space="preserve"> </v>
      </c>
    </row>
    <row r="67" spans="1:53" x14ac:dyDescent="0.3">
      <c r="A67" s="28"/>
      <c r="B67" s="29"/>
      <c r="C67" s="29"/>
      <c r="D67" s="30"/>
      <c r="E67" s="30"/>
      <c r="F67" s="31"/>
      <c r="G67" s="25"/>
      <c r="H67" s="76"/>
      <c r="I67" s="76"/>
      <c r="J67" s="69"/>
      <c r="K67" s="32"/>
      <c r="L67" s="67"/>
      <c r="M67" s="50"/>
      <c r="N67" s="50"/>
      <c r="O67" s="49"/>
      <c r="P67" s="50"/>
      <c r="Q67" s="83"/>
      <c r="R67" s="55"/>
      <c r="S67" s="27"/>
      <c r="T67" s="25"/>
      <c r="U67" s="33"/>
      <c r="V67" s="27"/>
      <c r="W67" s="76"/>
      <c r="X67" s="26"/>
      <c r="Y67" s="26"/>
      <c r="Z67" s="27"/>
      <c r="AA67" s="26"/>
      <c r="AB67" s="26"/>
      <c r="AC67" s="26"/>
      <c r="AD67" s="85"/>
      <c r="AE67" s="27"/>
      <c r="AF67" s="70"/>
      <c r="AG67" s="81">
        <f t="shared" si="3"/>
        <v>0</v>
      </c>
      <c r="AH67" s="90" t="str">
        <f t="shared" si="4"/>
        <v xml:space="preserve"> </v>
      </c>
      <c r="AI67" s="88" t="str">
        <f t="shared" si="5"/>
        <v xml:space="preserve"> </v>
      </c>
      <c r="AJ67" s="13" t="str">
        <f t="shared" si="6"/>
        <v xml:space="preserve"> </v>
      </c>
      <c r="AK67" s="4" t="str">
        <f t="shared" si="35"/>
        <v xml:space="preserve"> </v>
      </c>
      <c r="AL67" s="4" t="str">
        <f t="shared" si="8"/>
        <v xml:space="preserve"> </v>
      </c>
      <c r="AM67" s="13" t="str">
        <f t="shared" si="9"/>
        <v xml:space="preserve"> </v>
      </c>
      <c r="AN67" s="2" t="str">
        <f t="shared" si="10"/>
        <v xml:space="preserve"> </v>
      </c>
      <c r="AO67" s="2" t="str">
        <f t="shared" si="11"/>
        <v xml:space="preserve"> </v>
      </c>
      <c r="AP67" s="9" t="str">
        <f t="shared" si="20"/>
        <v xml:space="preserve"> </v>
      </c>
      <c r="AQ67" s="2" t="str">
        <f t="shared" si="12"/>
        <v xml:space="preserve"> </v>
      </c>
      <c r="AR67" s="2" t="str">
        <f t="shared" si="13"/>
        <v xml:space="preserve"> </v>
      </c>
      <c r="AS67" s="4" t="str">
        <f t="shared" si="14"/>
        <v xml:space="preserve"> </v>
      </c>
      <c r="AT67" s="4" t="str">
        <f t="shared" si="21"/>
        <v xml:space="preserve"> </v>
      </c>
      <c r="AU67" s="42" t="str">
        <f t="shared" si="22"/>
        <v xml:space="preserve"> </v>
      </c>
      <c r="AV67" s="43" t="str">
        <f t="shared" si="34"/>
        <v xml:space="preserve"> </v>
      </c>
      <c r="AW67" s="44" t="str">
        <f t="shared" si="15"/>
        <v xml:space="preserve"> </v>
      </c>
      <c r="AX67" s="43" t="str">
        <f t="shared" si="16"/>
        <v xml:space="preserve"> </v>
      </c>
      <c r="AY67" s="43" t="str">
        <f t="shared" si="17"/>
        <v xml:space="preserve"> </v>
      </c>
      <c r="AZ67" s="1" t="str">
        <f t="shared" si="18"/>
        <v xml:space="preserve"> </v>
      </c>
      <c r="BA67" s="1" t="str">
        <f t="shared" si="19"/>
        <v xml:space="preserve"> </v>
      </c>
    </row>
    <row r="68" spans="1:53" x14ac:dyDescent="0.3">
      <c r="A68" s="28"/>
      <c r="B68" s="29"/>
      <c r="C68" s="29"/>
      <c r="D68" s="30"/>
      <c r="E68" s="30"/>
      <c r="F68" s="31"/>
      <c r="G68" s="25"/>
      <c r="H68" s="76"/>
      <c r="I68" s="76"/>
      <c r="J68" s="69"/>
      <c r="K68" s="32"/>
      <c r="L68" s="67"/>
      <c r="M68" s="50"/>
      <c r="N68" s="50"/>
      <c r="O68" s="49"/>
      <c r="P68" s="50"/>
      <c r="Q68" s="83"/>
      <c r="R68" s="55"/>
      <c r="S68" s="27"/>
      <c r="T68" s="25"/>
      <c r="U68" s="33"/>
      <c r="V68" s="27"/>
      <c r="W68" s="76"/>
      <c r="X68" s="26"/>
      <c r="Y68" s="26"/>
      <c r="Z68" s="27"/>
      <c r="AA68" s="26"/>
      <c r="AB68" s="26"/>
      <c r="AC68" s="26"/>
      <c r="AD68" s="85"/>
      <c r="AE68" s="27"/>
      <c r="AF68" s="70"/>
      <c r="AG68" s="81">
        <f t="shared" ref="AG68:AG100" si="36">IFERROR(HYPERLINK($AI$2&amp;A68,A68)," ")</f>
        <v>0</v>
      </c>
      <c r="AH68" s="90" t="str">
        <f t="shared" ref="AH68:AH100" si="37">IF(AJ68="AMANDA",D68," ")</f>
        <v xml:space="preserve"> </v>
      </c>
      <c r="AI68" s="88" t="str">
        <f t="shared" ref="AI68:AI100" si="38">IF(A68=" "," ",IF($AH68=" "," ",IF(AJ68="AMANDA",AH68/$AH$1)))</f>
        <v xml:space="preserve"> </v>
      </c>
      <c r="AJ68" s="13" t="str">
        <f t="shared" ref="AJ68:AJ100" si="39">IF(A68=""," ",IF(AND(B68&gt;=$AG$2),"AMANDA","LAY"))</f>
        <v xml:space="preserve"> </v>
      </c>
      <c r="AK68" s="4" t="str">
        <f t="shared" ref="AK68:AK100" si="40">IF(AND(A68&lt;&gt;"",AJ68="LAY"),"",IFERROR(B68*F68*AI68," "))</f>
        <v xml:space="preserve"> </v>
      </c>
      <c r="AL68" s="4" t="str">
        <f t="shared" ref="AL68:AL100" si="41">IFERROR(IF(AK68=" "," ",AK68/$AK$2)," ")</f>
        <v xml:space="preserve"> </v>
      </c>
      <c r="AM68" s="13" t="str">
        <f t="shared" ref="AM68:AM100" si="42">IF(AJ68=" "," ",IF(AJ68="LAY"," ",IF(AJ68&lt;&gt;"LAY",ROUNDUP(AL68*$AT$1,0))))</f>
        <v xml:space="preserve"> </v>
      </c>
      <c r="AN68" s="2" t="str">
        <f t="shared" ref="AN68:AN100" si="43">IF(AJ68="AMANDA",(1+B68)," ")</f>
        <v xml:space="preserve"> </v>
      </c>
      <c r="AO68" s="2" t="str">
        <f t="shared" ref="AO68:AO100" si="44">IFERROR(100/AN68," ")</f>
        <v xml:space="preserve"> </v>
      </c>
      <c r="AP68" s="9" t="str">
        <f t="shared" ref="AP68:AP100" si="45">IFERROR(AO68/$AO$2," ")</f>
        <v xml:space="preserve"> </v>
      </c>
      <c r="AQ68" s="2" t="str">
        <f t="shared" ref="AQ68:AQ100" si="46">IFERROR(ROUNDUP($AN$2/AN68,0)," ")</f>
        <v xml:space="preserve"> </v>
      </c>
      <c r="AR68" s="2" t="str">
        <f t="shared" ref="AR68:AR100" si="47">IFERROR(AN68*AQ68," ")</f>
        <v xml:space="preserve"> </v>
      </c>
      <c r="AS68" s="4" t="str">
        <f t="shared" ref="AS68:AS100" si="48">IFERROR(IF(B68=" "," ",IF(AJ68="LAY"," ",IF(A68&lt;&gt;" ",AI68*AP68," ")))," ")</f>
        <v xml:space="preserve"> </v>
      </c>
      <c r="AT68" s="4" t="str">
        <f t="shared" ref="AT68:AT100" si="49">IFERROR(AS68/$AS$2," ")</f>
        <v xml:space="preserve"> </v>
      </c>
      <c r="AU68" s="42" t="str">
        <f t="shared" ref="AU68:AU100" si="50">IFERROR(ROUNDUP(AT68*$AT$1,0)," ")</f>
        <v xml:space="preserve"> </v>
      </c>
      <c r="AV68" s="43" t="str">
        <f t="shared" si="34"/>
        <v xml:space="preserve"> </v>
      </c>
      <c r="AW68" s="44" t="str">
        <f t="shared" ref="AW68:AW100" si="51">IFERROR(AU68*AN68," ")</f>
        <v xml:space="preserve"> </v>
      </c>
      <c r="AX68" s="43" t="str">
        <f t="shared" ref="AX68:AX100" si="52">IFERROR(AW68-AU68," ")</f>
        <v xml:space="preserve"> </v>
      </c>
      <c r="AY68" s="43" t="str">
        <f t="shared" ref="AY68:AY100" si="53">IFERROR(ABS($AV68-$AU$2)," ")</f>
        <v xml:space="preserve"> </v>
      </c>
      <c r="AZ68" s="1" t="str">
        <f t="shared" ref="AZ68:AZ100" si="54">IFERROR(AY68/$AU$2," ")</f>
        <v xml:space="preserve"> </v>
      </c>
      <c r="BA68" s="1" t="str">
        <f t="shared" ref="BA68:BA100" si="55">IFERROR((AX68/$AU$2)," ")</f>
        <v xml:space="preserve"> </v>
      </c>
    </row>
    <row r="69" spans="1:53" x14ac:dyDescent="0.3">
      <c r="A69" s="28"/>
      <c r="B69" s="29"/>
      <c r="C69" s="29"/>
      <c r="D69" s="30"/>
      <c r="E69" s="30"/>
      <c r="F69" s="31"/>
      <c r="G69" s="25"/>
      <c r="H69" s="76"/>
      <c r="I69" s="76"/>
      <c r="J69" s="69"/>
      <c r="K69" s="32"/>
      <c r="L69" s="67"/>
      <c r="M69" s="50"/>
      <c r="N69" s="50"/>
      <c r="O69" s="49"/>
      <c r="P69" s="50"/>
      <c r="Q69" s="83"/>
      <c r="R69" s="55"/>
      <c r="S69" s="27"/>
      <c r="T69" s="25"/>
      <c r="U69" s="33"/>
      <c r="V69" s="27"/>
      <c r="W69" s="76"/>
      <c r="X69" s="26"/>
      <c r="Y69" s="26"/>
      <c r="Z69" s="27"/>
      <c r="AA69" s="26"/>
      <c r="AB69" s="26"/>
      <c r="AC69" s="26"/>
      <c r="AD69" s="85"/>
      <c r="AE69" s="27"/>
      <c r="AF69" s="70"/>
      <c r="AG69" s="81">
        <f t="shared" si="36"/>
        <v>0</v>
      </c>
      <c r="AH69" s="90" t="str">
        <f t="shared" si="37"/>
        <v xml:space="preserve"> </v>
      </c>
      <c r="AI69" s="88" t="str">
        <f t="shared" si="38"/>
        <v xml:space="preserve"> </v>
      </c>
      <c r="AJ69" s="13" t="str">
        <f t="shared" si="39"/>
        <v xml:space="preserve"> </v>
      </c>
      <c r="AK69" s="4" t="str">
        <f t="shared" si="40"/>
        <v xml:space="preserve"> </v>
      </c>
      <c r="AL69" s="4" t="str">
        <f t="shared" si="41"/>
        <v xml:space="preserve"> </v>
      </c>
      <c r="AM69" s="13" t="str">
        <f t="shared" si="42"/>
        <v xml:space="preserve"> </v>
      </c>
      <c r="AN69" s="2" t="str">
        <f t="shared" si="43"/>
        <v xml:space="preserve"> </v>
      </c>
      <c r="AO69" s="2" t="str">
        <f t="shared" si="44"/>
        <v xml:space="preserve"> </v>
      </c>
      <c r="AP69" s="9" t="str">
        <f t="shared" si="45"/>
        <v xml:space="preserve"> </v>
      </c>
      <c r="AQ69" s="2" t="str">
        <f t="shared" si="46"/>
        <v xml:space="preserve"> </v>
      </c>
      <c r="AR69" s="2" t="str">
        <f t="shared" si="47"/>
        <v xml:space="preserve"> </v>
      </c>
      <c r="AS69" s="4" t="str">
        <f t="shared" si="48"/>
        <v xml:space="preserve"> </v>
      </c>
      <c r="AT69" s="4" t="str">
        <f t="shared" si="49"/>
        <v xml:space="preserve"> </v>
      </c>
      <c r="AU69" s="42" t="str">
        <f t="shared" si="50"/>
        <v xml:space="preserve"> </v>
      </c>
      <c r="AV69" s="43" t="str">
        <f t="shared" si="34"/>
        <v xml:space="preserve"> </v>
      </c>
      <c r="AW69" s="44" t="str">
        <f t="shared" si="51"/>
        <v xml:space="preserve"> </v>
      </c>
      <c r="AX69" s="43" t="str">
        <f t="shared" si="52"/>
        <v xml:space="preserve"> </v>
      </c>
      <c r="AY69" s="43" t="str">
        <f t="shared" si="53"/>
        <v xml:space="preserve"> </v>
      </c>
      <c r="AZ69" s="1" t="str">
        <f t="shared" si="54"/>
        <v xml:space="preserve"> </v>
      </c>
      <c r="BA69" s="1" t="str">
        <f t="shared" si="55"/>
        <v xml:space="preserve"> </v>
      </c>
    </row>
    <row r="70" spans="1:53" x14ac:dyDescent="0.3">
      <c r="A70" s="28"/>
      <c r="B70" s="29"/>
      <c r="C70" s="29"/>
      <c r="D70" s="30"/>
      <c r="E70" s="30"/>
      <c r="F70" s="31"/>
      <c r="G70" s="25"/>
      <c r="H70" s="76"/>
      <c r="I70" s="76"/>
      <c r="J70" s="69"/>
      <c r="K70" s="32"/>
      <c r="L70" s="67"/>
      <c r="M70" s="50"/>
      <c r="N70" s="50"/>
      <c r="O70" s="49"/>
      <c r="P70" s="50"/>
      <c r="Q70" s="83"/>
      <c r="R70" s="55"/>
      <c r="S70" s="27"/>
      <c r="T70" s="25"/>
      <c r="U70" s="33"/>
      <c r="V70" s="27"/>
      <c r="W70" s="76"/>
      <c r="X70" s="26"/>
      <c r="Y70" s="26"/>
      <c r="Z70" s="27"/>
      <c r="AA70" s="26"/>
      <c r="AB70" s="26"/>
      <c r="AC70" s="26"/>
      <c r="AD70" s="85"/>
      <c r="AE70" s="27"/>
      <c r="AF70" s="70"/>
      <c r="AG70" s="81">
        <f t="shared" si="36"/>
        <v>0</v>
      </c>
      <c r="AH70" s="90" t="str">
        <f t="shared" si="37"/>
        <v xml:space="preserve"> </v>
      </c>
      <c r="AI70" s="88" t="str">
        <f t="shared" si="38"/>
        <v xml:space="preserve"> </v>
      </c>
      <c r="AJ70" s="13" t="str">
        <f t="shared" si="39"/>
        <v xml:space="preserve"> </v>
      </c>
      <c r="AK70" s="4" t="str">
        <f t="shared" si="40"/>
        <v xml:space="preserve"> </v>
      </c>
      <c r="AL70" s="4" t="str">
        <f t="shared" si="41"/>
        <v xml:space="preserve"> </v>
      </c>
      <c r="AM70" s="13" t="str">
        <f t="shared" si="42"/>
        <v xml:space="preserve"> </v>
      </c>
      <c r="AN70" s="2" t="str">
        <f t="shared" si="43"/>
        <v xml:space="preserve"> </v>
      </c>
      <c r="AO70" s="2" t="str">
        <f t="shared" si="44"/>
        <v xml:space="preserve"> </v>
      </c>
      <c r="AP70" s="9" t="str">
        <f t="shared" si="45"/>
        <v xml:space="preserve"> </v>
      </c>
      <c r="AQ70" s="2" t="str">
        <f t="shared" si="46"/>
        <v xml:space="preserve"> </v>
      </c>
      <c r="AR70" s="2" t="str">
        <f t="shared" si="47"/>
        <v xml:space="preserve"> </v>
      </c>
      <c r="AS70" s="4" t="str">
        <f t="shared" si="48"/>
        <v xml:space="preserve"> </v>
      </c>
      <c r="AT70" s="4" t="str">
        <f t="shared" si="49"/>
        <v xml:space="preserve"> </v>
      </c>
      <c r="AU70" s="42" t="str">
        <f t="shared" si="50"/>
        <v xml:space="preserve"> </v>
      </c>
      <c r="AV70" s="43" t="str">
        <f t="shared" si="34"/>
        <v xml:space="preserve"> </v>
      </c>
      <c r="AW70" s="44" t="str">
        <f t="shared" si="51"/>
        <v xml:space="preserve"> </v>
      </c>
      <c r="AX70" s="43" t="str">
        <f t="shared" si="52"/>
        <v xml:space="preserve"> </v>
      </c>
      <c r="AY70" s="43" t="str">
        <f t="shared" si="53"/>
        <v xml:space="preserve"> </v>
      </c>
      <c r="AZ70" s="1" t="str">
        <f t="shared" si="54"/>
        <v xml:space="preserve"> </v>
      </c>
      <c r="BA70" s="1" t="str">
        <f t="shared" si="55"/>
        <v xml:space="preserve"> </v>
      </c>
    </row>
    <row r="71" spans="1:53" x14ac:dyDescent="0.3">
      <c r="A71" s="28"/>
      <c r="B71" s="29"/>
      <c r="C71" s="29"/>
      <c r="D71" s="30"/>
      <c r="E71" s="30"/>
      <c r="F71" s="31"/>
      <c r="G71" s="25"/>
      <c r="H71" s="76"/>
      <c r="I71" s="76"/>
      <c r="J71" s="69"/>
      <c r="K71" s="32"/>
      <c r="L71" s="67"/>
      <c r="M71" s="50"/>
      <c r="N71" s="50"/>
      <c r="O71" s="49"/>
      <c r="P71" s="50"/>
      <c r="Q71" s="83"/>
      <c r="R71" s="55"/>
      <c r="S71" s="27"/>
      <c r="T71" s="25"/>
      <c r="U71" s="33"/>
      <c r="V71" s="27"/>
      <c r="W71" s="76"/>
      <c r="X71" s="26"/>
      <c r="Y71" s="26"/>
      <c r="Z71" s="27"/>
      <c r="AA71" s="26"/>
      <c r="AB71" s="26"/>
      <c r="AC71" s="26"/>
      <c r="AD71" s="85"/>
      <c r="AE71" s="27"/>
      <c r="AF71" s="70"/>
      <c r="AG71" s="81">
        <f t="shared" si="36"/>
        <v>0</v>
      </c>
      <c r="AH71" s="90" t="str">
        <f t="shared" si="37"/>
        <v xml:space="preserve"> </v>
      </c>
      <c r="AI71" s="88" t="str">
        <f t="shared" si="38"/>
        <v xml:space="preserve"> </v>
      </c>
      <c r="AJ71" s="13" t="str">
        <f t="shared" si="39"/>
        <v xml:space="preserve"> </v>
      </c>
      <c r="AK71" s="4" t="str">
        <f t="shared" si="40"/>
        <v xml:space="preserve"> </v>
      </c>
      <c r="AL71" s="4" t="str">
        <f t="shared" si="41"/>
        <v xml:space="preserve"> </v>
      </c>
      <c r="AM71" s="13" t="str">
        <f t="shared" si="42"/>
        <v xml:space="preserve"> </v>
      </c>
      <c r="AN71" s="2" t="str">
        <f t="shared" si="43"/>
        <v xml:space="preserve"> </v>
      </c>
      <c r="AO71" s="2" t="str">
        <f t="shared" si="44"/>
        <v xml:space="preserve"> </v>
      </c>
      <c r="AP71" s="9" t="str">
        <f t="shared" si="45"/>
        <v xml:space="preserve"> </v>
      </c>
      <c r="AQ71" s="2" t="str">
        <f t="shared" si="46"/>
        <v xml:space="preserve"> </v>
      </c>
      <c r="AR71" s="2" t="str">
        <f t="shared" si="47"/>
        <v xml:space="preserve"> </v>
      </c>
      <c r="AS71" s="4" t="str">
        <f t="shared" si="48"/>
        <v xml:space="preserve"> </v>
      </c>
      <c r="AT71" s="4" t="str">
        <f t="shared" si="49"/>
        <v xml:space="preserve"> </v>
      </c>
      <c r="AU71" s="42" t="str">
        <f t="shared" si="50"/>
        <v xml:space="preserve"> </v>
      </c>
      <c r="AV71" s="43" t="str">
        <f t="shared" si="34"/>
        <v xml:space="preserve"> </v>
      </c>
      <c r="AW71" s="44" t="str">
        <f t="shared" si="51"/>
        <v xml:space="preserve"> </v>
      </c>
      <c r="AX71" s="43" t="str">
        <f t="shared" si="52"/>
        <v xml:space="preserve"> </v>
      </c>
      <c r="AY71" s="43" t="str">
        <f t="shared" si="53"/>
        <v xml:space="preserve"> </v>
      </c>
      <c r="AZ71" s="1" t="str">
        <f t="shared" si="54"/>
        <v xml:space="preserve"> </v>
      </c>
      <c r="BA71" s="1" t="str">
        <f t="shared" si="55"/>
        <v xml:space="preserve"> </v>
      </c>
    </row>
    <row r="72" spans="1:53" x14ac:dyDescent="0.3">
      <c r="A72" s="28"/>
      <c r="B72" s="29"/>
      <c r="C72" s="29"/>
      <c r="D72" s="30"/>
      <c r="E72" s="30"/>
      <c r="F72" s="31"/>
      <c r="G72" s="25"/>
      <c r="H72" s="76"/>
      <c r="I72" s="76"/>
      <c r="J72" s="69"/>
      <c r="K72" s="32"/>
      <c r="L72" s="67"/>
      <c r="M72" s="50"/>
      <c r="N72" s="50"/>
      <c r="O72" s="49"/>
      <c r="P72" s="50"/>
      <c r="Q72" s="83"/>
      <c r="R72" s="55"/>
      <c r="S72" s="27"/>
      <c r="T72" s="25"/>
      <c r="U72" s="33"/>
      <c r="V72" s="27"/>
      <c r="W72" s="76"/>
      <c r="X72" s="26"/>
      <c r="Y72" s="26"/>
      <c r="Z72" s="27"/>
      <c r="AA72" s="26"/>
      <c r="AB72" s="26"/>
      <c r="AC72" s="26"/>
      <c r="AD72" s="85"/>
      <c r="AE72" s="27"/>
      <c r="AF72" s="70"/>
      <c r="AG72" s="81">
        <f t="shared" si="36"/>
        <v>0</v>
      </c>
      <c r="AH72" s="90" t="str">
        <f t="shared" si="37"/>
        <v xml:space="preserve"> </v>
      </c>
      <c r="AI72" s="88" t="str">
        <f t="shared" si="38"/>
        <v xml:space="preserve"> </v>
      </c>
      <c r="AJ72" s="13" t="str">
        <f t="shared" si="39"/>
        <v xml:space="preserve"> </v>
      </c>
      <c r="AK72" s="4" t="str">
        <f t="shared" si="40"/>
        <v xml:space="preserve"> </v>
      </c>
      <c r="AL72" s="4" t="str">
        <f t="shared" si="41"/>
        <v xml:space="preserve"> </v>
      </c>
      <c r="AM72" s="13" t="str">
        <f t="shared" si="42"/>
        <v xml:space="preserve"> </v>
      </c>
      <c r="AN72" s="2" t="str">
        <f t="shared" si="43"/>
        <v xml:space="preserve"> </v>
      </c>
      <c r="AO72" s="2" t="str">
        <f t="shared" si="44"/>
        <v xml:space="preserve"> </v>
      </c>
      <c r="AP72" s="9" t="str">
        <f t="shared" si="45"/>
        <v xml:space="preserve"> </v>
      </c>
      <c r="AQ72" s="2" t="str">
        <f t="shared" si="46"/>
        <v xml:space="preserve"> </v>
      </c>
      <c r="AR72" s="2" t="str">
        <f t="shared" si="47"/>
        <v xml:space="preserve"> </v>
      </c>
      <c r="AS72" s="4" t="str">
        <f t="shared" si="48"/>
        <v xml:space="preserve"> </v>
      </c>
      <c r="AT72" s="4" t="str">
        <f t="shared" si="49"/>
        <v xml:space="preserve"> </v>
      </c>
      <c r="AU72" s="42" t="str">
        <f t="shared" si="50"/>
        <v xml:space="preserve"> </v>
      </c>
      <c r="AV72" s="43" t="str">
        <f t="shared" si="34"/>
        <v xml:space="preserve"> </v>
      </c>
      <c r="AW72" s="44" t="str">
        <f t="shared" si="51"/>
        <v xml:space="preserve"> </v>
      </c>
      <c r="AX72" s="43" t="str">
        <f t="shared" si="52"/>
        <v xml:space="preserve"> </v>
      </c>
      <c r="AY72" s="43" t="str">
        <f t="shared" si="53"/>
        <v xml:space="preserve"> </v>
      </c>
      <c r="AZ72" s="1" t="str">
        <f t="shared" si="54"/>
        <v xml:space="preserve"> </v>
      </c>
      <c r="BA72" s="1" t="str">
        <f t="shared" si="55"/>
        <v xml:space="preserve"> </v>
      </c>
    </row>
    <row r="73" spans="1:53" x14ac:dyDescent="0.3">
      <c r="A73" s="28"/>
      <c r="B73" s="29"/>
      <c r="C73" s="29"/>
      <c r="D73" s="30"/>
      <c r="E73" s="30"/>
      <c r="F73" s="31"/>
      <c r="G73" s="25"/>
      <c r="H73" s="76"/>
      <c r="I73" s="76"/>
      <c r="J73" s="69"/>
      <c r="K73" s="32"/>
      <c r="L73" s="67"/>
      <c r="M73" s="50"/>
      <c r="N73" s="50"/>
      <c r="O73" s="49"/>
      <c r="P73" s="50"/>
      <c r="Q73" s="83"/>
      <c r="R73" s="55"/>
      <c r="S73" s="27"/>
      <c r="T73" s="25"/>
      <c r="U73" s="33"/>
      <c r="V73" s="27"/>
      <c r="W73" s="76"/>
      <c r="X73" s="26"/>
      <c r="Y73" s="26"/>
      <c r="Z73" s="27"/>
      <c r="AA73" s="26"/>
      <c r="AB73" s="26"/>
      <c r="AC73" s="26"/>
      <c r="AD73" s="85"/>
      <c r="AE73" s="27"/>
      <c r="AF73" s="70"/>
      <c r="AG73" s="81">
        <f t="shared" si="36"/>
        <v>0</v>
      </c>
      <c r="AH73" s="90" t="str">
        <f t="shared" si="37"/>
        <v xml:space="preserve"> </v>
      </c>
      <c r="AI73" s="88" t="str">
        <f t="shared" si="38"/>
        <v xml:space="preserve"> </v>
      </c>
      <c r="AJ73" s="13" t="str">
        <f t="shared" si="39"/>
        <v xml:space="preserve"> </v>
      </c>
      <c r="AK73" s="4" t="str">
        <f t="shared" si="40"/>
        <v xml:space="preserve"> </v>
      </c>
      <c r="AL73" s="4" t="str">
        <f t="shared" si="41"/>
        <v xml:space="preserve"> </v>
      </c>
      <c r="AM73" s="13" t="str">
        <f t="shared" si="42"/>
        <v xml:space="preserve"> </v>
      </c>
      <c r="AN73" s="2" t="str">
        <f t="shared" si="43"/>
        <v xml:space="preserve"> </v>
      </c>
      <c r="AO73" s="2" t="str">
        <f t="shared" si="44"/>
        <v xml:space="preserve"> </v>
      </c>
      <c r="AP73" s="9" t="str">
        <f t="shared" si="45"/>
        <v xml:space="preserve"> </v>
      </c>
      <c r="AQ73" s="2" t="str">
        <f t="shared" si="46"/>
        <v xml:space="preserve"> </v>
      </c>
      <c r="AR73" s="2" t="str">
        <f t="shared" si="47"/>
        <v xml:space="preserve"> </v>
      </c>
      <c r="AS73" s="4" t="str">
        <f t="shared" si="48"/>
        <v xml:space="preserve"> </v>
      </c>
      <c r="AT73" s="4" t="str">
        <f t="shared" si="49"/>
        <v xml:space="preserve"> </v>
      </c>
      <c r="AU73" s="42" t="str">
        <f t="shared" si="50"/>
        <v xml:space="preserve"> </v>
      </c>
      <c r="AV73" s="43" t="str">
        <f t="shared" si="34"/>
        <v xml:space="preserve"> </v>
      </c>
      <c r="AW73" s="44" t="str">
        <f t="shared" si="51"/>
        <v xml:space="preserve"> </v>
      </c>
      <c r="AX73" s="43" t="str">
        <f t="shared" si="52"/>
        <v xml:space="preserve"> </v>
      </c>
      <c r="AY73" s="43" t="str">
        <f t="shared" si="53"/>
        <v xml:space="preserve"> </v>
      </c>
      <c r="AZ73" s="1" t="str">
        <f t="shared" si="54"/>
        <v xml:space="preserve"> </v>
      </c>
      <c r="BA73" s="1" t="str">
        <f t="shared" si="55"/>
        <v xml:space="preserve"> </v>
      </c>
    </row>
    <row r="74" spans="1:53" x14ac:dyDescent="0.3">
      <c r="A74" s="28"/>
      <c r="B74" s="29"/>
      <c r="C74" s="29"/>
      <c r="D74" s="30"/>
      <c r="E74" s="30"/>
      <c r="F74" s="31"/>
      <c r="G74" s="25"/>
      <c r="H74" s="76"/>
      <c r="I74" s="76"/>
      <c r="J74" s="69"/>
      <c r="K74" s="32"/>
      <c r="L74" s="67"/>
      <c r="M74" s="50"/>
      <c r="N74" s="50"/>
      <c r="O74" s="49"/>
      <c r="P74" s="50"/>
      <c r="Q74" s="83"/>
      <c r="R74" s="55"/>
      <c r="S74" s="27"/>
      <c r="T74" s="25"/>
      <c r="U74" s="33"/>
      <c r="V74" s="27"/>
      <c r="W74" s="76"/>
      <c r="X74" s="26"/>
      <c r="Y74" s="26"/>
      <c r="Z74" s="27"/>
      <c r="AA74" s="26"/>
      <c r="AB74" s="26"/>
      <c r="AC74" s="26"/>
      <c r="AD74" s="85"/>
      <c r="AE74" s="27"/>
      <c r="AF74" s="70"/>
      <c r="AG74" s="81">
        <f t="shared" si="36"/>
        <v>0</v>
      </c>
      <c r="AH74" s="90" t="str">
        <f t="shared" si="37"/>
        <v xml:space="preserve"> </v>
      </c>
      <c r="AI74" s="88" t="str">
        <f t="shared" si="38"/>
        <v xml:space="preserve"> </v>
      </c>
      <c r="AJ74" s="13" t="str">
        <f t="shared" si="39"/>
        <v xml:space="preserve"> </v>
      </c>
      <c r="AK74" s="4" t="str">
        <f t="shared" si="40"/>
        <v xml:space="preserve"> </v>
      </c>
      <c r="AL74" s="4" t="str">
        <f t="shared" si="41"/>
        <v xml:space="preserve"> </v>
      </c>
      <c r="AM74" s="13" t="str">
        <f t="shared" si="42"/>
        <v xml:space="preserve"> </v>
      </c>
      <c r="AN74" s="2" t="str">
        <f t="shared" si="43"/>
        <v xml:space="preserve"> </v>
      </c>
      <c r="AO74" s="2" t="str">
        <f t="shared" si="44"/>
        <v xml:space="preserve"> </v>
      </c>
      <c r="AP74" s="9" t="str">
        <f t="shared" si="45"/>
        <v xml:space="preserve"> </v>
      </c>
      <c r="AQ74" s="2" t="str">
        <f t="shared" si="46"/>
        <v xml:space="preserve"> </v>
      </c>
      <c r="AR74" s="2" t="str">
        <f t="shared" si="47"/>
        <v xml:space="preserve"> </v>
      </c>
      <c r="AS74" s="4" t="str">
        <f t="shared" si="48"/>
        <v xml:space="preserve"> </v>
      </c>
      <c r="AT74" s="4" t="str">
        <f t="shared" si="49"/>
        <v xml:space="preserve"> </v>
      </c>
      <c r="AU74" s="42" t="str">
        <f t="shared" si="50"/>
        <v xml:space="preserve"> </v>
      </c>
      <c r="AV74" s="43" t="str">
        <f t="shared" si="34"/>
        <v xml:space="preserve"> </v>
      </c>
      <c r="AW74" s="44" t="str">
        <f t="shared" si="51"/>
        <v xml:space="preserve"> </v>
      </c>
      <c r="AX74" s="43" t="str">
        <f t="shared" si="52"/>
        <v xml:space="preserve"> </v>
      </c>
      <c r="AY74" s="43" t="str">
        <f t="shared" si="53"/>
        <v xml:space="preserve"> </v>
      </c>
      <c r="AZ74" s="1" t="str">
        <f t="shared" si="54"/>
        <v xml:space="preserve"> </v>
      </c>
      <c r="BA74" s="1" t="str">
        <f t="shared" si="55"/>
        <v xml:space="preserve"> </v>
      </c>
    </row>
    <row r="75" spans="1:53" x14ac:dyDescent="0.3">
      <c r="A75" s="28"/>
      <c r="B75" s="29"/>
      <c r="C75" s="29"/>
      <c r="D75" s="30"/>
      <c r="E75" s="30"/>
      <c r="F75" s="31"/>
      <c r="G75" s="25"/>
      <c r="H75" s="76"/>
      <c r="I75" s="76"/>
      <c r="J75" s="69"/>
      <c r="K75" s="32"/>
      <c r="L75" s="67"/>
      <c r="M75" s="50"/>
      <c r="N75" s="50"/>
      <c r="O75" s="49"/>
      <c r="P75" s="50"/>
      <c r="Q75" s="83"/>
      <c r="R75" s="55"/>
      <c r="S75" s="27"/>
      <c r="T75" s="25"/>
      <c r="U75" s="33"/>
      <c r="V75" s="27"/>
      <c r="W75" s="76"/>
      <c r="X75" s="26"/>
      <c r="Y75" s="26"/>
      <c r="Z75" s="27"/>
      <c r="AA75" s="26"/>
      <c r="AB75" s="26"/>
      <c r="AC75" s="26"/>
      <c r="AD75" s="85"/>
      <c r="AE75" s="27"/>
      <c r="AF75" s="70"/>
      <c r="AG75" s="81">
        <f t="shared" si="36"/>
        <v>0</v>
      </c>
      <c r="AH75" s="90" t="str">
        <f t="shared" si="37"/>
        <v xml:space="preserve"> </v>
      </c>
      <c r="AI75" s="88" t="str">
        <f t="shared" si="38"/>
        <v xml:space="preserve"> </v>
      </c>
      <c r="AJ75" s="13" t="str">
        <f t="shared" si="39"/>
        <v xml:space="preserve"> </v>
      </c>
      <c r="AK75" s="4" t="str">
        <f t="shared" si="40"/>
        <v xml:space="preserve"> </v>
      </c>
      <c r="AL75" s="4" t="str">
        <f t="shared" si="41"/>
        <v xml:space="preserve"> </v>
      </c>
      <c r="AM75" s="13" t="str">
        <f t="shared" si="42"/>
        <v xml:space="preserve"> </v>
      </c>
      <c r="AN75" s="2" t="str">
        <f t="shared" si="43"/>
        <v xml:space="preserve"> </v>
      </c>
      <c r="AO75" s="2" t="str">
        <f t="shared" si="44"/>
        <v xml:space="preserve"> </v>
      </c>
      <c r="AP75" s="9" t="str">
        <f t="shared" si="45"/>
        <v xml:space="preserve"> </v>
      </c>
      <c r="AQ75" s="2" t="str">
        <f t="shared" si="46"/>
        <v xml:space="preserve"> </v>
      </c>
      <c r="AR75" s="2" t="str">
        <f t="shared" si="47"/>
        <v xml:space="preserve"> </v>
      </c>
      <c r="AS75" s="4" t="str">
        <f t="shared" si="48"/>
        <v xml:space="preserve"> </v>
      </c>
      <c r="AT75" s="4" t="str">
        <f t="shared" si="49"/>
        <v xml:space="preserve"> </v>
      </c>
      <c r="AU75" s="42" t="str">
        <f t="shared" si="50"/>
        <v xml:space="preserve"> </v>
      </c>
      <c r="AV75" s="43" t="str">
        <f t="shared" si="34"/>
        <v xml:space="preserve"> </v>
      </c>
      <c r="AW75" s="44" t="str">
        <f t="shared" si="51"/>
        <v xml:space="preserve"> </v>
      </c>
      <c r="AX75" s="43" t="str">
        <f t="shared" si="52"/>
        <v xml:space="preserve"> </v>
      </c>
      <c r="AY75" s="43" t="str">
        <f t="shared" si="53"/>
        <v xml:space="preserve"> </v>
      </c>
      <c r="AZ75" s="1" t="str">
        <f t="shared" si="54"/>
        <v xml:space="preserve"> </v>
      </c>
      <c r="BA75" s="1" t="str">
        <f t="shared" si="55"/>
        <v xml:space="preserve"> </v>
      </c>
    </row>
    <row r="76" spans="1:53" x14ac:dyDescent="0.3">
      <c r="A76" s="28"/>
      <c r="B76" s="29"/>
      <c r="C76" s="29"/>
      <c r="D76" s="30"/>
      <c r="E76" s="30"/>
      <c r="F76" s="31"/>
      <c r="G76" s="25"/>
      <c r="H76" s="76"/>
      <c r="I76" s="76"/>
      <c r="J76" s="69"/>
      <c r="K76" s="32"/>
      <c r="L76" s="67"/>
      <c r="M76" s="50"/>
      <c r="N76" s="50"/>
      <c r="O76" s="49"/>
      <c r="P76" s="50"/>
      <c r="Q76" s="83"/>
      <c r="R76" s="55"/>
      <c r="S76" s="27"/>
      <c r="T76" s="25"/>
      <c r="U76" s="33"/>
      <c r="V76" s="27"/>
      <c r="W76" s="76"/>
      <c r="X76" s="26"/>
      <c r="Y76" s="26"/>
      <c r="Z76" s="27"/>
      <c r="AA76" s="26"/>
      <c r="AB76" s="26"/>
      <c r="AC76" s="26"/>
      <c r="AD76" s="85"/>
      <c r="AE76" s="27"/>
      <c r="AF76" s="70"/>
      <c r="AG76" s="81">
        <f t="shared" si="36"/>
        <v>0</v>
      </c>
      <c r="AH76" s="90" t="str">
        <f t="shared" si="37"/>
        <v xml:space="preserve"> </v>
      </c>
      <c r="AI76" s="88" t="str">
        <f t="shared" si="38"/>
        <v xml:space="preserve"> </v>
      </c>
      <c r="AJ76" s="13" t="str">
        <f t="shared" si="39"/>
        <v xml:space="preserve"> </v>
      </c>
      <c r="AK76" s="4" t="str">
        <f t="shared" si="40"/>
        <v xml:space="preserve"> </v>
      </c>
      <c r="AL76" s="4" t="str">
        <f t="shared" si="41"/>
        <v xml:space="preserve"> </v>
      </c>
      <c r="AM76" s="13" t="str">
        <f t="shared" si="42"/>
        <v xml:space="preserve"> </v>
      </c>
      <c r="AN76" s="2" t="str">
        <f t="shared" si="43"/>
        <v xml:space="preserve"> </v>
      </c>
      <c r="AO76" s="2" t="str">
        <f t="shared" si="44"/>
        <v xml:space="preserve"> </v>
      </c>
      <c r="AP76" s="9" t="str">
        <f t="shared" si="45"/>
        <v xml:space="preserve"> </v>
      </c>
      <c r="AQ76" s="2" t="str">
        <f t="shared" si="46"/>
        <v xml:space="preserve"> </v>
      </c>
      <c r="AR76" s="2" t="str">
        <f t="shared" si="47"/>
        <v xml:space="preserve"> </v>
      </c>
      <c r="AS76" s="4" t="str">
        <f t="shared" si="48"/>
        <v xml:space="preserve"> </v>
      </c>
      <c r="AT76" s="4" t="str">
        <f t="shared" si="49"/>
        <v xml:space="preserve"> </v>
      </c>
      <c r="AU76" s="42" t="str">
        <f t="shared" si="50"/>
        <v xml:space="preserve"> </v>
      </c>
      <c r="AV76" s="43" t="str">
        <f t="shared" si="34"/>
        <v xml:space="preserve"> </v>
      </c>
      <c r="AW76" s="44" t="str">
        <f t="shared" si="51"/>
        <v xml:space="preserve"> </v>
      </c>
      <c r="AX76" s="43" t="str">
        <f t="shared" si="52"/>
        <v xml:space="preserve"> </v>
      </c>
      <c r="AY76" s="43" t="str">
        <f t="shared" si="53"/>
        <v xml:space="preserve"> </v>
      </c>
      <c r="AZ76" s="1" t="str">
        <f t="shared" si="54"/>
        <v xml:space="preserve"> </v>
      </c>
      <c r="BA76" s="1" t="str">
        <f t="shared" si="55"/>
        <v xml:space="preserve"> </v>
      </c>
    </row>
    <row r="77" spans="1:53" x14ac:dyDescent="0.3">
      <c r="A77" s="28"/>
      <c r="B77" s="29"/>
      <c r="C77" s="29"/>
      <c r="D77" s="30"/>
      <c r="E77" s="30"/>
      <c r="F77" s="31"/>
      <c r="G77" s="25"/>
      <c r="H77" s="76"/>
      <c r="I77" s="76"/>
      <c r="J77" s="69"/>
      <c r="K77" s="32"/>
      <c r="L77" s="67"/>
      <c r="M77" s="50"/>
      <c r="N77" s="50"/>
      <c r="O77" s="49"/>
      <c r="P77" s="50"/>
      <c r="Q77" s="83"/>
      <c r="R77" s="55"/>
      <c r="S77" s="27"/>
      <c r="T77" s="25"/>
      <c r="U77" s="33"/>
      <c r="V77" s="27"/>
      <c r="W77" s="76"/>
      <c r="X77" s="26"/>
      <c r="Y77" s="26"/>
      <c r="Z77" s="27"/>
      <c r="AA77" s="26"/>
      <c r="AB77" s="26"/>
      <c r="AC77" s="26"/>
      <c r="AD77" s="85"/>
      <c r="AE77" s="27"/>
      <c r="AF77" s="70"/>
      <c r="AG77" s="81">
        <f t="shared" si="36"/>
        <v>0</v>
      </c>
      <c r="AH77" s="90" t="str">
        <f t="shared" si="37"/>
        <v xml:space="preserve"> </v>
      </c>
      <c r="AI77" s="88" t="str">
        <f t="shared" si="38"/>
        <v xml:space="preserve"> </v>
      </c>
      <c r="AJ77" s="13" t="str">
        <f t="shared" si="39"/>
        <v xml:space="preserve"> </v>
      </c>
      <c r="AK77" s="4" t="str">
        <f t="shared" si="40"/>
        <v xml:space="preserve"> </v>
      </c>
      <c r="AL77" s="4" t="str">
        <f t="shared" si="41"/>
        <v xml:space="preserve"> </v>
      </c>
      <c r="AM77" s="13" t="str">
        <f t="shared" si="42"/>
        <v xml:space="preserve"> </v>
      </c>
      <c r="AN77" s="2" t="str">
        <f t="shared" si="43"/>
        <v xml:space="preserve"> </v>
      </c>
      <c r="AO77" s="2" t="str">
        <f t="shared" si="44"/>
        <v xml:space="preserve"> </v>
      </c>
      <c r="AP77" s="9" t="str">
        <f t="shared" si="45"/>
        <v xml:space="preserve"> </v>
      </c>
      <c r="AQ77" s="2" t="str">
        <f t="shared" si="46"/>
        <v xml:space="preserve"> </v>
      </c>
      <c r="AR77" s="2" t="str">
        <f t="shared" si="47"/>
        <v xml:space="preserve"> </v>
      </c>
      <c r="AS77" s="4" t="str">
        <f t="shared" si="48"/>
        <v xml:space="preserve"> </v>
      </c>
      <c r="AT77" s="4" t="str">
        <f t="shared" si="49"/>
        <v xml:space="preserve"> </v>
      </c>
      <c r="AU77" s="42" t="str">
        <f t="shared" si="50"/>
        <v xml:space="preserve"> </v>
      </c>
      <c r="AV77" s="43" t="str">
        <f t="shared" si="34"/>
        <v xml:space="preserve"> </v>
      </c>
      <c r="AW77" s="44" t="str">
        <f t="shared" si="51"/>
        <v xml:space="preserve"> </v>
      </c>
      <c r="AX77" s="43" t="str">
        <f t="shared" si="52"/>
        <v xml:space="preserve"> </v>
      </c>
      <c r="AY77" s="43" t="str">
        <f t="shared" si="53"/>
        <v xml:space="preserve"> </v>
      </c>
      <c r="AZ77" s="1" t="str">
        <f t="shared" si="54"/>
        <v xml:space="preserve"> </v>
      </c>
      <c r="BA77" s="1" t="str">
        <f t="shared" si="55"/>
        <v xml:space="preserve"> </v>
      </c>
    </row>
    <row r="78" spans="1:53" x14ac:dyDescent="0.3">
      <c r="A78" s="28"/>
      <c r="B78" s="29"/>
      <c r="C78" s="29"/>
      <c r="D78" s="30"/>
      <c r="E78" s="30"/>
      <c r="F78" s="31"/>
      <c r="G78" s="25"/>
      <c r="H78" s="76"/>
      <c r="I78" s="76"/>
      <c r="J78" s="69"/>
      <c r="K78" s="32"/>
      <c r="L78" s="67"/>
      <c r="M78" s="50"/>
      <c r="N78" s="50"/>
      <c r="O78" s="49"/>
      <c r="P78" s="50"/>
      <c r="Q78" s="83"/>
      <c r="R78" s="55"/>
      <c r="S78" s="27"/>
      <c r="T78" s="25"/>
      <c r="U78" s="33"/>
      <c r="V78" s="27"/>
      <c r="W78" s="76"/>
      <c r="X78" s="26"/>
      <c r="Y78" s="26"/>
      <c r="Z78" s="27"/>
      <c r="AA78" s="26"/>
      <c r="AB78" s="26"/>
      <c r="AC78" s="26"/>
      <c r="AD78" s="85"/>
      <c r="AE78" s="27"/>
      <c r="AF78" s="70"/>
      <c r="AG78" s="81">
        <f t="shared" si="36"/>
        <v>0</v>
      </c>
      <c r="AH78" s="90" t="str">
        <f t="shared" si="37"/>
        <v xml:space="preserve"> </v>
      </c>
      <c r="AI78" s="88" t="str">
        <f t="shared" si="38"/>
        <v xml:space="preserve"> </v>
      </c>
      <c r="AJ78" s="13" t="str">
        <f t="shared" si="39"/>
        <v xml:space="preserve"> </v>
      </c>
      <c r="AK78" s="4" t="str">
        <f t="shared" si="40"/>
        <v xml:space="preserve"> </v>
      </c>
      <c r="AL78" s="4" t="str">
        <f t="shared" si="41"/>
        <v xml:space="preserve"> </v>
      </c>
      <c r="AM78" s="13" t="str">
        <f t="shared" si="42"/>
        <v xml:space="preserve"> </v>
      </c>
      <c r="AN78" s="2" t="str">
        <f t="shared" si="43"/>
        <v xml:space="preserve"> </v>
      </c>
      <c r="AO78" s="2" t="str">
        <f t="shared" si="44"/>
        <v xml:space="preserve"> </v>
      </c>
      <c r="AP78" s="9" t="str">
        <f t="shared" si="45"/>
        <v xml:space="preserve"> </v>
      </c>
      <c r="AQ78" s="2" t="str">
        <f t="shared" si="46"/>
        <v xml:space="preserve"> </v>
      </c>
      <c r="AR78" s="2" t="str">
        <f t="shared" si="47"/>
        <v xml:space="preserve"> </v>
      </c>
      <c r="AS78" s="4" t="str">
        <f t="shared" si="48"/>
        <v xml:space="preserve"> </v>
      </c>
      <c r="AT78" s="4" t="str">
        <f t="shared" si="49"/>
        <v xml:space="preserve"> </v>
      </c>
      <c r="AU78" s="42" t="str">
        <f t="shared" si="50"/>
        <v xml:space="preserve"> </v>
      </c>
      <c r="AV78" s="43" t="str">
        <f t="shared" si="34"/>
        <v xml:space="preserve"> </v>
      </c>
      <c r="AW78" s="44" t="str">
        <f t="shared" si="51"/>
        <v xml:space="preserve"> </v>
      </c>
      <c r="AX78" s="43" t="str">
        <f t="shared" si="52"/>
        <v xml:space="preserve"> </v>
      </c>
      <c r="AY78" s="43" t="str">
        <f t="shared" si="53"/>
        <v xml:space="preserve"> </v>
      </c>
      <c r="AZ78" s="1" t="str">
        <f t="shared" si="54"/>
        <v xml:space="preserve"> </v>
      </c>
      <c r="BA78" s="1" t="str">
        <f t="shared" si="55"/>
        <v xml:space="preserve"> </v>
      </c>
    </row>
    <row r="79" spans="1:53" x14ac:dyDescent="0.3">
      <c r="A79" s="28"/>
      <c r="B79" s="29"/>
      <c r="C79" s="29"/>
      <c r="D79" s="30"/>
      <c r="E79" s="30"/>
      <c r="F79" s="31"/>
      <c r="G79" s="25"/>
      <c r="H79" s="76"/>
      <c r="I79" s="76"/>
      <c r="J79" s="69"/>
      <c r="K79" s="32"/>
      <c r="L79" s="67"/>
      <c r="M79" s="50"/>
      <c r="N79" s="50"/>
      <c r="O79" s="49"/>
      <c r="P79" s="50"/>
      <c r="Q79" s="83"/>
      <c r="R79" s="55"/>
      <c r="S79" s="27"/>
      <c r="T79" s="25"/>
      <c r="U79" s="33"/>
      <c r="V79" s="27"/>
      <c r="W79" s="76"/>
      <c r="X79" s="26"/>
      <c r="Y79" s="26"/>
      <c r="Z79" s="27"/>
      <c r="AA79" s="26"/>
      <c r="AB79" s="26"/>
      <c r="AC79" s="26"/>
      <c r="AD79" s="85"/>
      <c r="AE79" s="27"/>
      <c r="AF79" s="70"/>
      <c r="AG79" s="81">
        <f t="shared" si="36"/>
        <v>0</v>
      </c>
      <c r="AH79" s="90" t="str">
        <f t="shared" si="37"/>
        <v xml:space="preserve"> </v>
      </c>
      <c r="AI79" s="88" t="str">
        <f t="shared" si="38"/>
        <v xml:space="preserve"> </v>
      </c>
      <c r="AJ79" s="13" t="str">
        <f t="shared" si="39"/>
        <v xml:space="preserve"> </v>
      </c>
      <c r="AK79" s="4" t="str">
        <f t="shared" si="40"/>
        <v xml:space="preserve"> </v>
      </c>
      <c r="AL79" s="4" t="str">
        <f t="shared" si="41"/>
        <v xml:space="preserve"> </v>
      </c>
      <c r="AM79" s="13" t="str">
        <f t="shared" si="42"/>
        <v xml:space="preserve"> </v>
      </c>
      <c r="AN79" s="2" t="str">
        <f t="shared" si="43"/>
        <v xml:space="preserve"> </v>
      </c>
      <c r="AO79" s="2" t="str">
        <f t="shared" si="44"/>
        <v xml:space="preserve"> </v>
      </c>
      <c r="AP79" s="9" t="str">
        <f t="shared" si="45"/>
        <v xml:space="preserve"> </v>
      </c>
      <c r="AQ79" s="2" t="str">
        <f t="shared" si="46"/>
        <v xml:space="preserve"> </v>
      </c>
      <c r="AR79" s="2" t="str">
        <f t="shared" si="47"/>
        <v xml:space="preserve"> </v>
      </c>
      <c r="AS79" s="4" t="str">
        <f t="shared" si="48"/>
        <v xml:space="preserve"> </v>
      </c>
      <c r="AT79" s="4" t="str">
        <f t="shared" si="49"/>
        <v xml:space="preserve"> </v>
      </c>
      <c r="AU79" s="42" t="str">
        <f t="shared" si="50"/>
        <v xml:space="preserve"> </v>
      </c>
      <c r="AV79" s="43" t="str">
        <f t="shared" si="34"/>
        <v xml:space="preserve"> </v>
      </c>
      <c r="AW79" s="44" t="str">
        <f t="shared" si="51"/>
        <v xml:space="preserve"> </v>
      </c>
      <c r="AX79" s="43" t="str">
        <f t="shared" si="52"/>
        <v xml:space="preserve"> </v>
      </c>
      <c r="AY79" s="43" t="str">
        <f t="shared" si="53"/>
        <v xml:space="preserve"> </v>
      </c>
      <c r="AZ79" s="1" t="str">
        <f t="shared" si="54"/>
        <v xml:space="preserve"> </v>
      </c>
      <c r="BA79" s="1" t="str">
        <f t="shared" si="55"/>
        <v xml:space="preserve"> </v>
      </c>
    </row>
    <row r="80" spans="1:53" x14ac:dyDescent="0.3">
      <c r="A80" s="28"/>
      <c r="B80" s="29"/>
      <c r="C80" s="29"/>
      <c r="D80" s="30"/>
      <c r="E80" s="30"/>
      <c r="F80" s="31"/>
      <c r="G80" s="25"/>
      <c r="H80" s="76"/>
      <c r="I80" s="76"/>
      <c r="J80" s="69"/>
      <c r="K80" s="32"/>
      <c r="L80" s="67"/>
      <c r="M80" s="50"/>
      <c r="N80" s="50"/>
      <c r="O80" s="49"/>
      <c r="P80" s="50"/>
      <c r="Q80" s="83"/>
      <c r="R80" s="55"/>
      <c r="S80" s="27"/>
      <c r="T80" s="25"/>
      <c r="U80" s="33"/>
      <c r="V80" s="27"/>
      <c r="W80" s="76"/>
      <c r="X80" s="26"/>
      <c r="Y80" s="26"/>
      <c r="Z80" s="27"/>
      <c r="AA80" s="26"/>
      <c r="AB80" s="26"/>
      <c r="AC80" s="26"/>
      <c r="AD80" s="85"/>
      <c r="AE80" s="27"/>
      <c r="AF80" s="70"/>
      <c r="AG80" s="81">
        <f t="shared" si="36"/>
        <v>0</v>
      </c>
      <c r="AH80" s="90" t="str">
        <f t="shared" si="37"/>
        <v xml:space="preserve"> </v>
      </c>
      <c r="AI80" s="88" t="str">
        <f t="shared" si="38"/>
        <v xml:space="preserve"> </v>
      </c>
      <c r="AJ80" s="13" t="str">
        <f t="shared" si="39"/>
        <v xml:space="preserve"> </v>
      </c>
      <c r="AK80" s="4" t="str">
        <f t="shared" si="40"/>
        <v xml:space="preserve"> </v>
      </c>
      <c r="AL80" s="4" t="str">
        <f t="shared" si="41"/>
        <v xml:space="preserve"> </v>
      </c>
      <c r="AM80" s="13" t="str">
        <f t="shared" si="42"/>
        <v xml:space="preserve"> </v>
      </c>
      <c r="AN80" s="2" t="str">
        <f t="shared" si="43"/>
        <v xml:space="preserve"> </v>
      </c>
      <c r="AO80" s="2" t="str">
        <f t="shared" si="44"/>
        <v xml:space="preserve"> </v>
      </c>
      <c r="AP80" s="9" t="str">
        <f t="shared" si="45"/>
        <v xml:space="preserve"> </v>
      </c>
      <c r="AQ80" s="2" t="str">
        <f t="shared" si="46"/>
        <v xml:space="preserve"> </v>
      </c>
      <c r="AR80" s="2" t="str">
        <f t="shared" si="47"/>
        <v xml:space="preserve"> </v>
      </c>
      <c r="AS80" s="4" t="str">
        <f t="shared" si="48"/>
        <v xml:space="preserve"> </v>
      </c>
      <c r="AT80" s="4" t="str">
        <f t="shared" si="49"/>
        <v xml:space="preserve"> </v>
      </c>
      <c r="AU80" s="42" t="str">
        <f t="shared" si="50"/>
        <v xml:space="preserve"> </v>
      </c>
      <c r="AV80" s="43" t="str">
        <f t="shared" si="34"/>
        <v xml:space="preserve"> </v>
      </c>
      <c r="AW80" s="44" t="str">
        <f t="shared" si="51"/>
        <v xml:space="preserve"> </v>
      </c>
      <c r="AX80" s="43" t="str">
        <f t="shared" si="52"/>
        <v xml:space="preserve"> </v>
      </c>
      <c r="AY80" s="43" t="str">
        <f t="shared" si="53"/>
        <v xml:space="preserve"> </v>
      </c>
      <c r="AZ80" s="1" t="str">
        <f t="shared" si="54"/>
        <v xml:space="preserve"> </v>
      </c>
      <c r="BA80" s="1" t="str">
        <f t="shared" si="55"/>
        <v xml:space="preserve"> </v>
      </c>
    </row>
    <row r="81" spans="1:53" x14ac:dyDescent="0.3">
      <c r="A81" s="28"/>
      <c r="B81" s="29"/>
      <c r="C81" s="29"/>
      <c r="D81" s="30"/>
      <c r="E81" s="30"/>
      <c r="F81" s="31"/>
      <c r="G81" s="25"/>
      <c r="H81" s="76"/>
      <c r="I81" s="76"/>
      <c r="J81" s="69"/>
      <c r="K81" s="32"/>
      <c r="L81" s="67"/>
      <c r="M81" s="50"/>
      <c r="N81" s="50"/>
      <c r="O81" s="49"/>
      <c r="P81" s="50"/>
      <c r="Q81" s="83"/>
      <c r="R81" s="55"/>
      <c r="S81" s="27"/>
      <c r="T81" s="25"/>
      <c r="U81" s="33"/>
      <c r="V81" s="27"/>
      <c r="W81" s="76"/>
      <c r="X81" s="26"/>
      <c r="Y81" s="26"/>
      <c r="Z81" s="27"/>
      <c r="AA81" s="26"/>
      <c r="AB81" s="26"/>
      <c r="AC81" s="26"/>
      <c r="AD81" s="85"/>
      <c r="AE81" s="27"/>
      <c r="AF81" s="70"/>
      <c r="AG81" s="81">
        <f t="shared" si="36"/>
        <v>0</v>
      </c>
      <c r="AH81" s="90" t="str">
        <f t="shared" si="37"/>
        <v xml:space="preserve"> </v>
      </c>
      <c r="AI81" s="88" t="str">
        <f t="shared" si="38"/>
        <v xml:space="preserve"> </v>
      </c>
      <c r="AJ81" s="13" t="str">
        <f t="shared" si="39"/>
        <v xml:space="preserve"> </v>
      </c>
      <c r="AK81" s="4" t="str">
        <f t="shared" si="40"/>
        <v xml:space="preserve"> </v>
      </c>
      <c r="AL81" s="4" t="str">
        <f t="shared" si="41"/>
        <v xml:space="preserve"> </v>
      </c>
      <c r="AM81" s="13" t="str">
        <f t="shared" si="42"/>
        <v xml:space="preserve"> </v>
      </c>
      <c r="AN81" s="2" t="str">
        <f t="shared" si="43"/>
        <v xml:space="preserve"> </v>
      </c>
      <c r="AO81" s="2" t="str">
        <f t="shared" si="44"/>
        <v xml:space="preserve"> </v>
      </c>
      <c r="AP81" s="9" t="str">
        <f t="shared" si="45"/>
        <v xml:space="preserve"> </v>
      </c>
      <c r="AQ81" s="2" t="str">
        <f t="shared" si="46"/>
        <v xml:space="preserve"> </v>
      </c>
      <c r="AR81" s="2" t="str">
        <f t="shared" si="47"/>
        <v xml:space="preserve"> </v>
      </c>
      <c r="AS81" s="4" t="str">
        <f t="shared" si="48"/>
        <v xml:space="preserve"> </v>
      </c>
      <c r="AT81" s="4" t="str">
        <f t="shared" si="49"/>
        <v xml:space="preserve"> </v>
      </c>
      <c r="AU81" s="42" t="str">
        <f t="shared" si="50"/>
        <v xml:space="preserve"> </v>
      </c>
      <c r="AV81" s="43" t="str">
        <f t="shared" si="34"/>
        <v xml:space="preserve"> </v>
      </c>
      <c r="AW81" s="44" t="str">
        <f t="shared" si="51"/>
        <v xml:space="preserve"> </v>
      </c>
      <c r="AX81" s="43" t="str">
        <f t="shared" si="52"/>
        <v xml:space="preserve"> </v>
      </c>
      <c r="AY81" s="43" t="str">
        <f t="shared" si="53"/>
        <v xml:space="preserve"> </v>
      </c>
      <c r="AZ81" s="1" t="str">
        <f t="shared" si="54"/>
        <v xml:space="preserve"> </v>
      </c>
      <c r="BA81" s="1" t="str">
        <f t="shared" si="55"/>
        <v xml:space="preserve"> </v>
      </c>
    </row>
    <row r="82" spans="1:53" x14ac:dyDescent="0.3">
      <c r="A82" s="28"/>
      <c r="B82" s="29"/>
      <c r="C82" s="29"/>
      <c r="D82" s="30"/>
      <c r="E82" s="30"/>
      <c r="F82" s="31"/>
      <c r="G82" s="25"/>
      <c r="H82" s="76"/>
      <c r="I82" s="76"/>
      <c r="J82" s="69"/>
      <c r="K82" s="32"/>
      <c r="L82" s="67"/>
      <c r="M82" s="50"/>
      <c r="N82" s="50"/>
      <c r="O82" s="49"/>
      <c r="P82" s="50"/>
      <c r="Q82" s="83"/>
      <c r="R82" s="55"/>
      <c r="S82" s="27"/>
      <c r="T82" s="25"/>
      <c r="U82" s="33"/>
      <c r="V82" s="27"/>
      <c r="W82" s="76"/>
      <c r="X82" s="26"/>
      <c r="Y82" s="26"/>
      <c r="Z82" s="27"/>
      <c r="AA82" s="26"/>
      <c r="AB82" s="26"/>
      <c r="AC82" s="26"/>
      <c r="AD82" s="85"/>
      <c r="AE82" s="27"/>
      <c r="AF82" s="70"/>
      <c r="AG82" s="81">
        <f t="shared" si="36"/>
        <v>0</v>
      </c>
      <c r="AH82" s="90" t="str">
        <f t="shared" si="37"/>
        <v xml:space="preserve"> </v>
      </c>
      <c r="AI82" s="88" t="str">
        <f t="shared" si="38"/>
        <v xml:space="preserve"> </v>
      </c>
      <c r="AJ82" s="13" t="str">
        <f t="shared" si="39"/>
        <v xml:space="preserve"> </v>
      </c>
      <c r="AK82" s="4" t="str">
        <f t="shared" si="40"/>
        <v xml:space="preserve"> </v>
      </c>
      <c r="AL82" s="4" t="str">
        <f t="shared" si="41"/>
        <v xml:space="preserve"> </v>
      </c>
      <c r="AM82" s="13" t="str">
        <f t="shared" si="42"/>
        <v xml:space="preserve"> </v>
      </c>
      <c r="AN82" s="2" t="str">
        <f t="shared" si="43"/>
        <v xml:space="preserve"> </v>
      </c>
      <c r="AO82" s="2" t="str">
        <f t="shared" si="44"/>
        <v xml:space="preserve"> </v>
      </c>
      <c r="AP82" s="9" t="str">
        <f t="shared" si="45"/>
        <v xml:space="preserve"> </v>
      </c>
      <c r="AQ82" s="2" t="str">
        <f t="shared" si="46"/>
        <v xml:space="preserve"> </v>
      </c>
      <c r="AR82" s="2" t="str">
        <f t="shared" si="47"/>
        <v xml:space="preserve"> </v>
      </c>
      <c r="AS82" s="4" t="str">
        <f t="shared" si="48"/>
        <v xml:space="preserve"> </v>
      </c>
      <c r="AT82" s="4" t="str">
        <f t="shared" si="49"/>
        <v xml:space="preserve"> </v>
      </c>
      <c r="AU82" s="42" t="str">
        <f t="shared" si="50"/>
        <v xml:space="preserve"> </v>
      </c>
      <c r="AV82" s="43" t="str">
        <f t="shared" si="34"/>
        <v xml:space="preserve"> </v>
      </c>
      <c r="AW82" s="44" t="str">
        <f t="shared" si="51"/>
        <v xml:space="preserve"> </v>
      </c>
      <c r="AX82" s="43" t="str">
        <f t="shared" si="52"/>
        <v xml:space="preserve"> </v>
      </c>
      <c r="AY82" s="43" t="str">
        <f t="shared" si="53"/>
        <v xml:space="preserve"> </v>
      </c>
      <c r="AZ82" s="1" t="str">
        <f t="shared" si="54"/>
        <v xml:space="preserve"> </v>
      </c>
      <c r="BA82" s="1" t="str">
        <f t="shared" si="55"/>
        <v xml:space="preserve"> </v>
      </c>
    </row>
    <row r="83" spans="1:53" x14ac:dyDescent="0.3">
      <c r="A83" s="28"/>
      <c r="B83" s="29"/>
      <c r="C83" s="29"/>
      <c r="D83" s="30"/>
      <c r="E83" s="30"/>
      <c r="F83" s="31"/>
      <c r="G83" s="25"/>
      <c r="H83" s="76"/>
      <c r="I83" s="76"/>
      <c r="J83" s="69"/>
      <c r="K83" s="32"/>
      <c r="L83" s="67"/>
      <c r="M83" s="50"/>
      <c r="N83" s="50"/>
      <c r="O83" s="49"/>
      <c r="P83" s="50"/>
      <c r="Q83" s="83"/>
      <c r="R83" s="55"/>
      <c r="S83" s="27"/>
      <c r="T83" s="25"/>
      <c r="U83" s="33"/>
      <c r="V83" s="27"/>
      <c r="W83" s="76"/>
      <c r="X83" s="26"/>
      <c r="Y83" s="26"/>
      <c r="Z83" s="27"/>
      <c r="AA83" s="26"/>
      <c r="AB83" s="26"/>
      <c r="AC83" s="26"/>
      <c r="AD83" s="85"/>
      <c r="AE83" s="27"/>
      <c r="AF83" s="70"/>
      <c r="AG83" s="81">
        <f t="shared" si="36"/>
        <v>0</v>
      </c>
      <c r="AH83" s="90" t="str">
        <f t="shared" si="37"/>
        <v xml:space="preserve"> </v>
      </c>
      <c r="AI83" s="88" t="str">
        <f t="shared" si="38"/>
        <v xml:space="preserve"> </v>
      </c>
      <c r="AJ83" s="13" t="str">
        <f t="shared" si="39"/>
        <v xml:space="preserve"> </v>
      </c>
      <c r="AK83" s="4" t="str">
        <f t="shared" si="40"/>
        <v xml:space="preserve"> </v>
      </c>
      <c r="AL83" s="4" t="str">
        <f t="shared" si="41"/>
        <v xml:space="preserve"> </v>
      </c>
      <c r="AM83" s="13" t="str">
        <f t="shared" si="42"/>
        <v xml:space="preserve"> </v>
      </c>
      <c r="AN83" s="2" t="str">
        <f t="shared" si="43"/>
        <v xml:space="preserve"> </v>
      </c>
      <c r="AO83" s="2" t="str">
        <f t="shared" si="44"/>
        <v xml:space="preserve"> </v>
      </c>
      <c r="AP83" s="9" t="str">
        <f t="shared" si="45"/>
        <v xml:space="preserve"> </v>
      </c>
      <c r="AQ83" s="2" t="str">
        <f t="shared" si="46"/>
        <v xml:space="preserve"> </v>
      </c>
      <c r="AR83" s="2" t="str">
        <f t="shared" si="47"/>
        <v xml:space="preserve"> </v>
      </c>
      <c r="AS83" s="4" t="str">
        <f t="shared" si="48"/>
        <v xml:space="preserve"> </v>
      </c>
      <c r="AT83" s="4" t="str">
        <f t="shared" si="49"/>
        <v xml:space="preserve"> </v>
      </c>
      <c r="AU83" s="42" t="str">
        <f t="shared" si="50"/>
        <v xml:space="preserve"> </v>
      </c>
      <c r="AV83" s="43" t="str">
        <f t="shared" si="34"/>
        <v xml:space="preserve"> </v>
      </c>
      <c r="AW83" s="44" t="str">
        <f t="shared" si="51"/>
        <v xml:space="preserve"> </v>
      </c>
      <c r="AX83" s="43" t="str">
        <f t="shared" si="52"/>
        <v xml:space="preserve"> </v>
      </c>
      <c r="AY83" s="43" t="str">
        <f t="shared" si="53"/>
        <v xml:space="preserve"> </v>
      </c>
      <c r="AZ83" s="1" t="str">
        <f t="shared" si="54"/>
        <v xml:space="preserve"> </v>
      </c>
      <c r="BA83" s="1" t="str">
        <f t="shared" si="55"/>
        <v xml:space="preserve"> </v>
      </c>
    </row>
    <row r="84" spans="1:53" x14ac:dyDescent="0.3">
      <c r="A84" s="28"/>
      <c r="B84" s="29"/>
      <c r="C84" s="29"/>
      <c r="D84" s="30"/>
      <c r="E84" s="30"/>
      <c r="F84" s="31"/>
      <c r="G84" s="25"/>
      <c r="H84" s="76"/>
      <c r="I84" s="76"/>
      <c r="J84" s="69"/>
      <c r="K84" s="32"/>
      <c r="L84" s="67"/>
      <c r="M84" s="50"/>
      <c r="N84" s="50"/>
      <c r="O84" s="49"/>
      <c r="P84" s="50"/>
      <c r="Q84" s="83"/>
      <c r="R84" s="55"/>
      <c r="S84" s="27"/>
      <c r="T84" s="25"/>
      <c r="U84" s="33"/>
      <c r="V84" s="27"/>
      <c r="W84" s="76"/>
      <c r="X84" s="26"/>
      <c r="Y84" s="26"/>
      <c r="Z84" s="27"/>
      <c r="AA84" s="26"/>
      <c r="AB84" s="26"/>
      <c r="AC84" s="26"/>
      <c r="AD84" s="85"/>
      <c r="AE84" s="27"/>
      <c r="AF84" s="70"/>
      <c r="AG84" s="81">
        <f t="shared" si="36"/>
        <v>0</v>
      </c>
      <c r="AH84" s="90" t="str">
        <f t="shared" si="37"/>
        <v xml:space="preserve"> </v>
      </c>
      <c r="AI84" s="88" t="str">
        <f t="shared" si="38"/>
        <v xml:space="preserve"> </v>
      </c>
      <c r="AJ84" s="13" t="str">
        <f t="shared" si="39"/>
        <v xml:space="preserve"> </v>
      </c>
      <c r="AK84" s="4" t="str">
        <f t="shared" si="40"/>
        <v xml:space="preserve"> </v>
      </c>
      <c r="AL84" s="4" t="str">
        <f t="shared" si="41"/>
        <v xml:space="preserve"> </v>
      </c>
      <c r="AM84" s="13" t="str">
        <f t="shared" si="42"/>
        <v xml:space="preserve"> </v>
      </c>
      <c r="AN84" s="2" t="str">
        <f t="shared" si="43"/>
        <v xml:space="preserve"> </v>
      </c>
      <c r="AO84" s="2" t="str">
        <f t="shared" si="44"/>
        <v xml:space="preserve"> </v>
      </c>
      <c r="AP84" s="9" t="str">
        <f t="shared" si="45"/>
        <v xml:space="preserve"> </v>
      </c>
      <c r="AQ84" s="2" t="str">
        <f t="shared" si="46"/>
        <v xml:space="preserve"> </v>
      </c>
      <c r="AR84" s="2" t="str">
        <f t="shared" si="47"/>
        <v xml:space="preserve"> </v>
      </c>
      <c r="AS84" s="4" t="str">
        <f t="shared" si="48"/>
        <v xml:space="preserve"> </v>
      </c>
      <c r="AT84" s="4" t="str">
        <f t="shared" si="49"/>
        <v xml:space="preserve"> </v>
      </c>
      <c r="AU84" s="42" t="str">
        <f t="shared" si="50"/>
        <v xml:space="preserve"> </v>
      </c>
      <c r="AV84" s="43" t="str">
        <f t="shared" si="34"/>
        <v xml:space="preserve"> </v>
      </c>
      <c r="AW84" s="44" t="str">
        <f t="shared" si="51"/>
        <v xml:space="preserve"> </v>
      </c>
      <c r="AX84" s="43" t="str">
        <f t="shared" si="52"/>
        <v xml:space="preserve"> </v>
      </c>
      <c r="AY84" s="43" t="str">
        <f t="shared" si="53"/>
        <v xml:space="preserve"> </v>
      </c>
      <c r="AZ84" s="1" t="str">
        <f t="shared" si="54"/>
        <v xml:space="preserve"> </v>
      </c>
      <c r="BA84" s="1" t="str">
        <f t="shared" si="55"/>
        <v xml:space="preserve"> </v>
      </c>
    </row>
    <row r="85" spans="1:53" x14ac:dyDescent="0.3">
      <c r="A85" s="28"/>
      <c r="B85" s="29"/>
      <c r="C85" s="29"/>
      <c r="D85" s="30"/>
      <c r="E85" s="30"/>
      <c r="F85" s="31"/>
      <c r="G85" s="25"/>
      <c r="H85" s="76"/>
      <c r="I85" s="76"/>
      <c r="J85" s="69"/>
      <c r="K85" s="32"/>
      <c r="L85" s="67"/>
      <c r="M85" s="50"/>
      <c r="N85" s="50"/>
      <c r="O85" s="49"/>
      <c r="P85" s="50"/>
      <c r="Q85" s="83"/>
      <c r="R85" s="55"/>
      <c r="S85" s="27"/>
      <c r="T85" s="25"/>
      <c r="U85" s="33"/>
      <c r="V85" s="27"/>
      <c r="W85" s="76"/>
      <c r="X85" s="26"/>
      <c r="Y85" s="26"/>
      <c r="Z85" s="27"/>
      <c r="AA85" s="26"/>
      <c r="AB85" s="26"/>
      <c r="AC85" s="26"/>
      <c r="AD85" s="85"/>
      <c r="AE85" s="27"/>
      <c r="AF85" s="70"/>
      <c r="AG85" s="81">
        <f t="shared" si="36"/>
        <v>0</v>
      </c>
      <c r="AH85" s="90" t="str">
        <f t="shared" si="37"/>
        <v xml:space="preserve"> </v>
      </c>
      <c r="AI85" s="88" t="str">
        <f t="shared" si="38"/>
        <v xml:space="preserve"> </v>
      </c>
      <c r="AJ85" s="13" t="str">
        <f t="shared" si="39"/>
        <v xml:space="preserve"> </v>
      </c>
      <c r="AK85" s="4" t="str">
        <f t="shared" si="40"/>
        <v xml:space="preserve"> </v>
      </c>
      <c r="AL85" s="4" t="str">
        <f t="shared" si="41"/>
        <v xml:space="preserve"> </v>
      </c>
      <c r="AM85" s="13" t="str">
        <f t="shared" si="42"/>
        <v xml:space="preserve"> </v>
      </c>
      <c r="AN85" s="2" t="str">
        <f t="shared" si="43"/>
        <v xml:space="preserve"> </v>
      </c>
      <c r="AO85" s="2" t="str">
        <f t="shared" si="44"/>
        <v xml:space="preserve"> </v>
      </c>
      <c r="AP85" s="9" t="str">
        <f t="shared" si="45"/>
        <v xml:space="preserve"> </v>
      </c>
      <c r="AQ85" s="2" t="str">
        <f t="shared" si="46"/>
        <v xml:space="preserve"> </v>
      </c>
      <c r="AR85" s="2" t="str">
        <f t="shared" si="47"/>
        <v xml:space="preserve"> </v>
      </c>
      <c r="AS85" s="4" t="str">
        <f t="shared" si="48"/>
        <v xml:space="preserve"> </v>
      </c>
      <c r="AT85" s="4" t="str">
        <f t="shared" si="49"/>
        <v xml:space="preserve"> </v>
      </c>
      <c r="AU85" s="42" t="str">
        <f t="shared" si="50"/>
        <v xml:space="preserve"> </v>
      </c>
      <c r="AV85" s="43" t="str">
        <f t="shared" si="34"/>
        <v xml:space="preserve"> </v>
      </c>
      <c r="AW85" s="44" t="str">
        <f t="shared" si="51"/>
        <v xml:space="preserve"> </v>
      </c>
      <c r="AX85" s="43" t="str">
        <f t="shared" si="52"/>
        <v xml:space="preserve"> </v>
      </c>
      <c r="AY85" s="43" t="str">
        <f t="shared" si="53"/>
        <v xml:space="preserve"> </v>
      </c>
      <c r="AZ85" s="1" t="str">
        <f t="shared" si="54"/>
        <v xml:space="preserve"> </v>
      </c>
      <c r="BA85" s="1" t="str">
        <f t="shared" si="55"/>
        <v xml:space="preserve"> </v>
      </c>
    </row>
    <row r="86" spans="1:53" x14ac:dyDescent="0.3">
      <c r="A86" s="28"/>
      <c r="B86" s="29"/>
      <c r="C86" s="29"/>
      <c r="D86" s="30"/>
      <c r="E86" s="30"/>
      <c r="F86" s="31"/>
      <c r="G86" s="25"/>
      <c r="H86" s="76"/>
      <c r="I86" s="76"/>
      <c r="J86" s="69"/>
      <c r="K86" s="32"/>
      <c r="L86" s="67"/>
      <c r="M86" s="50"/>
      <c r="N86" s="50"/>
      <c r="O86" s="49"/>
      <c r="P86" s="50"/>
      <c r="Q86" s="83"/>
      <c r="R86" s="55"/>
      <c r="S86" s="27"/>
      <c r="T86" s="25"/>
      <c r="U86" s="33"/>
      <c r="V86" s="27"/>
      <c r="W86" s="76"/>
      <c r="X86" s="26"/>
      <c r="Y86" s="26"/>
      <c r="Z86" s="27"/>
      <c r="AA86" s="26"/>
      <c r="AB86" s="26"/>
      <c r="AC86" s="26"/>
      <c r="AD86" s="85"/>
      <c r="AE86" s="27"/>
      <c r="AF86" s="70"/>
      <c r="AG86" s="81">
        <f t="shared" si="36"/>
        <v>0</v>
      </c>
      <c r="AH86" s="90" t="str">
        <f t="shared" si="37"/>
        <v xml:space="preserve"> </v>
      </c>
      <c r="AI86" s="88" t="str">
        <f t="shared" si="38"/>
        <v xml:space="preserve"> </v>
      </c>
      <c r="AJ86" s="13" t="str">
        <f t="shared" si="39"/>
        <v xml:space="preserve"> </v>
      </c>
      <c r="AK86" s="4" t="str">
        <f t="shared" si="40"/>
        <v xml:space="preserve"> </v>
      </c>
      <c r="AL86" s="4" t="str">
        <f t="shared" si="41"/>
        <v xml:space="preserve"> </v>
      </c>
      <c r="AM86" s="13" t="str">
        <f t="shared" si="42"/>
        <v xml:space="preserve"> </v>
      </c>
      <c r="AN86" s="2" t="str">
        <f t="shared" si="43"/>
        <v xml:space="preserve"> </v>
      </c>
      <c r="AO86" s="2" t="str">
        <f t="shared" si="44"/>
        <v xml:space="preserve"> </v>
      </c>
      <c r="AP86" s="9" t="str">
        <f t="shared" si="45"/>
        <v xml:space="preserve"> </v>
      </c>
      <c r="AQ86" s="2" t="str">
        <f t="shared" si="46"/>
        <v xml:space="preserve"> </v>
      </c>
      <c r="AR86" s="2" t="str">
        <f t="shared" si="47"/>
        <v xml:space="preserve"> </v>
      </c>
      <c r="AS86" s="4" t="str">
        <f t="shared" si="48"/>
        <v xml:space="preserve"> </v>
      </c>
      <c r="AT86" s="4" t="str">
        <f t="shared" si="49"/>
        <v xml:space="preserve"> </v>
      </c>
      <c r="AU86" s="42" t="str">
        <f t="shared" si="50"/>
        <v xml:space="preserve"> </v>
      </c>
      <c r="AV86" s="43" t="str">
        <f t="shared" si="34"/>
        <v xml:space="preserve"> </v>
      </c>
      <c r="AW86" s="44" t="str">
        <f t="shared" si="51"/>
        <v xml:space="preserve"> </v>
      </c>
      <c r="AX86" s="43" t="str">
        <f t="shared" si="52"/>
        <v xml:space="preserve"> </v>
      </c>
      <c r="AY86" s="43" t="str">
        <f t="shared" si="53"/>
        <v xml:space="preserve"> </v>
      </c>
      <c r="AZ86" s="1" t="str">
        <f t="shared" si="54"/>
        <v xml:space="preserve"> </v>
      </c>
      <c r="BA86" s="1" t="str">
        <f t="shared" si="55"/>
        <v xml:space="preserve"> </v>
      </c>
    </row>
    <row r="87" spans="1:53" x14ac:dyDescent="0.3">
      <c r="A87" s="28"/>
      <c r="B87" s="29"/>
      <c r="C87" s="29"/>
      <c r="D87" s="30"/>
      <c r="E87" s="30"/>
      <c r="F87" s="31"/>
      <c r="G87" s="25"/>
      <c r="H87" s="76"/>
      <c r="I87" s="76"/>
      <c r="J87" s="69"/>
      <c r="K87" s="32"/>
      <c r="L87" s="67"/>
      <c r="M87" s="49"/>
      <c r="N87" s="49"/>
      <c r="O87" s="49"/>
      <c r="P87" s="49"/>
      <c r="Q87" s="83"/>
      <c r="R87" s="55"/>
      <c r="S87" s="27"/>
      <c r="T87" s="25"/>
      <c r="U87" s="33"/>
      <c r="V87" s="27"/>
      <c r="W87" s="76"/>
      <c r="X87" s="26"/>
      <c r="Y87" s="26"/>
      <c r="Z87" s="27"/>
      <c r="AA87" s="26"/>
      <c r="AB87" s="26"/>
      <c r="AC87" s="26"/>
      <c r="AD87" s="85"/>
      <c r="AE87" s="27"/>
      <c r="AF87" s="70"/>
      <c r="AG87" s="81">
        <f t="shared" si="36"/>
        <v>0</v>
      </c>
      <c r="AH87" s="90" t="str">
        <f t="shared" si="37"/>
        <v xml:space="preserve"> </v>
      </c>
      <c r="AI87" s="88" t="str">
        <f t="shared" si="38"/>
        <v xml:space="preserve"> </v>
      </c>
      <c r="AJ87" s="13" t="str">
        <f t="shared" si="39"/>
        <v xml:space="preserve"> </v>
      </c>
      <c r="AK87" s="4" t="str">
        <f t="shared" si="40"/>
        <v xml:space="preserve"> </v>
      </c>
      <c r="AL87" s="4" t="str">
        <f t="shared" si="41"/>
        <v xml:space="preserve"> </v>
      </c>
      <c r="AM87" s="13" t="str">
        <f t="shared" si="42"/>
        <v xml:space="preserve"> </v>
      </c>
      <c r="AN87" s="2" t="str">
        <f t="shared" si="43"/>
        <v xml:space="preserve"> </v>
      </c>
      <c r="AO87" s="2" t="str">
        <f t="shared" si="44"/>
        <v xml:space="preserve"> </v>
      </c>
      <c r="AP87" s="9" t="str">
        <f t="shared" si="45"/>
        <v xml:space="preserve"> </v>
      </c>
      <c r="AQ87" s="2" t="str">
        <f t="shared" si="46"/>
        <v xml:space="preserve"> </v>
      </c>
      <c r="AR87" s="2" t="str">
        <f t="shared" si="47"/>
        <v xml:space="preserve"> </v>
      </c>
      <c r="AS87" s="4" t="str">
        <f t="shared" si="48"/>
        <v xml:space="preserve"> </v>
      </c>
      <c r="AT87" s="4" t="str">
        <f t="shared" si="49"/>
        <v xml:space="preserve"> </v>
      </c>
      <c r="AU87" s="42" t="str">
        <f t="shared" si="50"/>
        <v xml:space="preserve"> </v>
      </c>
      <c r="AV87" s="43" t="str">
        <f t="shared" ref="AV87:AV100" si="56">IFERROR(($AN87*$AU87)-($AU$2)," ")</f>
        <v xml:space="preserve"> </v>
      </c>
      <c r="AW87" s="44" t="str">
        <f t="shared" si="51"/>
        <v xml:space="preserve"> </v>
      </c>
      <c r="AX87" s="43" t="str">
        <f t="shared" si="52"/>
        <v xml:space="preserve"> </v>
      </c>
      <c r="AY87" s="43" t="str">
        <f t="shared" si="53"/>
        <v xml:space="preserve"> </v>
      </c>
      <c r="AZ87" s="1" t="str">
        <f t="shared" si="54"/>
        <v xml:space="preserve"> </v>
      </c>
      <c r="BA87" s="1" t="str">
        <f t="shared" si="55"/>
        <v xml:space="preserve"> </v>
      </c>
    </row>
    <row r="88" spans="1:53" x14ac:dyDescent="0.3">
      <c r="A88" s="28"/>
      <c r="B88" s="29"/>
      <c r="C88" s="29"/>
      <c r="D88" s="30"/>
      <c r="E88" s="30"/>
      <c r="F88" s="31"/>
      <c r="G88" s="25"/>
      <c r="H88" s="76"/>
      <c r="I88" s="76"/>
      <c r="J88" s="69"/>
      <c r="K88" s="32"/>
      <c r="L88" s="67"/>
      <c r="M88" s="49"/>
      <c r="N88" s="49"/>
      <c r="O88" s="49"/>
      <c r="P88" s="49"/>
      <c r="Q88" s="83"/>
      <c r="R88" s="55"/>
      <c r="S88" s="27"/>
      <c r="T88" s="25"/>
      <c r="U88" s="33"/>
      <c r="V88" s="27"/>
      <c r="W88" s="76"/>
      <c r="X88" s="26"/>
      <c r="Y88" s="26"/>
      <c r="Z88" s="27"/>
      <c r="AA88" s="26"/>
      <c r="AB88" s="26"/>
      <c r="AC88" s="26"/>
      <c r="AD88" s="85"/>
      <c r="AE88" s="27"/>
      <c r="AF88" s="70"/>
      <c r="AG88" s="81">
        <f t="shared" si="36"/>
        <v>0</v>
      </c>
      <c r="AH88" s="90" t="str">
        <f t="shared" si="37"/>
        <v xml:space="preserve"> </v>
      </c>
      <c r="AI88" s="88" t="str">
        <f t="shared" si="38"/>
        <v xml:space="preserve"> </v>
      </c>
      <c r="AJ88" s="13" t="str">
        <f t="shared" si="39"/>
        <v xml:space="preserve"> </v>
      </c>
      <c r="AK88" s="4" t="str">
        <f t="shared" si="40"/>
        <v xml:space="preserve"> </v>
      </c>
      <c r="AL88" s="4" t="str">
        <f t="shared" si="41"/>
        <v xml:space="preserve"> </v>
      </c>
      <c r="AM88" s="13" t="str">
        <f t="shared" si="42"/>
        <v xml:space="preserve"> </v>
      </c>
      <c r="AN88" s="2" t="str">
        <f t="shared" si="43"/>
        <v xml:space="preserve"> </v>
      </c>
      <c r="AO88" s="2" t="str">
        <f t="shared" si="44"/>
        <v xml:space="preserve"> </v>
      </c>
      <c r="AP88" s="9" t="str">
        <f t="shared" si="45"/>
        <v xml:space="preserve"> </v>
      </c>
      <c r="AQ88" s="2" t="str">
        <f t="shared" si="46"/>
        <v xml:space="preserve"> </v>
      </c>
      <c r="AR88" s="2" t="str">
        <f t="shared" si="47"/>
        <v xml:space="preserve"> </v>
      </c>
      <c r="AS88" s="4" t="str">
        <f t="shared" si="48"/>
        <v xml:space="preserve"> </v>
      </c>
      <c r="AT88" s="4" t="str">
        <f t="shared" si="49"/>
        <v xml:space="preserve"> </v>
      </c>
      <c r="AU88" s="42" t="str">
        <f t="shared" si="50"/>
        <v xml:space="preserve"> </v>
      </c>
      <c r="AV88" s="43" t="str">
        <f t="shared" si="56"/>
        <v xml:space="preserve"> </v>
      </c>
      <c r="AW88" s="44" t="str">
        <f t="shared" si="51"/>
        <v xml:space="preserve"> </v>
      </c>
      <c r="AX88" s="43" t="str">
        <f t="shared" si="52"/>
        <v xml:space="preserve"> </v>
      </c>
      <c r="AY88" s="43" t="str">
        <f t="shared" si="53"/>
        <v xml:space="preserve"> </v>
      </c>
      <c r="AZ88" s="1" t="str">
        <f t="shared" si="54"/>
        <v xml:space="preserve"> </v>
      </c>
      <c r="BA88" s="1" t="str">
        <f t="shared" si="55"/>
        <v xml:space="preserve"> </v>
      </c>
    </row>
    <row r="89" spans="1:53" x14ac:dyDescent="0.3">
      <c r="A89" s="28"/>
      <c r="B89" s="29"/>
      <c r="C89" s="29"/>
      <c r="D89" s="30"/>
      <c r="E89" s="30"/>
      <c r="F89" s="31"/>
      <c r="G89" s="25"/>
      <c r="H89" s="76"/>
      <c r="I89" s="76"/>
      <c r="J89" s="69"/>
      <c r="K89" s="32"/>
      <c r="L89" s="67"/>
      <c r="M89" s="49"/>
      <c r="N89" s="49"/>
      <c r="O89" s="49"/>
      <c r="P89" s="49"/>
      <c r="Q89" s="83"/>
      <c r="R89" s="55"/>
      <c r="S89" s="27"/>
      <c r="T89" s="25"/>
      <c r="U89" s="33"/>
      <c r="V89" s="27"/>
      <c r="W89" s="76"/>
      <c r="X89" s="26"/>
      <c r="Y89" s="26"/>
      <c r="Z89" s="27"/>
      <c r="AA89" s="26"/>
      <c r="AB89" s="26"/>
      <c r="AC89" s="26"/>
      <c r="AD89" s="85"/>
      <c r="AE89" s="27"/>
      <c r="AF89" s="70"/>
      <c r="AG89" s="81">
        <f t="shared" si="36"/>
        <v>0</v>
      </c>
      <c r="AH89" s="90" t="str">
        <f t="shared" si="37"/>
        <v xml:space="preserve"> </v>
      </c>
      <c r="AI89" s="88" t="str">
        <f t="shared" si="38"/>
        <v xml:space="preserve"> </v>
      </c>
      <c r="AJ89" s="13" t="str">
        <f t="shared" si="39"/>
        <v xml:space="preserve"> </v>
      </c>
      <c r="AK89" s="4" t="str">
        <f t="shared" si="40"/>
        <v xml:space="preserve"> </v>
      </c>
      <c r="AL89" s="4" t="str">
        <f t="shared" si="41"/>
        <v xml:space="preserve"> </v>
      </c>
      <c r="AM89" s="13" t="str">
        <f t="shared" si="42"/>
        <v xml:space="preserve"> </v>
      </c>
      <c r="AN89" s="2" t="str">
        <f t="shared" si="43"/>
        <v xml:space="preserve"> </v>
      </c>
      <c r="AO89" s="2" t="str">
        <f t="shared" si="44"/>
        <v xml:space="preserve"> </v>
      </c>
      <c r="AP89" s="9" t="str">
        <f t="shared" si="45"/>
        <v xml:space="preserve"> </v>
      </c>
      <c r="AQ89" s="2" t="str">
        <f t="shared" si="46"/>
        <v xml:space="preserve"> </v>
      </c>
      <c r="AR89" s="2" t="str">
        <f t="shared" si="47"/>
        <v xml:space="preserve"> </v>
      </c>
      <c r="AS89" s="4" t="str">
        <f t="shared" si="48"/>
        <v xml:space="preserve"> </v>
      </c>
      <c r="AT89" s="4" t="str">
        <f t="shared" si="49"/>
        <v xml:space="preserve"> </v>
      </c>
      <c r="AU89" s="42" t="str">
        <f t="shared" si="50"/>
        <v xml:space="preserve"> </v>
      </c>
      <c r="AV89" s="43" t="str">
        <f t="shared" si="56"/>
        <v xml:space="preserve"> </v>
      </c>
      <c r="AW89" s="44" t="str">
        <f t="shared" si="51"/>
        <v xml:space="preserve"> </v>
      </c>
      <c r="AX89" s="43" t="str">
        <f t="shared" si="52"/>
        <v xml:space="preserve"> </v>
      </c>
      <c r="AY89" s="43" t="str">
        <f t="shared" si="53"/>
        <v xml:space="preserve"> </v>
      </c>
      <c r="AZ89" s="1" t="str">
        <f t="shared" si="54"/>
        <v xml:space="preserve"> </v>
      </c>
      <c r="BA89" s="1" t="str">
        <f t="shared" si="55"/>
        <v xml:space="preserve"> </v>
      </c>
    </row>
    <row r="90" spans="1:53" x14ac:dyDescent="0.3">
      <c r="A90" s="28"/>
      <c r="B90" s="29"/>
      <c r="C90" s="29"/>
      <c r="D90" s="30"/>
      <c r="E90" s="30"/>
      <c r="F90" s="31"/>
      <c r="G90" s="25"/>
      <c r="H90" s="76"/>
      <c r="I90" s="76"/>
      <c r="J90" s="69"/>
      <c r="K90" s="32"/>
      <c r="L90" s="67"/>
      <c r="M90" s="49"/>
      <c r="N90" s="49"/>
      <c r="O90" s="49"/>
      <c r="P90" s="49"/>
      <c r="Q90" s="83"/>
      <c r="R90" s="55"/>
      <c r="S90" s="27"/>
      <c r="T90" s="25"/>
      <c r="U90" s="33"/>
      <c r="V90" s="27"/>
      <c r="W90" s="76"/>
      <c r="X90" s="26"/>
      <c r="Y90" s="26"/>
      <c r="Z90" s="27"/>
      <c r="AA90" s="26"/>
      <c r="AB90" s="26"/>
      <c r="AC90" s="26"/>
      <c r="AD90" s="85"/>
      <c r="AE90" s="27"/>
      <c r="AF90" s="70"/>
      <c r="AG90" s="81">
        <f t="shared" si="36"/>
        <v>0</v>
      </c>
      <c r="AH90" s="90" t="str">
        <f t="shared" si="37"/>
        <v xml:space="preserve"> </v>
      </c>
      <c r="AI90" s="88" t="str">
        <f t="shared" si="38"/>
        <v xml:space="preserve"> </v>
      </c>
      <c r="AJ90" s="13" t="str">
        <f t="shared" si="39"/>
        <v xml:space="preserve"> </v>
      </c>
      <c r="AK90" s="4" t="str">
        <f t="shared" si="40"/>
        <v xml:space="preserve"> </v>
      </c>
      <c r="AL90" s="4" t="str">
        <f t="shared" si="41"/>
        <v xml:space="preserve"> </v>
      </c>
      <c r="AM90" s="13" t="str">
        <f t="shared" si="42"/>
        <v xml:space="preserve"> </v>
      </c>
      <c r="AN90" s="2" t="str">
        <f t="shared" si="43"/>
        <v xml:space="preserve"> </v>
      </c>
      <c r="AO90" s="2" t="str">
        <f t="shared" si="44"/>
        <v xml:space="preserve"> </v>
      </c>
      <c r="AP90" s="9" t="str">
        <f t="shared" si="45"/>
        <v xml:space="preserve"> </v>
      </c>
      <c r="AQ90" s="2" t="str">
        <f t="shared" si="46"/>
        <v xml:space="preserve"> </v>
      </c>
      <c r="AR90" s="2" t="str">
        <f t="shared" si="47"/>
        <v xml:space="preserve"> </v>
      </c>
      <c r="AS90" s="4" t="str">
        <f t="shared" si="48"/>
        <v xml:space="preserve"> </v>
      </c>
      <c r="AT90" s="4" t="str">
        <f t="shared" si="49"/>
        <v xml:space="preserve"> </v>
      </c>
      <c r="AU90" s="42" t="str">
        <f t="shared" si="50"/>
        <v xml:space="preserve"> </v>
      </c>
      <c r="AV90" s="43" t="str">
        <f t="shared" si="56"/>
        <v xml:space="preserve"> </v>
      </c>
      <c r="AW90" s="44" t="str">
        <f t="shared" si="51"/>
        <v xml:space="preserve"> </v>
      </c>
      <c r="AX90" s="43" t="str">
        <f t="shared" si="52"/>
        <v xml:space="preserve"> </v>
      </c>
      <c r="AY90" s="43" t="str">
        <f t="shared" si="53"/>
        <v xml:space="preserve"> </v>
      </c>
      <c r="AZ90" s="1" t="str">
        <f t="shared" si="54"/>
        <v xml:space="preserve"> </v>
      </c>
      <c r="BA90" s="1" t="str">
        <f t="shared" si="55"/>
        <v xml:space="preserve"> </v>
      </c>
    </row>
    <row r="91" spans="1:53" x14ac:dyDescent="0.3">
      <c r="A91" s="28"/>
      <c r="B91" s="29"/>
      <c r="C91" s="29"/>
      <c r="D91" s="30"/>
      <c r="E91" s="30"/>
      <c r="F91" s="31"/>
      <c r="G91" s="25"/>
      <c r="H91" s="76"/>
      <c r="I91" s="76"/>
      <c r="J91" s="69"/>
      <c r="K91" s="32"/>
      <c r="L91" s="67"/>
      <c r="M91" s="49"/>
      <c r="N91" s="49"/>
      <c r="O91" s="49"/>
      <c r="P91" s="49"/>
      <c r="Q91" s="83"/>
      <c r="R91" s="55"/>
      <c r="S91" s="27"/>
      <c r="T91" s="25"/>
      <c r="U91" s="33"/>
      <c r="V91" s="27"/>
      <c r="W91" s="76"/>
      <c r="X91" s="26"/>
      <c r="Y91" s="26"/>
      <c r="Z91" s="27"/>
      <c r="AA91" s="26"/>
      <c r="AB91" s="26"/>
      <c r="AC91" s="26"/>
      <c r="AD91" s="85"/>
      <c r="AE91" s="27"/>
      <c r="AF91" s="70"/>
      <c r="AG91" s="81">
        <f t="shared" si="36"/>
        <v>0</v>
      </c>
      <c r="AH91" s="90" t="str">
        <f t="shared" si="37"/>
        <v xml:space="preserve"> </v>
      </c>
      <c r="AI91" s="88" t="str">
        <f t="shared" si="38"/>
        <v xml:space="preserve"> </v>
      </c>
      <c r="AJ91" s="13" t="str">
        <f t="shared" si="39"/>
        <v xml:space="preserve"> </v>
      </c>
      <c r="AK91" s="4" t="str">
        <f t="shared" si="40"/>
        <v xml:space="preserve"> </v>
      </c>
      <c r="AL91" s="4" t="str">
        <f t="shared" si="41"/>
        <v xml:space="preserve"> </v>
      </c>
      <c r="AM91" s="13" t="str">
        <f t="shared" si="42"/>
        <v xml:space="preserve"> </v>
      </c>
      <c r="AN91" s="2" t="str">
        <f t="shared" si="43"/>
        <v xml:space="preserve"> </v>
      </c>
      <c r="AO91" s="2" t="str">
        <f t="shared" si="44"/>
        <v xml:space="preserve"> </v>
      </c>
      <c r="AP91" s="9" t="str">
        <f t="shared" si="45"/>
        <v xml:space="preserve"> </v>
      </c>
      <c r="AQ91" s="2" t="str">
        <f t="shared" si="46"/>
        <v xml:space="preserve"> </v>
      </c>
      <c r="AR91" s="2" t="str">
        <f t="shared" si="47"/>
        <v xml:space="preserve"> </v>
      </c>
      <c r="AS91" s="4" t="str">
        <f t="shared" si="48"/>
        <v xml:space="preserve"> </v>
      </c>
      <c r="AT91" s="4" t="str">
        <f t="shared" si="49"/>
        <v xml:space="preserve"> </v>
      </c>
      <c r="AU91" s="42" t="str">
        <f t="shared" si="50"/>
        <v xml:space="preserve"> </v>
      </c>
      <c r="AV91" s="43" t="str">
        <f t="shared" si="56"/>
        <v xml:space="preserve"> </v>
      </c>
      <c r="AW91" s="44" t="str">
        <f t="shared" si="51"/>
        <v xml:space="preserve"> </v>
      </c>
      <c r="AX91" s="43" t="str">
        <f t="shared" si="52"/>
        <v xml:space="preserve"> </v>
      </c>
      <c r="AY91" s="43" t="str">
        <f t="shared" si="53"/>
        <v xml:space="preserve"> </v>
      </c>
      <c r="AZ91" s="1" t="str">
        <f t="shared" si="54"/>
        <v xml:space="preserve"> </v>
      </c>
      <c r="BA91" s="1" t="str">
        <f t="shared" si="55"/>
        <v xml:space="preserve"> </v>
      </c>
    </row>
    <row r="92" spans="1:53" x14ac:dyDescent="0.3">
      <c r="A92" s="28"/>
      <c r="B92" s="29"/>
      <c r="C92" s="29"/>
      <c r="D92" s="30"/>
      <c r="E92" s="30"/>
      <c r="F92" s="31"/>
      <c r="G92" s="25"/>
      <c r="H92" s="76"/>
      <c r="I92" s="76"/>
      <c r="J92" s="69"/>
      <c r="K92" s="32"/>
      <c r="L92" s="67"/>
      <c r="M92" s="49"/>
      <c r="N92" s="49"/>
      <c r="O92" s="49"/>
      <c r="P92" s="49"/>
      <c r="Q92" s="83"/>
      <c r="R92" s="55"/>
      <c r="S92" s="27"/>
      <c r="T92" s="25"/>
      <c r="U92" s="33"/>
      <c r="V92" s="27"/>
      <c r="W92" s="76"/>
      <c r="X92" s="26"/>
      <c r="Y92" s="26"/>
      <c r="Z92" s="27"/>
      <c r="AA92" s="26"/>
      <c r="AB92" s="26"/>
      <c r="AC92" s="26"/>
      <c r="AD92" s="85"/>
      <c r="AE92" s="27"/>
      <c r="AF92" s="70"/>
      <c r="AG92" s="81">
        <f t="shared" si="36"/>
        <v>0</v>
      </c>
      <c r="AH92" s="90" t="str">
        <f t="shared" si="37"/>
        <v xml:space="preserve"> </v>
      </c>
      <c r="AI92" s="88" t="str">
        <f t="shared" si="38"/>
        <v xml:space="preserve"> </v>
      </c>
      <c r="AJ92" s="13" t="str">
        <f t="shared" si="39"/>
        <v xml:space="preserve"> </v>
      </c>
      <c r="AK92" s="4" t="str">
        <f t="shared" si="40"/>
        <v xml:space="preserve"> </v>
      </c>
      <c r="AL92" s="4" t="str">
        <f t="shared" si="41"/>
        <v xml:space="preserve"> </v>
      </c>
      <c r="AM92" s="13" t="str">
        <f t="shared" si="42"/>
        <v xml:space="preserve"> </v>
      </c>
      <c r="AN92" s="2" t="str">
        <f t="shared" si="43"/>
        <v xml:space="preserve"> </v>
      </c>
      <c r="AO92" s="2" t="str">
        <f t="shared" si="44"/>
        <v xml:space="preserve"> </v>
      </c>
      <c r="AP92" s="9" t="str">
        <f t="shared" si="45"/>
        <v xml:space="preserve"> </v>
      </c>
      <c r="AQ92" s="2" t="str">
        <f t="shared" si="46"/>
        <v xml:space="preserve"> </v>
      </c>
      <c r="AR92" s="2" t="str">
        <f t="shared" si="47"/>
        <v xml:space="preserve"> </v>
      </c>
      <c r="AS92" s="4" t="str">
        <f t="shared" si="48"/>
        <v xml:space="preserve"> </v>
      </c>
      <c r="AT92" s="4" t="str">
        <f t="shared" si="49"/>
        <v xml:space="preserve"> </v>
      </c>
      <c r="AU92" s="42" t="str">
        <f t="shared" si="50"/>
        <v xml:space="preserve"> </v>
      </c>
      <c r="AV92" s="43" t="str">
        <f t="shared" si="56"/>
        <v xml:space="preserve"> </v>
      </c>
      <c r="AW92" s="44" t="str">
        <f t="shared" si="51"/>
        <v xml:space="preserve"> </v>
      </c>
      <c r="AX92" s="43" t="str">
        <f t="shared" si="52"/>
        <v xml:space="preserve"> </v>
      </c>
      <c r="AY92" s="43" t="str">
        <f t="shared" si="53"/>
        <v xml:space="preserve"> </v>
      </c>
      <c r="AZ92" s="1" t="str">
        <f t="shared" si="54"/>
        <v xml:space="preserve"> </v>
      </c>
      <c r="BA92" s="1" t="str">
        <f t="shared" si="55"/>
        <v xml:space="preserve"> </v>
      </c>
    </row>
    <row r="93" spans="1:53" x14ac:dyDescent="0.3">
      <c r="A93" s="28"/>
      <c r="B93" s="29"/>
      <c r="C93" s="29"/>
      <c r="D93" s="30"/>
      <c r="E93" s="30"/>
      <c r="F93" s="31"/>
      <c r="G93" s="25"/>
      <c r="H93" s="76"/>
      <c r="I93" s="76"/>
      <c r="J93" s="69"/>
      <c r="K93" s="32"/>
      <c r="L93" s="67"/>
      <c r="M93" s="49"/>
      <c r="N93" s="49"/>
      <c r="O93" s="49"/>
      <c r="P93" s="49"/>
      <c r="Q93" s="83"/>
      <c r="R93" s="55"/>
      <c r="S93" s="27"/>
      <c r="T93" s="25"/>
      <c r="U93" s="33"/>
      <c r="V93" s="27"/>
      <c r="W93" s="76"/>
      <c r="X93" s="26"/>
      <c r="Y93" s="26"/>
      <c r="Z93" s="27"/>
      <c r="AA93" s="26"/>
      <c r="AB93" s="26"/>
      <c r="AC93" s="26"/>
      <c r="AD93" s="85"/>
      <c r="AE93" s="27"/>
      <c r="AF93" s="70"/>
      <c r="AG93" s="81">
        <f t="shared" si="36"/>
        <v>0</v>
      </c>
      <c r="AH93" s="90" t="str">
        <f t="shared" si="37"/>
        <v xml:space="preserve"> </v>
      </c>
      <c r="AI93" s="88" t="str">
        <f t="shared" si="38"/>
        <v xml:space="preserve"> </v>
      </c>
      <c r="AJ93" s="13" t="str">
        <f t="shared" si="39"/>
        <v xml:space="preserve"> </v>
      </c>
      <c r="AK93" s="4" t="str">
        <f t="shared" si="40"/>
        <v xml:space="preserve"> </v>
      </c>
      <c r="AL93" s="4" t="str">
        <f t="shared" si="41"/>
        <v xml:space="preserve"> </v>
      </c>
      <c r="AM93" s="13" t="str">
        <f t="shared" si="42"/>
        <v xml:space="preserve"> </v>
      </c>
      <c r="AN93" s="2" t="str">
        <f t="shared" si="43"/>
        <v xml:space="preserve"> </v>
      </c>
      <c r="AO93" s="2" t="str">
        <f t="shared" si="44"/>
        <v xml:space="preserve"> </v>
      </c>
      <c r="AP93" s="9" t="str">
        <f t="shared" si="45"/>
        <v xml:space="preserve"> </v>
      </c>
      <c r="AQ93" s="2" t="str">
        <f t="shared" si="46"/>
        <v xml:space="preserve"> </v>
      </c>
      <c r="AR93" s="2" t="str">
        <f t="shared" si="47"/>
        <v xml:space="preserve"> </v>
      </c>
      <c r="AS93" s="4" t="str">
        <f t="shared" si="48"/>
        <v xml:space="preserve"> </v>
      </c>
      <c r="AT93" s="4" t="str">
        <f t="shared" si="49"/>
        <v xml:space="preserve"> </v>
      </c>
      <c r="AU93" s="42" t="str">
        <f t="shared" si="50"/>
        <v xml:space="preserve"> </v>
      </c>
      <c r="AV93" s="43" t="str">
        <f t="shared" si="56"/>
        <v xml:space="preserve"> </v>
      </c>
      <c r="AW93" s="44" t="str">
        <f t="shared" si="51"/>
        <v xml:space="preserve"> </v>
      </c>
      <c r="AX93" s="43" t="str">
        <f t="shared" si="52"/>
        <v xml:space="preserve"> </v>
      </c>
      <c r="AY93" s="43" t="str">
        <f t="shared" si="53"/>
        <v xml:space="preserve"> </v>
      </c>
      <c r="AZ93" s="1" t="str">
        <f t="shared" si="54"/>
        <v xml:space="preserve"> </v>
      </c>
      <c r="BA93" s="1" t="str">
        <f t="shared" si="55"/>
        <v xml:space="preserve"> </v>
      </c>
    </row>
    <row r="94" spans="1:53" x14ac:dyDescent="0.3">
      <c r="A94" s="28"/>
      <c r="B94" s="29"/>
      <c r="C94" s="29"/>
      <c r="D94" s="30"/>
      <c r="E94" s="30"/>
      <c r="F94" s="31"/>
      <c r="G94" s="25"/>
      <c r="H94" s="76"/>
      <c r="I94" s="76"/>
      <c r="J94" s="69"/>
      <c r="K94" s="32"/>
      <c r="L94" s="67"/>
      <c r="M94" s="50"/>
      <c r="N94" s="51"/>
      <c r="O94" s="49"/>
      <c r="P94" s="49"/>
      <c r="Q94" s="49"/>
      <c r="R94" s="55"/>
      <c r="S94" s="27"/>
      <c r="T94" s="25"/>
      <c r="U94" s="33"/>
      <c r="V94" s="27"/>
      <c r="W94" s="76"/>
      <c r="X94" s="26"/>
      <c r="Y94" s="26"/>
      <c r="Z94" s="27"/>
      <c r="AA94" s="26"/>
      <c r="AB94" s="26"/>
      <c r="AC94" s="26"/>
      <c r="AD94" s="85"/>
      <c r="AE94" s="27"/>
      <c r="AF94" s="70"/>
      <c r="AG94" s="81">
        <f t="shared" si="36"/>
        <v>0</v>
      </c>
      <c r="AH94" s="90" t="str">
        <f t="shared" si="37"/>
        <v xml:space="preserve"> </v>
      </c>
      <c r="AI94" s="88" t="str">
        <f t="shared" si="38"/>
        <v xml:space="preserve"> </v>
      </c>
      <c r="AJ94" s="13" t="str">
        <f t="shared" si="39"/>
        <v xml:space="preserve"> </v>
      </c>
      <c r="AK94" s="4" t="str">
        <f t="shared" si="40"/>
        <v xml:space="preserve"> </v>
      </c>
      <c r="AL94" s="4" t="str">
        <f t="shared" si="41"/>
        <v xml:space="preserve"> </v>
      </c>
      <c r="AM94" s="13" t="str">
        <f t="shared" si="42"/>
        <v xml:space="preserve"> </v>
      </c>
      <c r="AN94" s="2" t="str">
        <f t="shared" si="43"/>
        <v xml:space="preserve"> </v>
      </c>
      <c r="AO94" s="2" t="str">
        <f t="shared" si="44"/>
        <v xml:space="preserve"> </v>
      </c>
      <c r="AP94" s="9" t="str">
        <f t="shared" si="45"/>
        <v xml:space="preserve"> </v>
      </c>
      <c r="AQ94" s="2" t="str">
        <f t="shared" si="46"/>
        <v xml:space="preserve"> </v>
      </c>
      <c r="AR94" s="2" t="str">
        <f t="shared" si="47"/>
        <v xml:space="preserve"> </v>
      </c>
      <c r="AS94" s="4" t="str">
        <f t="shared" si="48"/>
        <v xml:space="preserve"> </v>
      </c>
      <c r="AT94" s="4" t="str">
        <f t="shared" si="49"/>
        <v xml:space="preserve"> </v>
      </c>
      <c r="AU94" s="42" t="str">
        <f t="shared" si="50"/>
        <v xml:space="preserve"> </v>
      </c>
      <c r="AV94" s="43" t="str">
        <f t="shared" si="56"/>
        <v xml:space="preserve"> </v>
      </c>
      <c r="AW94" s="44" t="str">
        <f t="shared" si="51"/>
        <v xml:space="preserve"> </v>
      </c>
      <c r="AX94" s="43" t="str">
        <f t="shared" si="52"/>
        <v xml:space="preserve"> </v>
      </c>
      <c r="AY94" s="43" t="str">
        <f t="shared" si="53"/>
        <v xml:space="preserve"> </v>
      </c>
      <c r="AZ94" s="1" t="str">
        <f t="shared" si="54"/>
        <v xml:space="preserve"> </v>
      </c>
      <c r="BA94" s="1" t="str">
        <f t="shared" si="55"/>
        <v xml:space="preserve"> </v>
      </c>
    </row>
    <row r="95" spans="1:53" x14ac:dyDescent="0.3">
      <c r="A95" s="28"/>
      <c r="B95" s="29"/>
      <c r="C95" s="29"/>
      <c r="D95" s="30"/>
      <c r="E95" s="30"/>
      <c r="F95" s="31"/>
      <c r="G95" s="25"/>
      <c r="H95" s="76"/>
      <c r="I95" s="76"/>
      <c r="J95" s="69"/>
      <c r="K95" s="32"/>
      <c r="L95" s="67"/>
      <c r="M95" s="50"/>
      <c r="N95" s="51"/>
      <c r="O95" s="49"/>
      <c r="P95" s="49"/>
      <c r="Q95" s="49"/>
      <c r="R95" s="55"/>
      <c r="S95" s="27"/>
      <c r="T95" s="25"/>
      <c r="U95" s="33"/>
      <c r="V95" s="27"/>
      <c r="W95" s="76"/>
      <c r="X95" s="26"/>
      <c r="Y95" s="26"/>
      <c r="Z95" s="27"/>
      <c r="AA95" s="26"/>
      <c r="AB95" s="26"/>
      <c r="AC95" s="26"/>
      <c r="AD95" s="85"/>
      <c r="AE95" s="27"/>
      <c r="AF95" s="70"/>
      <c r="AG95" s="81">
        <f t="shared" si="36"/>
        <v>0</v>
      </c>
      <c r="AH95" s="90" t="str">
        <f t="shared" si="37"/>
        <v xml:space="preserve"> </v>
      </c>
      <c r="AI95" s="88" t="str">
        <f t="shared" si="38"/>
        <v xml:space="preserve"> </v>
      </c>
      <c r="AJ95" s="13" t="str">
        <f t="shared" si="39"/>
        <v xml:space="preserve"> </v>
      </c>
      <c r="AK95" s="4" t="str">
        <f t="shared" si="40"/>
        <v xml:space="preserve"> </v>
      </c>
      <c r="AL95" s="4" t="str">
        <f t="shared" si="41"/>
        <v xml:space="preserve"> </v>
      </c>
      <c r="AM95" s="13" t="str">
        <f t="shared" si="42"/>
        <v xml:space="preserve"> </v>
      </c>
      <c r="AN95" s="2" t="str">
        <f t="shared" si="43"/>
        <v xml:space="preserve"> </v>
      </c>
      <c r="AO95" s="2" t="str">
        <f t="shared" si="44"/>
        <v xml:space="preserve"> </v>
      </c>
      <c r="AP95" s="9" t="str">
        <f t="shared" si="45"/>
        <v xml:space="preserve"> </v>
      </c>
      <c r="AQ95" s="2" t="str">
        <f t="shared" si="46"/>
        <v xml:space="preserve"> </v>
      </c>
      <c r="AR95" s="2" t="str">
        <f t="shared" si="47"/>
        <v xml:space="preserve"> </v>
      </c>
      <c r="AS95" s="4" t="str">
        <f t="shared" si="48"/>
        <v xml:space="preserve"> </v>
      </c>
      <c r="AT95" s="4" t="str">
        <f t="shared" si="49"/>
        <v xml:space="preserve"> </v>
      </c>
      <c r="AU95" s="42" t="str">
        <f t="shared" si="50"/>
        <v xml:space="preserve"> </v>
      </c>
      <c r="AV95" s="43" t="str">
        <f t="shared" si="56"/>
        <v xml:space="preserve"> </v>
      </c>
      <c r="AW95" s="44" t="str">
        <f t="shared" si="51"/>
        <v xml:space="preserve"> </v>
      </c>
      <c r="AX95" s="43" t="str">
        <f t="shared" si="52"/>
        <v xml:space="preserve"> </v>
      </c>
      <c r="AY95" s="43" t="str">
        <f t="shared" si="53"/>
        <v xml:space="preserve"> </v>
      </c>
      <c r="AZ95" s="1" t="str">
        <f t="shared" si="54"/>
        <v xml:space="preserve"> </v>
      </c>
      <c r="BA95" s="1" t="str">
        <f t="shared" si="55"/>
        <v xml:space="preserve"> </v>
      </c>
    </row>
    <row r="96" spans="1:53" x14ac:dyDescent="0.3">
      <c r="A96" s="28"/>
      <c r="B96" s="29"/>
      <c r="C96" s="29"/>
      <c r="D96" s="30"/>
      <c r="E96" s="30"/>
      <c r="F96" s="31"/>
      <c r="G96" s="25"/>
      <c r="H96" s="76"/>
      <c r="I96" s="76"/>
      <c r="J96" s="69"/>
      <c r="K96" s="32"/>
      <c r="L96" s="67"/>
      <c r="M96" s="50"/>
      <c r="N96" s="51"/>
      <c r="O96" s="49"/>
      <c r="P96" s="49"/>
      <c r="Q96" s="49"/>
      <c r="R96" s="55"/>
      <c r="S96" s="27"/>
      <c r="T96" s="25"/>
      <c r="U96" s="33"/>
      <c r="V96" s="27"/>
      <c r="W96" s="76"/>
      <c r="X96" s="26"/>
      <c r="Y96" s="26"/>
      <c r="Z96" s="27"/>
      <c r="AA96" s="26"/>
      <c r="AB96" s="26"/>
      <c r="AC96" s="26"/>
      <c r="AD96" s="85"/>
      <c r="AE96" s="27"/>
      <c r="AF96" s="70"/>
      <c r="AG96" s="81">
        <f t="shared" si="36"/>
        <v>0</v>
      </c>
      <c r="AH96" s="90" t="str">
        <f t="shared" si="37"/>
        <v xml:space="preserve"> </v>
      </c>
      <c r="AI96" s="88" t="str">
        <f t="shared" si="38"/>
        <v xml:space="preserve"> </v>
      </c>
      <c r="AJ96" s="13" t="str">
        <f t="shared" si="39"/>
        <v xml:space="preserve"> </v>
      </c>
      <c r="AK96" s="4" t="str">
        <f t="shared" si="40"/>
        <v xml:space="preserve"> </v>
      </c>
      <c r="AL96" s="4" t="str">
        <f t="shared" si="41"/>
        <v xml:space="preserve"> </v>
      </c>
      <c r="AM96" s="13" t="str">
        <f t="shared" si="42"/>
        <v xml:space="preserve"> </v>
      </c>
      <c r="AN96" s="2" t="str">
        <f t="shared" si="43"/>
        <v xml:space="preserve"> </v>
      </c>
      <c r="AO96" s="2" t="str">
        <f t="shared" si="44"/>
        <v xml:space="preserve"> </v>
      </c>
      <c r="AP96" s="9" t="str">
        <f t="shared" si="45"/>
        <v xml:space="preserve"> </v>
      </c>
      <c r="AQ96" s="2" t="str">
        <f t="shared" si="46"/>
        <v xml:space="preserve"> </v>
      </c>
      <c r="AR96" s="2" t="str">
        <f t="shared" si="47"/>
        <v xml:space="preserve"> </v>
      </c>
      <c r="AS96" s="4" t="str">
        <f t="shared" si="48"/>
        <v xml:space="preserve"> </v>
      </c>
      <c r="AT96" s="4" t="str">
        <f t="shared" si="49"/>
        <v xml:space="preserve"> </v>
      </c>
      <c r="AU96" s="42" t="str">
        <f t="shared" si="50"/>
        <v xml:space="preserve"> </v>
      </c>
      <c r="AV96" s="43" t="str">
        <f t="shared" si="56"/>
        <v xml:space="preserve"> </v>
      </c>
      <c r="AW96" s="44" t="str">
        <f t="shared" si="51"/>
        <v xml:space="preserve"> </v>
      </c>
      <c r="AX96" s="43" t="str">
        <f t="shared" si="52"/>
        <v xml:space="preserve"> </v>
      </c>
      <c r="AY96" s="43" t="str">
        <f t="shared" si="53"/>
        <v xml:space="preserve"> </v>
      </c>
      <c r="AZ96" s="1" t="str">
        <f t="shared" si="54"/>
        <v xml:space="preserve"> </v>
      </c>
      <c r="BA96" s="1" t="str">
        <f t="shared" si="55"/>
        <v xml:space="preserve"> </v>
      </c>
    </row>
    <row r="97" spans="1:53" x14ac:dyDescent="0.3">
      <c r="A97" s="28"/>
      <c r="B97" s="29"/>
      <c r="C97" s="29"/>
      <c r="D97" s="30"/>
      <c r="E97" s="30"/>
      <c r="F97" s="31"/>
      <c r="G97" s="25"/>
      <c r="H97" s="76"/>
      <c r="I97" s="76"/>
      <c r="J97" s="69"/>
      <c r="K97" s="32"/>
      <c r="L97" s="67"/>
      <c r="M97" s="50"/>
      <c r="N97" s="51"/>
      <c r="O97" s="49"/>
      <c r="P97" s="49"/>
      <c r="Q97" s="49"/>
      <c r="R97" s="55"/>
      <c r="S97" s="27"/>
      <c r="T97" s="25"/>
      <c r="U97" s="33"/>
      <c r="V97" s="27"/>
      <c r="W97" s="76"/>
      <c r="X97" s="26"/>
      <c r="Y97" s="26"/>
      <c r="Z97" s="27"/>
      <c r="AA97" s="26"/>
      <c r="AB97" s="26"/>
      <c r="AC97" s="26"/>
      <c r="AD97" s="85"/>
      <c r="AE97" s="27"/>
      <c r="AF97" s="70"/>
      <c r="AG97" s="81">
        <f t="shared" si="36"/>
        <v>0</v>
      </c>
      <c r="AH97" s="90" t="str">
        <f t="shared" si="37"/>
        <v xml:space="preserve"> </v>
      </c>
      <c r="AI97" s="88" t="str">
        <f t="shared" si="38"/>
        <v xml:space="preserve"> </v>
      </c>
      <c r="AJ97" s="13" t="str">
        <f t="shared" si="39"/>
        <v xml:space="preserve"> </v>
      </c>
      <c r="AK97" s="4" t="str">
        <f t="shared" si="40"/>
        <v xml:space="preserve"> </v>
      </c>
      <c r="AL97" s="4" t="str">
        <f t="shared" si="41"/>
        <v xml:space="preserve"> </v>
      </c>
      <c r="AM97" s="13" t="str">
        <f t="shared" si="42"/>
        <v xml:space="preserve"> </v>
      </c>
      <c r="AN97" s="2" t="str">
        <f t="shared" si="43"/>
        <v xml:space="preserve"> </v>
      </c>
      <c r="AO97" s="2" t="str">
        <f t="shared" si="44"/>
        <v xml:space="preserve"> </v>
      </c>
      <c r="AP97" s="9" t="str">
        <f t="shared" si="45"/>
        <v xml:space="preserve"> </v>
      </c>
      <c r="AQ97" s="2" t="str">
        <f t="shared" si="46"/>
        <v xml:space="preserve"> </v>
      </c>
      <c r="AR97" s="2" t="str">
        <f t="shared" si="47"/>
        <v xml:space="preserve"> </v>
      </c>
      <c r="AS97" s="4" t="str">
        <f t="shared" si="48"/>
        <v xml:space="preserve"> </v>
      </c>
      <c r="AT97" s="4" t="str">
        <f t="shared" si="49"/>
        <v xml:space="preserve"> </v>
      </c>
      <c r="AU97" s="42" t="str">
        <f t="shared" si="50"/>
        <v xml:space="preserve"> </v>
      </c>
      <c r="AV97" s="43" t="str">
        <f t="shared" si="56"/>
        <v xml:space="preserve"> </v>
      </c>
      <c r="AW97" s="44" t="str">
        <f t="shared" si="51"/>
        <v xml:space="preserve"> </v>
      </c>
      <c r="AX97" s="43" t="str">
        <f t="shared" si="52"/>
        <v xml:space="preserve"> </v>
      </c>
      <c r="AY97" s="43" t="str">
        <f t="shared" si="53"/>
        <v xml:space="preserve"> </v>
      </c>
      <c r="AZ97" s="1" t="str">
        <f t="shared" si="54"/>
        <v xml:space="preserve"> </v>
      </c>
      <c r="BA97" s="1" t="str">
        <f t="shared" si="55"/>
        <v xml:space="preserve"> </v>
      </c>
    </row>
    <row r="98" spans="1:53" x14ac:dyDescent="0.3">
      <c r="A98" s="28"/>
      <c r="B98" s="29"/>
      <c r="C98" s="29"/>
      <c r="D98" s="30"/>
      <c r="E98" s="30"/>
      <c r="F98" s="31"/>
      <c r="G98" s="25"/>
      <c r="H98" s="76"/>
      <c r="I98" s="76"/>
      <c r="J98" s="69"/>
      <c r="K98" s="32"/>
      <c r="L98" s="67"/>
      <c r="M98" s="50"/>
      <c r="N98" s="51"/>
      <c r="O98" s="49"/>
      <c r="P98" s="49"/>
      <c r="Q98" s="49"/>
      <c r="R98" s="55"/>
      <c r="S98" s="27"/>
      <c r="T98" s="25"/>
      <c r="U98" s="33"/>
      <c r="V98" s="27"/>
      <c r="W98" s="76"/>
      <c r="X98" s="26"/>
      <c r="Y98" s="26"/>
      <c r="Z98" s="27"/>
      <c r="AA98" s="26"/>
      <c r="AB98" s="26"/>
      <c r="AC98" s="26"/>
      <c r="AD98" s="85"/>
      <c r="AE98" s="27"/>
      <c r="AF98" s="70"/>
      <c r="AG98" s="81">
        <f t="shared" si="36"/>
        <v>0</v>
      </c>
      <c r="AH98" s="90" t="str">
        <f t="shared" si="37"/>
        <v xml:space="preserve"> </v>
      </c>
      <c r="AI98" s="88" t="str">
        <f t="shared" si="38"/>
        <v xml:space="preserve"> </v>
      </c>
      <c r="AJ98" s="13" t="str">
        <f t="shared" si="39"/>
        <v xml:space="preserve"> </v>
      </c>
      <c r="AK98" s="4" t="str">
        <f t="shared" si="40"/>
        <v xml:space="preserve"> </v>
      </c>
      <c r="AL98" s="4" t="str">
        <f t="shared" si="41"/>
        <v xml:space="preserve"> </v>
      </c>
      <c r="AM98" s="13" t="str">
        <f t="shared" si="42"/>
        <v xml:space="preserve"> </v>
      </c>
      <c r="AN98" s="2" t="str">
        <f t="shared" si="43"/>
        <v xml:space="preserve"> </v>
      </c>
      <c r="AO98" s="2" t="str">
        <f t="shared" si="44"/>
        <v xml:space="preserve"> </v>
      </c>
      <c r="AP98" s="9" t="str">
        <f t="shared" si="45"/>
        <v xml:space="preserve"> </v>
      </c>
      <c r="AQ98" s="2" t="str">
        <f t="shared" si="46"/>
        <v xml:space="preserve"> </v>
      </c>
      <c r="AR98" s="2" t="str">
        <f t="shared" si="47"/>
        <v xml:space="preserve"> </v>
      </c>
      <c r="AS98" s="4" t="str">
        <f t="shared" si="48"/>
        <v xml:space="preserve"> </v>
      </c>
      <c r="AT98" s="4" t="str">
        <f t="shared" si="49"/>
        <v xml:space="preserve"> </v>
      </c>
      <c r="AU98" s="42" t="str">
        <f t="shared" si="50"/>
        <v xml:space="preserve"> </v>
      </c>
      <c r="AV98" s="43" t="str">
        <f t="shared" si="56"/>
        <v xml:space="preserve"> </v>
      </c>
      <c r="AW98" s="44" t="str">
        <f t="shared" si="51"/>
        <v xml:space="preserve"> </v>
      </c>
      <c r="AX98" s="43" t="str">
        <f t="shared" si="52"/>
        <v xml:space="preserve"> </v>
      </c>
      <c r="AY98" s="43" t="str">
        <f t="shared" si="53"/>
        <v xml:space="preserve"> </v>
      </c>
      <c r="AZ98" s="1" t="str">
        <f t="shared" si="54"/>
        <v xml:space="preserve"> </v>
      </c>
      <c r="BA98" s="1" t="str">
        <f t="shared" si="55"/>
        <v xml:space="preserve"> </v>
      </c>
    </row>
    <row r="99" spans="1:53" x14ac:dyDescent="0.3">
      <c r="A99" s="28"/>
      <c r="B99" s="29"/>
      <c r="C99" s="29"/>
      <c r="D99" s="30"/>
      <c r="E99" s="30"/>
      <c r="F99" s="31"/>
      <c r="G99" s="25"/>
      <c r="H99" s="76"/>
      <c r="I99" s="76"/>
      <c r="J99" s="69"/>
      <c r="K99" s="32"/>
      <c r="L99" s="67"/>
      <c r="M99" s="50"/>
      <c r="N99" s="51"/>
      <c r="O99" s="49"/>
      <c r="P99" s="49"/>
      <c r="Q99" s="49"/>
      <c r="R99" s="55"/>
      <c r="S99" s="27"/>
      <c r="T99" s="25"/>
      <c r="U99" s="33"/>
      <c r="V99" s="27"/>
      <c r="W99" s="76"/>
      <c r="X99" s="26"/>
      <c r="Y99" s="26"/>
      <c r="Z99" s="27"/>
      <c r="AA99" s="26"/>
      <c r="AB99" s="26"/>
      <c r="AC99" s="26"/>
      <c r="AD99" s="85"/>
      <c r="AE99" s="27"/>
      <c r="AF99" s="70"/>
      <c r="AG99" s="81">
        <f t="shared" si="36"/>
        <v>0</v>
      </c>
      <c r="AH99" s="90" t="str">
        <f t="shared" si="37"/>
        <v xml:space="preserve"> </v>
      </c>
      <c r="AI99" s="88" t="str">
        <f t="shared" si="38"/>
        <v xml:space="preserve"> </v>
      </c>
      <c r="AJ99" s="13" t="str">
        <f t="shared" si="39"/>
        <v xml:space="preserve"> </v>
      </c>
      <c r="AK99" s="4" t="str">
        <f t="shared" si="40"/>
        <v xml:space="preserve"> </v>
      </c>
      <c r="AL99" s="4" t="str">
        <f t="shared" si="41"/>
        <v xml:space="preserve"> </v>
      </c>
      <c r="AM99" s="13" t="str">
        <f t="shared" si="42"/>
        <v xml:space="preserve"> </v>
      </c>
      <c r="AN99" s="2" t="str">
        <f t="shared" si="43"/>
        <v xml:space="preserve"> </v>
      </c>
      <c r="AO99" s="2" t="str">
        <f t="shared" si="44"/>
        <v xml:space="preserve"> </v>
      </c>
      <c r="AP99" s="9" t="str">
        <f t="shared" si="45"/>
        <v xml:space="preserve"> </v>
      </c>
      <c r="AQ99" s="2" t="str">
        <f t="shared" si="46"/>
        <v xml:space="preserve"> </v>
      </c>
      <c r="AR99" s="2" t="str">
        <f t="shared" si="47"/>
        <v xml:space="preserve"> </v>
      </c>
      <c r="AS99" s="4" t="str">
        <f t="shared" si="48"/>
        <v xml:space="preserve"> </v>
      </c>
      <c r="AT99" s="4" t="str">
        <f t="shared" si="49"/>
        <v xml:space="preserve"> </v>
      </c>
      <c r="AU99" s="42" t="str">
        <f t="shared" si="50"/>
        <v xml:space="preserve"> </v>
      </c>
      <c r="AV99" s="43" t="str">
        <f t="shared" si="56"/>
        <v xml:space="preserve"> </v>
      </c>
      <c r="AW99" s="44" t="str">
        <f t="shared" si="51"/>
        <v xml:space="preserve"> </v>
      </c>
      <c r="AX99" s="43" t="str">
        <f t="shared" si="52"/>
        <v xml:space="preserve"> </v>
      </c>
      <c r="AY99" s="43" t="str">
        <f t="shared" si="53"/>
        <v xml:space="preserve"> </v>
      </c>
      <c r="AZ99" s="1" t="str">
        <f t="shared" si="54"/>
        <v xml:space="preserve"> </v>
      </c>
      <c r="BA99" s="1" t="str">
        <f t="shared" si="55"/>
        <v xml:space="preserve"> </v>
      </c>
    </row>
    <row r="100" spans="1:53" x14ac:dyDescent="0.3">
      <c r="A100" s="28"/>
      <c r="B100" s="29"/>
      <c r="C100" s="29"/>
      <c r="D100" s="30"/>
      <c r="E100" s="30"/>
      <c r="F100" s="31"/>
      <c r="G100" s="25"/>
      <c r="H100" s="76"/>
      <c r="I100" s="76"/>
      <c r="J100" s="69"/>
      <c r="K100" s="32"/>
      <c r="L100" s="67"/>
      <c r="M100" s="50"/>
      <c r="N100" s="51"/>
      <c r="O100" s="49"/>
      <c r="P100" s="49"/>
      <c r="Q100" s="49"/>
      <c r="R100" s="55"/>
      <c r="S100" s="27"/>
      <c r="T100" s="25"/>
      <c r="U100" s="33"/>
      <c r="V100" s="27"/>
      <c r="W100" s="76"/>
      <c r="X100" s="26"/>
      <c r="Y100" s="26"/>
      <c r="Z100" s="27"/>
      <c r="AA100" s="26"/>
      <c r="AB100" s="26"/>
      <c r="AC100" s="26"/>
      <c r="AD100" s="85"/>
      <c r="AE100" s="27"/>
      <c r="AF100" s="70"/>
      <c r="AG100" s="81">
        <f t="shared" si="36"/>
        <v>0</v>
      </c>
      <c r="AH100" s="90" t="str">
        <f t="shared" si="37"/>
        <v xml:space="preserve"> </v>
      </c>
      <c r="AI100" s="88" t="str">
        <f t="shared" si="38"/>
        <v xml:space="preserve"> </v>
      </c>
      <c r="AJ100" s="13" t="str">
        <f t="shared" si="39"/>
        <v xml:space="preserve"> </v>
      </c>
      <c r="AK100" s="4" t="str">
        <f t="shared" si="40"/>
        <v xml:space="preserve"> </v>
      </c>
      <c r="AL100" s="4" t="str">
        <f t="shared" si="41"/>
        <v xml:space="preserve"> </v>
      </c>
      <c r="AM100" s="13" t="str">
        <f t="shared" si="42"/>
        <v xml:space="preserve"> </v>
      </c>
      <c r="AN100" s="2" t="str">
        <f t="shared" si="43"/>
        <v xml:space="preserve"> </v>
      </c>
      <c r="AO100" s="2" t="str">
        <f t="shared" si="44"/>
        <v xml:space="preserve"> </v>
      </c>
      <c r="AP100" s="9" t="str">
        <f t="shared" si="45"/>
        <v xml:space="preserve"> </v>
      </c>
      <c r="AQ100" s="2" t="str">
        <f t="shared" si="46"/>
        <v xml:space="preserve"> </v>
      </c>
      <c r="AR100" s="2" t="str">
        <f t="shared" si="47"/>
        <v xml:space="preserve"> </v>
      </c>
      <c r="AS100" s="4" t="str">
        <f t="shared" si="48"/>
        <v xml:space="preserve"> </v>
      </c>
      <c r="AT100" s="4" t="str">
        <f t="shared" si="49"/>
        <v xml:space="preserve"> </v>
      </c>
      <c r="AU100" s="42" t="str">
        <f t="shared" si="50"/>
        <v xml:space="preserve"> </v>
      </c>
      <c r="AV100" s="43" t="str">
        <f t="shared" si="56"/>
        <v xml:space="preserve"> </v>
      </c>
      <c r="AW100" s="44" t="str">
        <f t="shared" si="51"/>
        <v xml:space="preserve"> </v>
      </c>
      <c r="AX100" s="43" t="str">
        <f t="shared" si="52"/>
        <v xml:space="preserve"> </v>
      </c>
      <c r="AY100" s="43" t="str">
        <f t="shared" si="53"/>
        <v xml:space="preserve"> </v>
      </c>
      <c r="AZ100" s="1" t="str">
        <f t="shared" si="54"/>
        <v xml:space="preserve"> </v>
      </c>
      <c r="BA100" s="1" t="str">
        <f t="shared" si="55"/>
        <v xml:space="preserve"> </v>
      </c>
    </row>
  </sheetData>
  <autoFilter ref="A2:BA100" xr:uid="{DA0F7A0C-76F9-4211-9738-2C5560060FB4}"/>
  <sortState xmlns:xlrd2="http://schemas.microsoft.com/office/spreadsheetml/2017/richdata2" ref="A14:AF25">
    <sortCondition ref="A14:A25"/>
  </sortState>
  <phoneticPr fontId="14" type="noConversion"/>
  <hyperlinks>
    <hyperlink ref="G2" r:id="rId1" xr:uid="{81759F2E-7B4F-4BD2-BEC6-039E4165BB7F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amanda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pharos</dc:creator>
  <cp:lastModifiedBy>Alan</cp:lastModifiedBy>
  <dcterms:created xsi:type="dcterms:W3CDTF">2017-03-05T01:05:51Z</dcterms:created>
  <dcterms:modified xsi:type="dcterms:W3CDTF">2020-12-24T00:12:35Z</dcterms:modified>
</cp:coreProperties>
</file>